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ágina9" sheetId="1" r:id="rId5"/>
    <sheet state="visible" name="Insumos" sheetId="2" r:id="rId6"/>
    <sheet state="hidden" name="PAINEL" sheetId="3" r:id="rId7"/>
    <sheet state="hidden" name="E" sheetId="4" r:id="rId8"/>
    <sheet state="hidden" name="S" sheetId="5" r:id="rId9"/>
    <sheet state="visible" name="Entradas" sheetId="6" r:id="rId10"/>
    <sheet state="visible" name="Saídas" sheetId="7" r:id="rId11"/>
    <sheet state="visible" name="Cópia de ReserveInventoryCBESfr" sheetId="8" r:id="rId12"/>
    <sheet state="hidden" name="Calendário " sheetId="9" r:id="rId13"/>
  </sheets>
  <definedNames>
    <definedName hidden="1" localSheetId="0" name="_xlnm._FilterDatabase">'Página9'!$A$1:$I$70</definedName>
    <definedName hidden="1" localSheetId="2" name="_xlnm._FilterDatabase">PAINEL!$A$1:$K$949</definedName>
    <definedName hidden="1" localSheetId="4" name="_xlnm._FilterDatabase">S!$A$1:$I$862</definedName>
    <definedName hidden="1" localSheetId="6" name="_xlnm._FilterDatabase">'Saídas'!$A$1:$J$388</definedName>
    <definedName hidden="1" localSheetId="7" name="_xlnm._FilterDatabase">'Cópia de ReserveInventoryCBESfr'!$A$1:$D$70</definedName>
  </definedNames>
  <calcPr/>
</workbook>
</file>

<file path=xl/sharedStrings.xml><?xml version="1.0" encoding="utf-8"?>
<sst xmlns="http://schemas.openxmlformats.org/spreadsheetml/2006/main" count="8455" uniqueCount="1096">
  <si>
    <t>IDdoInsumo</t>
  </si>
  <si>
    <t>Nome do Insumo</t>
  </si>
  <si>
    <t>Estoque de Segurança</t>
  </si>
  <si>
    <t>Total de Entradas</t>
  </si>
  <si>
    <t>Total de Saídas</t>
  </si>
  <si>
    <t>Estoque Real</t>
  </si>
  <si>
    <t>Status</t>
  </si>
  <si>
    <t>UN de Medida</t>
  </si>
  <si>
    <t>Valor Unit</t>
  </si>
  <si>
    <t>MCC046UC0164</t>
  </si>
  <si>
    <t>APAGADOR P/ QUADRO BRANCO RADEX</t>
  </si>
  <si>
    <t>UN</t>
  </si>
  <si>
    <t>MCC015UC0038</t>
  </si>
  <si>
    <t>BOBINA SHRINK 500MM</t>
  </si>
  <si>
    <t>ROLO</t>
  </si>
  <si>
    <t>CAIXA 7</t>
  </si>
  <si>
    <t>CAIXA 8</t>
  </si>
  <si>
    <t>CAIXA EMB PAPELÃO  CV 295X255X70</t>
  </si>
  <si>
    <t>CAIXA EMB PAPELÃO  CV 375X285X70</t>
  </si>
  <si>
    <t>CAIXA EMB PAPELÃO  TF 285X215X280</t>
  </si>
  <si>
    <t>CAIXA EMB PAPELÃO  TF 290X280X280</t>
  </si>
  <si>
    <t>CAIXA EMB PAPELÃO  TF 345X290X280</t>
  </si>
  <si>
    <t>CAIXA EMB PAPELÃO TF 290X250X280</t>
  </si>
  <si>
    <t>MCC046UC0210</t>
  </si>
  <si>
    <t>CALCULADORA MESA 12 DIGITOS ZT 712 ZETA</t>
  </si>
  <si>
    <t>MCC046UC0215</t>
  </si>
  <si>
    <t>CANETA ESFEROGRAFICA ECONOMIC AZUL BIC</t>
  </si>
  <si>
    <t>MCC046UC0216</t>
  </si>
  <si>
    <t>CANETA ESFEROGRAFICA ECONOMIC PRETA BIC</t>
  </si>
  <si>
    <t>MCC046UC0525</t>
  </si>
  <si>
    <t>CANETA PINCEL ATOMICO AZUL PILOT 1100</t>
  </si>
  <si>
    <t>MCC046UC0526</t>
  </si>
  <si>
    <t>CANETA PINCEL ATOMICO PRETA PILOT 1100</t>
  </si>
  <si>
    <t>MCC046UC0674</t>
  </si>
  <si>
    <t>CLIPS 6/0</t>
  </si>
  <si>
    <t>CAIXA</t>
  </si>
  <si>
    <t>MCC046UC0052</t>
  </si>
  <si>
    <t>CLIPS 8/0</t>
  </si>
  <si>
    <t>MCC046UC0617</t>
  </si>
  <si>
    <t>CLIPS CHAPARRAU 2/0 CX C/100 UN GALV.</t>
  </si>
  <si>
    <t>MCC046UC0315</t>
  </si>
  <si>
    <t>ESTILETE 18MM PLASTICO LARGO BRW</t>
  </si>
  <si>
    <t>MCC046UC0660</t>
  </si>
  <si>
    <t>ETIQUETA 70MM COORDENACAO</t>
  </si>
  <si>
    <t xml:space="preserve">ROLO </t>
  </si>
  <si>
    <t>MCC046UC0659</t>
  </si>
  <si>
    <t>ETIQUETA 70MM PROFESSOR</t>
  </si>
  <si>
    <t>MCC046UC0599</t>
  </si>
  <si>
    <t>ETIQUETA ADESIVA COUCHE AMARELA  - 105X150MM SAS</t>
  </si>
  <si>
    <t>MCC046UC0598</t>
  </si>
  <si>
    <t>ETIQUETA ADESIVA COUCHE AZUL - 105X150MM SAS</t>
  </si>
  <si>
    <t>MCC046UC0596</t>
  </si>
  <si>
    <t>ETIQUETA ADESIVA COUCHE BRANCA   - 105X150MM SAS</t>
  </si>
  <si>
    <t>MCC046UC0668</t>
  </si>
  <si>
    <t>ETIQUETA ADESIVA COUCHE CINZA 100X150X1</t>
  </si>
  <si>
    <t>MCC046UC0658</t>
  </si>
  <si>
    <t>ETIQUETA ADESIVA COUCHE LARANJA 100X150X1</t>
  </si>
  <si>
    <t>R$ 91,67</t>
  </si>
  <si>
    <t>MCC046UC0597</t>
  </si>
  <si>
    <t>ETIQUETA ADESIVA COUCHE ROSA - SAS 105X150MM</t>
  </si>
  <si>
    <t>MCC049UC0516</t>
  </si>
  <si>
    <t>ETIQUETA ADESIVA COUCHE VERDE CLARO - 105X150MM</t>
  </si>
  <si>
    <t>MCC015UC0047</t>
  </si>
  <si>
    <t>ETIQUETA CORTESIA</t>
  </si>
  <si>
    <t>MCC046UC0687</t>
  </si>
  <si>
    <t>ETIQUETA COUCHE - 100X100X 1</t>
  </si>
  <si>
    <t>MCC046UC0695</t>
  </si>
  <si>
    <t>ETIQUETA COUCHE 98X50X1</t>
  </si>
  <si>
    <t>MCC046UC0679</t>
  </si>
  <si>
    <t>EXTRATOR DE GRAMPO</t>
  </si>
  <si>
    <t>MCC015UC0008</t>
  </si>
  <si>
    <t>FILME STRETCH 500X25</t>
  </si>
  <si>
    <t>MCC015UC0045</t>
  </si>
  <si>
    <t>FITA ADESIVA 69MM X 100M</t>
  </si>
  <si>
    <t>MCC046UC0360</t>
  </si>
  <si>
    <t>FITA ADESIVA DUPLA FACE 12mm X 20m 4910 VHB 3M</t>
  </si>
  <si>
    <t>MCC049UC0600</t>
  </si>
  <si>
    <t>FITA ADESIVA P/ CACHORRO PERSONALIZADA</t>
  </si>
  <si>
    <t>MCC015UC0033</t>
  </si>
  <si>
    <t>FITA DE ARQUEAR PET VERDE 16MM X 0,8MM C/ 13KG</t>
  </si>
  <si>
    <t>MCC049UC0604</t>
  </si>
  <si>
    <t>FITA DE DEMARCAÇÃO AMARELA</t>
  </si>
  <si>
    <t>MCC049UC0606</t>
  </si>
  <si>
    <t>FITA DE DEMARCAÇÃO BRANCA</t>
  </si>
  <si>
    <t>MCC049UC0608</t>
  </si>
  <si>
    <t>FITA DE DEMARCAÇÃO VERDE</t>
  </si>
  <si>
    <t>MCC049UC0605</t>
  </si>
  <si>
    <t>FITA DE DEMARCAÇAO VERMELHA</t>
  </si>
  <si>
    <t>MCC049UC0288</t>
  </si>
  <si>
    <t>FITILHO POLIPROPILENO P/EMBALAGEM</t>
  </si>
  <si>
    <t>MCC046UC0387</t>
  </si>
  <si>
    <t>GRAMPEADOR PLUS LINE CIS PRETO 26/6 P/20</t>
  </si>
  <si>
    <t>MCC046UC0398</t>
  </si>
  <si>
    <t>GRAMPO 26/6 COBREADO CX.C/5000 BACCHI</t>
  </si>
  <si>
    <t>MCC049UC0610</t>
  </si>
  <si>
    <t>GRAMPO PISTOLA ROCAMA 106/8 CX 5.000 UN</t>
  </si>
  <si>
    <t>MCC046UC0224</t>
  </si>
  <si>
    <t>MARCA TEXTO AMARELA BRW</t>
  </si>
  <si>
    <t>MCC046UC0520</t>
  </si>
  <si>
    <t>MARCA TEXTO LARANJA LUMICOLOR 200-SL PILOT</t>
  </si>
  <si>
    <t>MCC046UC0521</t>
  </si>
  <si>
    <t>MARCA TEXTO VERDE LUMICOLOR 200-SL PILOT</t>
  </si>
  <si>
    <t>MCC046UC0671</t>
  </si>
  <si>
    <t>MARCADOR QUADRO BRANCO AZUL RECARREGAVEL</t>
  </si>
  <si>
    <t>MCC046UC0672</t>
  </si>
  <si>
    <t>MARCADOR QUADRO BRANCO PRETO RECARREGAVEL</t>
  </si>
  <si>
    <t>MCC046UC0675</t>
  </si>
  <si>
    <t>MARCADOR QUADRO BRANCO VERMELHO RECARREGAVEL</t>
  </si>
  <si>
    <t>MCC046UC0440</t>
  </si>
  <si>
    <t>MOLHA DEDO 12g PEGUE FACIL</t>
  </si>
  <si>
    <t>MCC049UC0607</t>
  </si>
  <si>
    <t>PAPEL A3 RESMA COM 500 FLS</t>
  </si>
  <si>
    <t>MCC046UC0696</t>
  </si>
  <si>
    <t>PAPEL ESCOLAR SENNINHA C/100 FLS CORES DIVERSOS</t>
  </si>
  <si>
    <t>RESMA</t>
  </si>
  <si>
    <t>MCC049UC0393</t>
  </si>
  <si>
    <t>PAPEL KRAFT TTC GREENLINE 70 G/M² PACOTE 360 M X 0,38 M</t>
  </si>
  <si>
    <t>MCC046UC0048</t>
  </si>
  <si>
    <t>PAPEL MACULATURA GROSSO - KRAFT - 1,20CM</t>
  </si>
  <si>
    <t>MCC046UC0082</t>
  </si>
  <si>
    <t>PAPEL SULFITE A4 75G 500 FOLHAS</t>
  </si>
  <si>
    <t>MCC046UC0638</t>
  </si>
  <si>
    <t>PILHA ALCALINA ELGIN PALITO AAA</t>
  </si>
  <si>
    <t>MCC046UC0639</t>
  </si>
  <si>
    <t>PILHA ALCALINA ELGIN PEQ.AA</t>
  </si>
  <si>
    <t>MCC049UC0609</t>
  </si>
  <si>
    <t>PINCEL ATOMICO VERMELHO PERMANENTE</t>
  </si>
  <si>
    <t>MCC049UC0603</t>
  </si>
  <si>
    <t>PLASTICO PLASTIF. A-4 220/307 C/100 UN PROLAM</t>
  </si>
  <si>
    <t>MCC049UC0602</t>
  </si>
  <si>
    <t>PLASTICO PLASTIF. A3 C/100 UN PROLAM</t>
  </si>
  <si>
    <t>MCC046UC0540</t>
  </si>
  <si>
    <t>POST-IT 653 C/4 BL 38X50MM VERDE/ROSA 100FLS 3M</t>
  </si>
  <si>
    <t>MCC046UC0542</t>
  </si>
  <si>
    <t>POST-IT 657 76X102MM 100FLS AMARELO 3M</t>
  </si>
  <si>
    <t>MCC046UC0549</t>
  </si>
  <si>
    <t>PRANCHETA OFICIO MDF PRENDEDOR METAL ACRIMET 105</t>
  </si>
  <si>
    <t>MCC046UC0093</t>
  </si>
  <si>
    <t>REGUA ACRILICA 30CM</t>
  </si>
  <si>
    <t>EMC015MO0001</t>
  </si>
  <si>
    <t>RIBBON CERA PRETO 110MMX300M</t>
  </si>
  <si>
    <t>EMC015MO0007</t>
  </si>
  <si>
    <t>RIBBON CERA PRETO 110MMX74M</t>
  </si>
  <si>
    <t>MCC046UC0587</t>
  </si>
  <si>
    <t>TESOURA USO GERAL 21CM MUNDIAL 160-8N</t>
  </si>
  <si>
    <t>CD</t>
  </si>
  <si>
    <t>CÓDIGO</t>
  </si>
  <si>
    <t>ITEM</t>
  </si>
  <si>
    <t>UNIDADE</t>
  </si>
  <si>
    <t>LEAD TIME</t>
  </si>
  <si>
    <t>ESTOQUE MÍNIMO</t>
  </si>
  <si>
    <t>ESTOQUE REAL</t>
  </si>
  <si>
    <t>STATUS</t>
  </si>
  <si>
    <t>CATEGORIA</t>
  </si>
  <si>
    <t>DIF</t>
  </si>
  <si>
    <t>FOR</t>
  </si>
  <si>
    <t>BOBINA</t>
  </si>
  <si>
    <t>SHIRINK</t>
  </si>
  <si>
    <t>MCC046C00003</t>
  </si>
  <si>
    <t>ETIQUETA 70MM AVALIACAO</t>
  </si>
  <si>
    <t xml:space="preserve">ETIQUETA </t>
  </si>
  <si>
    <t>STRETCH</t>
  </si>
  <si>
    <t>MCC015C00002</t>
  </si>
  <si>
    <t>FILME STRETCH MANUAL 500X0.025 - AZUL</t>
  </si>
  <si>
    <t>FITA ADESIVA</t>
  </si>
  <si>
    <t>FITA DE ARQUEAR</t>
  </si>
  <si>
    <t>FITA DE DEMARCARÇÃO</t>
  </si>
  <si>
    <t xml:space="preserve">FITILHO </t>
  </si>
  <si>
    <t>GRAMPO DE PISTOLA</t>
  </si>
  <si>
    <t xml:space="preserve">PAPEL OFFICE </t>
  </si>
  <si>
    <t>KRAFT</t>
  </si>
  <si>
    <t>RIBBON</t>
  </si>
  <si>
    <t>DATA</t>
  </si>
  <si>
    <t>DESCRIÇÃO</t>
  </si>
  <si>
    <t>QUANT</t>
  </si>
  <si>
    <t>Movimentação</t>
  </si>
  <si>
    <t>RESPONSÁVEL</t>
  </si>
  <si>
    <t>ESTOQUE DE SEGURANÇA</t>
  </si>
  <si>
    <t>AJUSTADO</t>
  </si>
  <si>
    <t>SOLICITANTE</t>
  </si>
  <si>
    <t>Recebimento:truck:</t>
  </si>
  <si>
    <t>CIQ :qualidade:</t>
  </si>
  <si>
    <t>PMM:livro-voador:</t>
  </si>
  <si>
    <t>Estoque:package:</t>
  </si>
  <si>
    <t>Expedição:ex-escolas-exponenciais:</t>
  </si>
  <si>
    <t>Data</t>
  </si>
  <si>
    <t xml:space="preserve">Descrição </t>
  </si>
  <si>
    <t>Quantidade</t>
  </si>
  <si>
    <t>Responsável</t>
  </si>
  <si>
    <t>Francisco Edson Oliveira Dos Santos Vieira</t>
  </si>
  <si>
    <t>MCC049UC0601</t>
  </si>
  <si>
    <t>CANETA ESFEROGRAFICA COMPACTOR VERMELHA</t>
  </si>
  <si>
    <t xml:space="preserve">PILHA ALCALINA ELGIN PEQ.AA </t>
  </si>
  <si>
    <t>Solicitante Slack</t>
  </si>
  <si>
    <t>Item com Código</t>
  </si>
  <si>
    <t>Setor</t>
  </si>
  <si>
    <t>Justificativa</t>
  </si>
  <si>
    <t>Código</t>
  </si>
  <si>
    <t>Moviementação</t>
  </si>
  <si>
    <t>Solitado por</t>
  </si>
  <si>
    <t>@Jose Edervanio Lima Mateus</t>
  </si>
  <si>
    <t>MCC015UC0045        FITA ADESIVA 69MM X 100M</t>
  </si>
  <si>
    <t>Estoque de fita da expedição zerou.</t>
  </si>
  <si>
    <t>@Diego Araujo Dias</t>
  </si>
  <si>
    <t>Demanda de caixa na expedição, 4 rolos.</t>
  </si>
  <si>
    <t>Diego Araujo Dias</t>
  </si>
  <si>
    <t>@Raimundo Reurison Belarmino Da Gama</t>
  </si>
  <si>
    <t xml:space="preserve">MCC046UC0639        PILHA ALCALINA ELGIN PEQ.AA </t>
  </si>
  <si>
    <t>para utilizar no mouse</t>
  </si>
  <si>
    <t>Raimundo Reurison Belarmino Da Gama</t>
  </si>
  <si>
    <t>@Paulo Henrique Chagas De Oliveira</t>
  </si>
  <si>
    <t xml:space="preserve">MCC046UC0638        PILHA ALCALINA ELGIN PALITO AAA </t>
  </si>
  <si>
    <t>Para manuseio de mouse sem fio.</t>
  </si>
  <si>
    <t>Paulo Henrique Chagas De Oliveira</t>
  </si>
  <si>
    <t>@Ana Virginia De Castro Costa</t>
  </si>
  <si>
    <t>MCC046UC0082	PAPEL SULFITE A4 75G 500 FOLHAS</t>
  </si>
  <si>
    <t>Acabou na expedição</t>
  </si>
  <si>
    <t>Ana Virginia De Castro Costa</t>
  </si>
  <si>
    <t>MCC046UC0398	GRAMPO 26/6 COBREADO CX.C/5000 BACCHI</t>
  </si>
  <si>
    <t>zerou na expedição</t>
  </si>
  <si>
    <t>@Francisco Antonio Pinheiro De Sousa</t>
  </si>
  <si>
    <t>MCC049UC0600   	FITA ADESIVA P/ CACHORRO PERSONALIZADA</t>
  </si>
  <si>
    <t>Envio v4</t>
  </si>
  <si>
    <t>Francisco Antonio Pinheiro De Sousa</t>
  </si>
  <si>
    <t>MCC015UC0045	FITA ADESIVA 69MM X 100M</t>
  </si>
  <si>
    <t>Para V4</t>
  </si>
  <si>
    <t>MCC046UC0596	ETIQUETA ADESIVA COUCHE BRANCA   - 105X150MM SAS</t>
  </si>
  <si>
    <t>MCC046UC0668	ETIQUETA ADESIVA COUCHE CINZA 100X150X1</t>
  </si>
  <si>
    <t>MCC046UC0598	ETIQUETA ADESIVA COUCHE AZUL - 105X150MM SAS</t>
  </si>
  <si>
    <t>MCC046UC0597	ETIQUETA ADESIVA COUCHE ROSA - SAS 105X150MM</t>
  </si>
  <si>
    <t>MCC046UC0658	ETIQUETA ADESIVA COUCHE LARANJA 100X150X1</t>
  </si>
  <si>
    <t>MCC049UC0516	ETIQUETA ADESIVA COUCHE VERDE CLARO - 105X150MM</t>
  </si>
  <si>
    <t>@Jose Antoniel Silva Mesquita</t>
  </si>
  <si>
    <t>reposição de insumos pmm</t>
  </si>
  <si>
    <t>Jose Antoniel Silva Mesquita</t>
  </si>
  <si>
    <t>@Philipe Araujo Barroso</t>
  </si>
  <si>
    <t>MCC046UC0659	ETIQUETA 70MM PROFESSOR</t>
  </si>
  <si>
    <t>Abastecimento de expedição.</t>
  </si>
  <si>
    <t>Philipe Araujo Barroso</t>
  </si>
  <si>
    <t>@Suellen Aguiar Da Silva</t>
  </si>
  <si>
    <t>1 caixa de resmas para expedição com urgência, acabaram todas.</t>
  </si>
  <si>
    <t>Suellen Aguiar Da Silva</t>
  </si>
  <si>
    <t>MCC046UC0687	ETIQUETA COUCHE - 100X100X 1</t>
  </si>
  <si>
    <t>1 caixa de etiquetas brancas 100x100 para impressora zebra da expedição.</t>
  </si>
  <si>
    <t>@Francisco Samuel Trindade Nascimento</t>
  </si>
  <si>
    <t>MCC015UC0008	FILME STRETCH 500X25</t>
  </si>
  <si>
    <t>Usar no Sae, para poder estrechar o material que vai ser verticalizado.</t>
  </si>
  <si>
    <t>Francisco Samuel Trindade Nascimento</t>
  </si>
  <si>
    <t>MCC046UC0387	GRAMPEADOR PLUS LINE CIS PRETO 26/6 P/20</t>
  </si>
  <si>
    <t>Necessitamos de 1 grampeador para casamento de notas na expedição.</t>
  </si>
  <si>
    <t>MCC046UC0526	CANETA PINCEL ATOMICO PRETA PILOT 1100</t>
  </si>
  <si>
    <t>Uso na expedição</t>
  </si>
  <si>
    <t>Uso no recebimento</t>
  </si>
  <si>
    <t>MCC046UC0599	ETIQUETA ADESIVA COUCHE AMARELA  - 105X150MM SAS</t>
  </si>
  <si>
    <t>3 pacotes de  etiquetas AVALIAÇÃO.
Sr. Edde já retirou.</t>
  </si>
  <si>
    <t>MCC046UC0215	CANETA ESFEROGRAFICA ECONOMIC AZUL BIC</t>
  </si>
  <si>
    <t>suporte para o time de separadores.</t>
  </si>
  <si>
    <t>Jose Edervanio Lima Mateus</t>
  </si>
  <si>
    <t>@Rubens Ribeiro Lisboa</t>
  </si>
  <si>
    <t>para a operação da expedição, demanda alta.</t>
  </si>
  <si>
    <t>Rubens Ribeiro Lisboa</t>
  </si>
  <si>
    <t>EMC015MO0001	RIBBON CERA PRETO 110MMX300M</t>
  </si>
  <si>
    <t>uso pra expedição.</t>
  </si>
  <si>
    <t>MCC015UC0038	BOBINA SHRINK 500MM</t>
  </si>
  <si>
    <t>obs: toner impressora black</t>
  </si>
  <si>
    <t>Canetas para expedição.</t>
  </si>
  <si>
    <t>Abastecimento do PMM</t>
  </si>
  <si>
    <t>Abastecimento de PMM</t>
  </si>
  <si>
    <t>usar no estoque sae</t>
  </si>
  <si>
    <t>V4</t>
  </si>
  <si>
    <t>@Matheus De Almeida Rodrigues</t>
  </si>
  <si>
    <t>MCC046UC0216	CANETA ESFEROGRAFICA ECONOMIC PRETA BIC</t>
  </si>
  <si>
    <t>Demanda de terceiros</t>
  </si>
  <si>
    <t>Matheus De Almeida Rodrigues</t>
  </si>
  <si>
    <t>estamos sem grampo</t>
  </si>
  <si>
    <t>estamos sem caneta</t>
  </si>
  <si>
    <t>Abastecer o PMM</t>
  </si>
  <si>
    <t>Acabaram as etiquetas da expedição.</t>
  </si>
  <si>
    <t>no pmm ta sem</t>
  </si>
  <si>
    <t>tou precisado</t>
  </si>
  <si>
    <t>MCC049UC0601   	CANETA ESFEROGRAFICA COMPACTOR VERMELHA</t>
  </si>
  <si>
    <t>Abastecer PMM</t>
  </si>
  <si>
    <t>@Cosme Marcio Barros Barbosa</t>
  </si>
  <si>
    <t>aditoria</t>
  </si>
  <si>
    <t>Cosme Marcio Barros Barbosa</t>
  </si>
  <si>
    <t xml:space="preserve">aditoria </t>
  </si>
  <si>
    <t>Envio principal v4</t>
  </si>
  <si>
    <t>Precisamos de 10 canetas pra expedição.</t>
  </si>
  <si>
    <t>Uso para conferências de materiais e afins.</t>
  </si>
  <si>
    <t>Para expedição</t>
  </si>
  <si>
    <t>para caixas na expedição</t>
  </si>
  <si>
    <t>MCC046UC0695	ETIQUETA COUCHE 98X50X1</t>
  </si>
  <si>
    <t>acabou</t>
  </si>
  <si>
    <t>Uso da expedição.</t>
  </si>
  <si>
    <t>@Antonio Marcos De Albuquerque</t>
  </si>
  <si>
    <t>recarga da maquina</t>
  </si>
  <si>
    <t>Antonio Marcos De Albuquerque</t>
  </si>
  <si>
    <t>@Jackson Alves Sales</t>
  </si>
  <si>
    <t>MCC046UC0639	PILHA ALCALINA ELGIN PEQ.AA</t>
  </si>
  <si>
    <t>pilha do meu teclado já acabou</t>
  </si>
  <si>
    <t>Jackson Alves Sales</t>
  </si>
  <si>
    <t>Abastecimento da expedição</t>
  </si>
  <si>
    <t>@Pedro Lucas Matias Do Nascimento</t>
  </si>
  <si>
    <t>FALTA DE FITA</t>
  </si>
  <si>
    <t>Pedro Lucas Matias Do Nascimento</t>
  </si>
  <si>
    <t>@Silvana Da Silva Pereira</t>
  </si>
  <si>
    <t>Faltou na expedição</t>
  </si>
  <si>
    <t>Silvana Da Silva Pereira</t>
  </si>
  <si>
    <t>Impressora QG</t>
  </si>
  <si>
    <t>Uso para devolução</t>
  </si>
  <si>
    <t>Usado no PDV do SAE</t>
  </si>
  <si>
    <t>MCC046UC0638	PILHA ALCALINA ELGIN PALITO AAA</t>
  </si>
  <si>
    <t>Mouse sem fio</t>
  </si>
  <si>
    <t>falta na expedicao</t>
  </si>
  <si>
    <t>MCC015UC0047	ETIQUETA CORTESIA</t>
  </si>
  <si>
    <t>Time de estoque</t>
  </si>
  <si>
    <t>faltou na expediçao</t>
  </si>
  <si>
    <t>faltou na expedicao</t>
  </si>
  <si>
    <t>Estoque: Colar QR code para contagem no inventário.</t>
  </si>
  <si>
    <t>MCC049UC0610   	GRAMPO PISTOLA ROCAMA 106/8 CX 5.000 UN</t>
  </si>
  <si>
    <t>utilizar nos paletes do estoque.</t>
  </si>
  <si>
    <t>utilizar no estoque nos paletes de inventario.</t>
  </si>
  <si>
    <t>@Fabio Ferreira Pessoa</t>
  </si>
  <si>
    <t>Impressão de endereços</t>
  </si>
  <si>
    <t>Fabio Ferreira Pessoa</t>
  </si>
  <si>
    <t>MCC046UC0587	TESOURA USO GERAL 21CM MUNDIAL 160-8N</t>
  </si>
  <si>
    <t>usar na demanda do estoque</t>
  </si>
  <si>
    <t>falta na expediçao</t>
  </si>
  <si>
    <t>Para microfones</t>
  </si>
  <si>
    <t>ACABAOU A ETIQUETA</t>
  </si>
  <si>
    <t>ACABOU</t>
  </si>
  <si>
    <t>uso na expedição.</t>
  </si>
  <si>
    <t xml:space="preserve">expedição. peguei já </t>
  </si>
  <si>
    <t>@Pericles Cavalcante De Lima Maciel</t>
  </si>
  <si>
    <t xml:space="preserve">acabou no setor </t>
  </si>
  <si>
    <t>Pericles Cavalcante De Lima Maciel</t>
  </si>
  <si>
    <t>Grampear locais palete</t>
  </si>
  <si>
    <t>@Francisco Edson Oliveira Dos Santos Vieira</t>
  </si>
  <si>
    <t>Resma para o time de PMM</t>
  </si>
  <si>
    <t>Pilha para o Mouse</t>
  </si>
  <si>
    <t>@Marcio Sthefani Bessa De Oliveira</t>
  </si>
  <si>
    <t>2 unid para consumo</t>
  </si>
  <si>
    <t>Marcio Sthefani Bessa De Oliveira</t>
  </si>
  <si>
    <t>@Allison Breno Da Costa Borges Soares</t>
  </si>
  <si>
    <t>uso no recebimento.</t>
  </si>
  <si>
    <t>Allison Breno Da Costa Borges Soares</t>
  </si>
  <si>
    <t>MCC049UC0603   	PLASTICO PLASTIF. A-4 220/307 C/100 UN PROLAM</t>
  </si>
  <si>
    <t>Para identificação</t>
  </si>
  <si>
    <t>MCC049UC0605   	FITA DE DEMARCAÇAO VERMELHA</t>
  </si>
  <si>
    <t>Marcação de chapatex na expedição.</t>
  </si>
  <si>
    <t>Para realizar a plastificação do materiais sas e sae</t>
  </si>
  <si>
    <t>As etiquetas da expedição acabaram.</t>
  </si>
  <si>
    <t>Precisamos de 1 caixa de resma para expedição.</t>
  </si>
  <si>
    <t>precisamos de 1 caixa de ribbon para expedição.</t>
  </si>
  <si>
    <t xml:space="preserve">usar no estoque sae </t>
  </si>
  <si>
    <t>Setor em falta.</t>
  </si>
  <si>
    <t>MCC046UC0093	REGUA ACRILICA 30CM</t>
  </si>
  <si>
    <t>USO NO SETOR DE DEVOLUÇÃO SAE</t>
  </si>
  <si>
    <t>Usar no estoque SAE.</t>
  </si>
  <si>
    <t>@Gabriel De Sousa Freitas</t>
  </si>
  <si>
    <t>MCC049UC0288	FITILHO POLIPROPILENO P/EMBALAGEM</t>
  </si>
  <si>
    <t>Amarração de pallet com apenas um SKU.</t>
  </si>
  <si>
    <t>Gabriel De Sousa Freitas</t>
  </si>
  <si>
    <t>MCC015UC0033	FITA DE ARQUEAR PET VERDE 16MM X 0,8MM C/ 13KG</t>
  </si>
  <si>
    <t>PARA  ARQUEAMENTODE CARGAS</t>
  </si>
  <si>
    <t>FITA PARA USO NA DEVOLUÇÃO</t>
  </si>
  <si>
    <t>@Yago Rocha Fernandes</t>
  </si>
  <si>
    <t>Para strechar material quando finalizada inspeção</t>
  </si>
  <si>
    <t>Yago Rocha Fernandes</t>
  </si>
  <si>
    <t>Abastecer a máquina de shirink</t>
  </si>
  <si>
    <t>Para fechar as caixas após inspeção
Obs.: 6UNIDADES</t>
  </si>
  <si>
    <t>Para organização de material de devolução</t>
  </si>
  <si>
    <t>MCC046UC0549	PRANCHETA OFICIO MDF PRENDEDOR METAL ACRIMET 105</t>
  </si>
  <si>
    <t>Manuseio de de fichas e documentos</t>
  </si>
  <si>
    <t>MCC046UC0660	ETIQUETA 70MM COORDENACAO</t>
  </si>
  <si>
    <t>Zerou na expedição</t>
  </si>
  <si>
    <t>@Lisandra Marchi Da Silva</t>
  </si>
  <si>
    <t>MCC046UC0542	POST-IT 657 76X102MM 100FLS AMARELO 3M</t>
  </si>
  <si>
    <t>Treinamento de Ishikawa</t>
  </si>
  <si>
    <t>Lisandra Marchi Da Silva</t>
  </si>
  <si>
    <t>Abastecer impressora</t>
  </si>
  <si>
    <t>Fitas para uso no recebimento.</t>
  </si>
  <si>
    <t>Setor está precisando.</t>
  </si>
  <si>
    <t>para uso no recebimento.</t>
  </si>
  <si>
    <t>o grampeador da expedição do SAE quebrou.</t>
  </si>
  <si>
    <t>MCC046UC0679	EXTRATOR DE GRAMPO</t>
  </si>
  <si>
    <t>necessário pra expedição SAS.</t>
  </si>
  <si>
    <t>4  Resmas para o time de PMM</t>
  </si>
  <si>
    <t>PARA DEMANDA DE DEVOLUÇÃO</t>
  </si>
  <si>
    <t>Setor com falta</t>
  </si>
  <si>
    <t>abastece o  PMM</t>
  </si>
  <si>
    <t>Uso na devolução.</t>
  </si>
  <si>
    <t>Alta demanda na devolução</t>
  </si>
  <si>
    <t>Uso no recebimento.</t>
  </si>
  <si>
    <t>FALTA NA DEVOLUÇÃO</t>
  </si>
  <si>
    <t>para grampeamentos de NF</t>
  </si>
  <si>
    <t>NATALIA</t>
  </si>
  <si>
    <t>NATHALIA</t>
  </si>
  <si>
    <t>MCC046UC0360	FITA ADESIVA DUPLA FACE 12mm X 20m 4910 VHB 3M</t>
  </si>
  <si>
    <t>EXPEDIÇÃO</t>
  </si>
  <si>
    <t>MCC046UC0520	MARCA TEXTO LARANJA LUMICOLOR 200-SL PILOT</t>
  </si>
  <si>
    <t>@Francisco Renato Da Silva De Oliveira Junior</t>
  </si>
  <si>
    <t>Caneta para a expedição.</t>
  </si>
  <si>
    <t>Francisco Renato Da Silva De Oliveira Junior</t>
  </si>
  <si>
    <t>para usar no aplicador de fita.</t>
  </si>
  <si>
    <t>FITA PARA UTILIZAÇÃO NA DEVOLUÇÃO SAE</t>
  </si>
  <si>
    <t>Para uso pessoal</t>
  </si>
  <si>
    <t>Uso na operação.</t>
  </si>
  <si>
    <t>Setor com falta.</t>
  </si>
  <si>
    <t>usar nas atividades do SAE.</t>
  </si>
  <si>
    <t>MCC049UC0604   	FITA DE DEMARCAÇÃO AMARELA</t>
  </si>
  <si>
    <t>Demarcação do stage de estoque</t>
  </si>
  <si>
    <t>Para demarcar área do CIQ</t>
  </si>
  <si>
    <t>Para devolução</t>
  </si>
  <si>
    <t>Demarcar stage de estoque</t>
  </si>
  <si>
    <t>MCC049UC0606   	FITA DE DEMARCAÇÃO BRANCA</t>
  </si>
  <si>
    <t>demarcar áreas da patinha.</t>
  </si>
  <si>
    <t xml:space="preserve">Usar no mouse </t>
  </si>
  <si>
    <t>Setor com falta ?</t>
  </si>
  <si>
    <t>para uso na expedição</t>
  </si>
  <si>
    <t>SEM FITA NO RECEBIMENTO E DEVOLUÇÃO</t>
  </si>
  <si>
    <t>ACABOU DO ESTOQUE</t>
  </si>
  <si>
    <t>etiqueta para MINI DANFE.</t>
  </si>
  <si>
    <t>etiqueta para conferencia SAE</t>
  </si>
  <si>
    <t>SEM NO RECEBIMENTO</t>
  </si>
  <si>
    <t>usar na expedição SAE E SAS</t>
  </si>
  <si>
    <t>Uso no CIQ.</t>
  </si>
  <si>
    <t>Para utilizar na devolução</t>
  </si>
  <si>
    <t>.</t>
  </si>
  <si>
    <t>Uso do CIQ.</t>
  </si>
  <si>
    <t>ABASTECE PMM</t>
  </si>
  <si>
    <t>Para uso no Recebimento.</t>
  </si>
  <si>
    <t>Acabaram as folhas da expedição.</t>
  </si>
  <si>
    <t>USO NO RECEBIMENTO.</t>
  </si>
  <si>
    <t>MCC046UC0164	APAGADOR P/ QUADRO BRANCO RADEX</t>
  </si>
  <si>
    <t>para utilizar no recebimento</t>
  </si>
  <si>
    <t>usar no recebimento</t>
  </si>
  <si>
    <t>MCC046UC0675	MARCADOR QUADRO BRANCO VERMELHO RECARREGAVEL</t>
  </si>
  <si>
    <t>MCC046UC0671	MARCADOR QUADRO BRANCO AZUL RECARREGAVEL</t>
  </si>
  <si>
    <t>USO NO RECEBIMENTO</t>
  </si>
  <si>
    <t>para o estoque</t>
  </si>
  <si>
    <t>USO DO CIQ</t>
  </si>
  <si>
    <t>Mouse</t>
  </si>
  <si>
    <t>a</t>
  </si>
  <si>
    <t>para plastificar alguns materiais</t>
  </si>
  <si>
    <t>para usar no recebimento</t>
  </si>
  <si>
    <t>PARA ABASTECER  O ESTOQUE</t>
  </si>
  <si>
    <t>EMC015MO0007	RIBBON CERA PRETO 110MMX74M</t>
  </si>
  <si>
    <t>Para pmm</t>
  </si>
  <si>
    <t>Para meu mouse</t>
  </si>
  <si>
    <t>Para PMM</t>
  </si>
  <si>
    <t>uso na expedição</t>
  </si>
  <si>
    <t>UTILIZAR NA DEVOLUÇÃO</t>
  </si>
  <si>
    <t>1 cx para expedição</t>
  </si>
  <si>
    <t>preciso de um strech para o material de PDV.</t>
  </si>
  <si>
    <t>@Rejane Fontes De Sousa</t>
  </si>
  <si>
    <t>Preparar PDV para envio.</t>
  </si>
  <si>
    <t>Rejane Fontes De Sousa</t>
  </si>
  <si>
    <t>utilizar na devolução</t>
  </si>
  <si>
    <t>DEVOLUÇÃO.</t>
  </si>
  <si>
    <t>PARA ABASTECE O PMM</t>
  </si>
  <si>
    <t>para abastece o pmm</t>
  </si>
  <si>
    <t>Para uso do CIQ/PMM</t>
  </si>
  <si>
    <t>PARA ABSTECE O PMM</t>
  </si>
  <si>
    <t>Para uso na expedição.</t>
  </si>
  <si>
    <t>Necessidade na operação</t>
  </si>
  <si>
    <t>ABASTECE O PMM</t>
  </si>
  <si>
    <t>PARA O PMM</t>
  </si>
  <si>
    <t>@Jamile Ribeiro da Silva</t>
  </si>
  <si>
    <t>NECESSIDADE</t>
  </si>
  <si>
    <t>Jamile Ribeiro da Silva</t>
  </si>
  <si>
    <t>1 - Caneta Azul
1 - Caneta Vermelha
OBS: Conferência na devolução</t>
  </si>
  <si>
    <t>Demarcação de áreas</t>
  </si>
  <si>
    <t>Para strechar os paletes</t>
  </si>
  <si>
    <t>MCC046UC0525	CANETA PINCEL ATOMICO AZUL PILOT 1100</t>
  </si>
  <si>
    <t>Uso na Devolução SAS</t>
  </si>
  <si>
    <t>Necessidade de estoque.</t>
  </si>
  <si>
    <t>Ajuste de estoque</t>
  </si>
  <si>
    <t>Ajuste</t>
  </si>
  <si>
    <t>Para uso revestir paletes após inspeção</t>
  </si>
  <si>
    <t>Abastecimento da impressora</t>
  </si>
  <si>
    <t>uso no recebimento</t>
  </si>
  <si>
    <t>acabou no estoque</t>
  </si>
  <si>
    <t>Demarcação V1</t>
  </si>
  <si>
    <t>Demarcar o Pulmão de aluno V1</t>
  </si>
  <si>
    <t>reabastece no estoque</t>
  </si>
  <si>
    <t>Abastecimento</t>
  </si>
  <si>
    <t>RECEBIMENTO SAS</t>
  </si>
  <si>
    <t>RECEBIMENTO SAE</t>
  </si>
  <si>
    <t>USO NA DEVOLUÇÃO SAS</t>
  </si>
  <si>
    <t>DEVOLUÇÃO SAE, 4 UNIDADES.</t>
  </si>
  <si>
    <t>USO NO RECEBIMENTO E DEVOLUÇÃO</t>
  </si>
  <si>
    <t>Stretche de paletes</t>
  </si>
  <si>
    <t>Para fechar as caixas</t>
  </si>
  <si>
    <t>Uso no CIQ para separação de documentos</t>
  </si>
  <si>
    <t>Demarcação do pulmão de aluno V1</t>
  </si>
  <si>
    <t>Recebimento SAE</t>
  </si>
  <si>
    <t>para se utilizar nos paletes de pulmão de v1</t>
  </si>
  <si>
    <t>MCC049UC0607   	PAPEL A3 RESMA COM 500 FLS</t>
  </si>
  <si>
    <t>USO PARA IMPRESSORA DO RECEBIMENTO/DEVOLUÇÃO SAS</t>
  </si>
  <si>
    <t>recebimento sae, 1 caixa de grampo para o NOSSO V1.</t>
  </si>
  <si>
    <t>Uso para organização do PDV.</t>
  </si>
  <si>
    <t>abastece</t>
  </si>
  <si>
    <t>reabastecimento do  PMM</t>
  </si>
  <si>
    <t>Pilha para mouse</t>
  </si>
  <si>
    <t>pra abastece que acabou</t>
  </si>
  <si>
    <t>Para se utilizar no estoque Sae.</t>
  </si>
  <si>
    <t>MCC046UC0540	POST-IT 653 C/4 BL 38X50MM VERDE/ROSA 100FLS 3M</t>
  </si>
  <si>
    <t>Usado no treinamento dos assistentes e depois doado para o time de PCE.</t>
  </si>
  <si>
    <t>ABASTECE O ESTOQUE</t>
  </si>
  <si>
    <t>FITA PARA USO NA DEVOLUÇÃO E RECEBIMENTO SAS</t>
  </si>
  <si>
    <t>Abastecer pro v1</t>
  </si>
  <si>
    <t xml:space="preserve">Abastecer pro v1 </t>
  </si>
  <si>
    <t>para auxiliar no treinamento dos terceiros</t>
  </si>
  <si>
    <t>abatesse o estoque</t>
  </si>
  <si>
    <t>@Rodrigo Aragao Goncalves</t>
  </si>
  <si>
    <t>pallet seguro</t>
  </si>
  <si>
    <t>Rodrigo Aragao Goncalves</t>
  </si>
  <si>
    <t>MCC049UC0602   	PLASTICO PLASTIF. A3 C/100 UN PROLAM</t>
  </si>
  <si>
    <t>Identificação Ruas CD</t>
  </si>
  <si>
    <t>MCC049UC0393	PAPEL KRAFT TTC GREENLINE 70 G/M² PACOTE 360 M X 0,38 M</t>
  </si>
  <si>
    <t>USO NA DEVOLUÇÃO SAS PARA PREENCHER ESPAÇO NAS CAIXAS DE DEV.</t>
  </si>
  <si>
    <t>Demarcar pulmão de Aluno V1.</t>
  </si>
  <si>
    <t>VOU PRECISA</t>
  </si>
  <si>
    <t>Para utilizar nos paletes na volta do CIQ para o Estoque.</t>
  </si>
  <si>
    <t>ABASTECER O ESTOQUE</t>
  </si>
  <si>
    <t>FITA PARA UTILIZAÇÃO NA DEVOLUÇÃO SAS</t>
  </si>
  <si>
    <t>Demarcar pulmão de aluno</t>
  </si>
  <si>
    <t>Necessidade no setor.</t>
  </si>
  <si>
    <t>Abastecimento do PMM.</t>
  </si>
  <si>
    <t>reabastece o pmm</t>
  </si>
  <si>
    <t>reposição no estoque</t>
  </si>
  <si>
    <t>UTILIZAÇÃO NA EXPEDIÇÃO.</t>
  </si>
  <si>
    <t>Abastecimento da máquina de Shirink</t>
  </si>
  <si>
    <t>Sr. Eddy já pegou.</t>
  </si>
  <si>
    <t>toner para impressora, pois não tem a opção.</t>
  </si>
  <si>
    <t>USO PARA O SETOR DE RECEBIMENTO/DEVOLUÇÃO SAS.</t>
  </si>
  <si>
    <t>Solicito uma pilha</t>
  </si>
  <si>
    <t>para recebimento</t>
  </si>
  <si>
    <t>agrupamentos</t>
  </si>
  <si>
    <t>sem no recebimento</t>
  </si>
  <si>
    <t>pro estoque</t>
  </si>
  <si>
    <t>Usar na demanda de agrupamento.</t>
  </si>
  <si>
    <t>sem no recebimento para arqueamento</t>
  </si>
  <si>
    <t>Uso no setor!</t>
  </si>
  <si>
    <t>Uso no setor</t>
  </si>
  <si>
    <t xml:space="preserve">alta demanda. </t>
  </si>
  <si>
    <t xml:space="preserve">identificação do professor </t>
  </si>
  <si>
    <t>Solicito um tonner para impressora do RECEBIMENTO/DEVOLUÇÃO SAS. Na lista não tem a opção de tonner.</t>
  </si>
  <si>
    <t xml:space="preserve">alta demanda </t>
  </si>
  <si>
    <t>TOU PRECISANDO NO ESTOQUE</t>
  </si>
  <si>
    <t>necessidade!</t>
  </si>
  <si>
    <t>acabou no recebimento</t>
  </si>
  <si>
    <t>PARA RECEBIMENTO</t>
  </si>
  <si>
    <t>estou precisando</t>
  </si>
  <si>
    <t>Abastecer a Impressora</t>
  </si>
  <si>
    <t>Abastecer a impressora</t>
  </si>
  <si>
    <t>1 pacote com 4 fitas.</t>
  </si>
  <si>
    <t>sem no sae</t>
  </si>
  <si>
    <t>Utilizar nas atividades do estoque.</t>
  </si>
  <si>
    <t>pra usa na atividade do estoque</t>
  </si>
  <si>
    <t>pra usa na demanda do estoque</t>
  </si>
  <si>
    <t>para fechar caixa</t>
  </si>
  <si>
    <t>RESMA A4 PARA USO NO SETOR DE RECEBIMENTO/DEVOLUÇÃO SAS.</t>
  </si>
  <si>
    <t>Preparar material para devolver para o estoque.</t>
  </si>
  <si>
    <t>alta demanda, diversas atividades com o stretch.</t>
  </si>
  <si>
    <t>Necessidade da área.</t>
  </si>
  <si>
    <t>PMM</t>
  </si>
  <si>
    <t>USO PARA RECEBOMENTO/DEVOLUÇÃO SAS</t>
  </si>
  <si>
    <t>Uso no material para retorno ao estoque.</t>
  </si>
  <si>
    <t>Para uso do setor.</t>
  </si>
  <si>
    <t>Abastecimento de estoque</t>
  </si>
  <si>
    <t>recebimento SAE.</t>
  </si>
  <si>
    <t>PARA USO DO PMM</t>
  </si>
  <si>
    <t>materias agrupados</t>
  </si>
  <si>
    <t>@Carlos Henrique Gomes De Lima</t>
  </si>
  <si>
    <t>Solicito uma pilha para utilizar no mouse</t>
  </si>
  <si>
    <t>Carlos Henrique Gomes De Lima</t>
  </si>
  <si>
    <t>USO RECEBIMENTO</t>
  </si>
  <si>
    <t>PARA USA NO PMM</t>
  </si>
  <si>
    <t>@Antonio Alberto Goncalves Freitas</t>
  </si>
  <si>
    <t>NAO TENHO CANETA</t>
  </si>
  <si>
    <t>Antonio Alberto Goncalves Freitas</t>
  </si>
  <si>
    <t>ESTRETCHAR OS PALLETS DE CAIXAS</t>
  </si>
  <si>
    <t>PARA A IDENTIFICAÇAO DO MATERIAL DO RECEBIMENTO</t>
  </si>
  <si>
    <t xml:space="preserve">uso no recebimento </t>
  </si>
  <si>
    <t>EM FALTA</t>
  </si>
  <si>
    <t>Uso do setor</t>
  </si>
  <si>
    <t>Necessidade</t>
  </si>
  <si>
    <t>faltando na expedição</t>
  </si>
  <si>
    <t>USO NO RECEBIMENTO PARA  CAIXAS E MATERIAIS</t>
  </si>
  <si>
    <t>Acabaram as folhas da expedição SAS.</t>
  </si>
  <si>
    <t>Para expedição SAS.</t>
  </si>
  <si>
    <t>@Jenifer da Silva Sousa</t>
  </si>
  <si>
    <t>o que tenho está falhando.</t>
  </si>
  <si>
    <t>Jenifer da Silva Sousa</t>
  </si>
  <si>
    <t>O que tenho está falhando.</t>
  </si>
  <si>
    <t>Abastecimento do estoque</t>
  </si>
  <si>
    <t>COMEÇO DE SEPARAÇAO</t>
  </si>
  <si>
    <t>grampeador para notas</t>
  </si>
  <si>
    <t>para grampear as notas</t>
  </si>
  <si>
    <t>fita de arquear para recebimento</t>
  </si>
  <si>
    <t>PROCESSO.</t>
  </si>
  <si>
    <t>1 CAIXA PARA EXPEDIÇÃO E FATURAMENTO PARA O USO DE NOTAS</t>
  </si>
  <si>
    <t>USO NA DEVOLUÇÃO/RECEBIMENTO SAS.</t>
  </si>
  <si>
    <t>Necessito de 2 caixas de etiquetas brancas para expedição.</t>
  </si>
  <si>
    <t>Necessito de 2 caixas de ribbon para expedição.</t>
  </si>
  <si>
    <t>Filma o material de transferencia..</t>
  </si>
  <si>
    <t>impressora faturamento sae</t>
  </si>
  <si>
    <t>Uso na expedição.</t>
  </si>
  <si>
    <t>Operação..</t>
  </si>
  <si>
    <t>Necessitamos de 1 stretch para expedição.</t>
  </si>
  <si>
    <t>@Heitor Ribeiro Antunes</t>
  </si>
  <si>
    <t>Teclado</t>
  </si>
  <si>
    <t>Heitor Ribeiro Antunes</t>
  </si>
  <si>
    <t>@Luciano De Brito Pereira</t>
  </si>
  <si>
    <t>Necessito de 5 rolos de Stretch para que possa serem utilizados no envio de uma transferência</t>
  </si>
  <si>
    <t>Luciano De Brito Pereira</t>
  </si>
  <si>
    <t>Necessidade da operação.</t>
  </si>
  <si>
    <t>V1</t>
  </si>
  <si>
    <t>pallet agrupados</t>
  </si>
  <si>
    <t>Necessitamos de um apagador para expedição.</t>
  </si>
  <si>
    <t>Necessitamos de pincéis para expedição.</t>
  </si>
  <si>
    <t>Organizar identificação de quebra mas longarinas.</t>
  </si>
  <si>
    <t>UTILIZAÇÃO NO RECEBIMENTO SAE</t>
  </si>
  <si>
    <t>USO NO RECEBIMENTO SAS</t>
  </si>
  <si>
    <t>Uso no PMM - Eris</t>
  </si>
  <si>
    <t>Fazer demarcação.</t>
  </si>
  <si>
    <t xml:space="preserve">expedição </t>
  </si>
  <si>
    <t>Necessidade pra demanda.</t>
  </si>
  <si>
    <t>Usar no estoque.</t>
  </si>
  <si>
    <t>Para fazer amarração da carga</t>
  </si>
  <si>
    <t>Fechar caixa</t>
  </si>
  <si>
    <t>USO PARA DEVOLUÇÃO SAS.</t>
  </si>
  <si>
    <t>Necessitamos de uma caixa de resmas A4.</t>
  </si>
  <si>
    <t>Recebimento</t>
  </si>
  <si>
    <t>SEM PRA IMPRESSORA</t>
  </si>
  <si>
    <t>RECEBIMENTO SAE.</t>
  </si>
  <si>
    <t>TOU PRECIZANDO</t>
  </si>
  <si>
    <t>Abastecer o setor</t>
  </si>
  <si>
    <t>abastecer expedição</t>
  </si>
  <si>
    <t>Para mouse</t>
  </si>
  <si>
    <t>CANETA PARA SEPARADORES E EMBARQUE.</t>
  </si>
  <si>
    <t>Abastecer a máquina de shirink.</t>
  </si>
  <si>
    <t xml:space="preserve">Organização de resíduo </t>
  </si>
  <si>
    <t>MCC046UC0210	CALCULADORA MESA 12 DIGITOS ZT 712 ZETA</t>
  </si>
  <si>
    <t>Para realização de separação. Após V1 devolveremos.</t>
  </si>
  <si>
    <t>Abastecer as pistolas de Grampear</t>
  </si>
  <si>
    <t>fazer amarração nos paletes</t>
  </si>
  <si>
    <t>recebimento</t>
  </si>
  <si>
    <t>MCC046UC0224	MARCA TEXTO AMARELA BRW</t>
  </si>
  <si>
    <t>usar para marcar as notas</t>
  </si>
  <si>
    <t>@Antonio Rafael De Maria</t>
  </si>
  <si>
    <t>Bom dia, 
solicito duas pilhas para o mouse.</t>
  </si>
  <si>
    <t>Antonio Rafael De Maria</t>
  </si>
  <si>
    <t>Fechamento de caixas</t>
  </si>
  <si>
    <t>para os lacrar as caixas</t>
  </si>
  <si>
    <t>USO PARA IMPRESSORA REC.</t>
  </si>
  <si>
    <t>As etiquetas de mini danfe do SAS acabaram.</t>
  </si>
  <si>
    <t>sem nenhum</t>
  </si>
  <si>
    <t>Abastecer a Impressora.</t>
  </si>
  <si>
    <t xml:space="preserve">Fechamento de caixa </t>
  </si>
  <si>
    <t>Abastecimento do setor</t>
  </si>
  <si>
    <t xml:space="preserve">Uso no recebimento </t>
  </si>
  <si>
    <t>Abastecer Máquina de shirink</t>
  </si>
  <si>
    <t>para conferencia no SAE</t>
  </si>
  <si>
    <t>ETIQUETAS PARA IMPRESSÃO DE MINI DANFES.</t>
  </si>
  <si>
    <t>Uso no Recebimento SAS/SAE</t>
  </si>
  <si>
    <t>Consumo</t>
  </si>
  <si>
    <t xml:space="preserve">Consumo 
</t>
  </si>
  <si>
    <t>acabou no setor</t>
  </si>
  <si>
    <t>Organizar mesas</t>
  </si>
  <si>
    <t>Zerou nosso estoque.</t>
  </si>
  <si>
    <t xml:space="preserve">Utilizada na separação </t>
  </si>
  <si>
    <t>Necessitamos de uma caixa de resma para o faturamento.</t>
  </si>
  <si>
    <t>------------------------------------</t>
  </si>
  <si>
    <t>strechar paletes revisados</t>
  </si>
  <si>
    <t>abastecimento expedição</t>
  </si>
  <si>
    <t>----------------------------------------------------------------</t>
  </si>
  <si>
    <t>Ajustar os paletes</t>
  </si>
  <si>
    <t>Zerou o nosso estoque</t>
  </si>
  <si>
    <t>Para em embalagem das caixas.</t>
  </si>
  <si>
    <t xml:space="preserve">Fazer forro </t>
  </si>
  <si>
    <t>Para embalagem das caixas.</t>
  </si>
  <si>
    <t>acabaram as fitas do SAE.</t>
  </si>
  <si>
    <t xml:space="preserve">Expedição </t>
  </si>
  <si>
    <t>ABASTECER O PMM</t>
  </si>
  <si>
    <t>Para o v1</t>
  </si>
  <si>
    <t>para fazer amarração da carga</t>
  </si>
  <si>
    <t>PARA SER UTILIZADO NO ESTOQUE SAS</t>
  </si>
  <si>
    <t>Amarração caixas</t>
  </si>
  <si>
    <t>Para o V1</t>
  </si>
  <si>
    <t>Para oV1</t>
  </si>
  <si>
    <t>Para o uso de fechamentos de caixas.</t>
  </si>
  <si>
    <t>conferencia SAE</t>
  </si>
  <si>
    <t>separação</t>
  </si>
  <si>
    <t>-------------------------------------------------------------------</t>
  </si>
  <si>
    <t>Pilha para o mouse.</t>
  </si>
  <si>
    <t>EMBALAGEM DAS CAIXAS</t>
  </si>
  <si>
    <t>FITA ADEVISA SAE</t>
  </si>
  <si>
    <t>Fechamento de caixas V1.</t>
  </si>
  <si>
    <t>PARA IMPRESSÃO DE NOTAS.</t>
  </si>
  <si>
    <t>Necessidade na operação.</t>
  </si>
  <si>
    <t>Utilizar nas impressões de notas fiscais</t>
  </si>
  <si>
    <t>Uso no setor.</t>
  </si>
  <si>
    <t xml:space="preserve">Para o V1 </t>
  </si>
  <si>
    <t>Impressão para colocar no pedidos..</t>
  </si>
  <si>
    <t>------------------</t>
  </si>
  <si>
    <t>Necessitamos de uma caixa de resma para expedição SAS.</t>
  </si>
  <si>
    <t>Necessitamos de uma caixa de etiqueta para o faturamento SAS.</t>
  </si>
  <si>
    <t>--------------------------------------</t>
  </si>
  <si>
    <t>Necessidade para poder escrever e compartilhar com os terceiros as anotações!</t>
  </si>
  <si>
    <t>usar na demanda do estoque.</t>
  </si>
  <si>
    <t>A minha acabou</t>
  </si>
  <si>
    <t>Fechar caixas</t>
  </si>
  <si>
    <t>necessidade</t>
  </si>
  <si>
    <t>Para impressão de mini Danfes.</t>
  </si>
  <si>
    <t>Acabaram as etiquetas do faturamento SAS.</t>
  </si>
  <si>
    <t>Necessitamos de 1 caixa de ribbon para expedição SAS.</t>
  </si>
  <si>
    <t>Necessidade.</t>
  </si>
  <si>
    <t>Realizar amarração</t>
  </si>
  <si>
    <t>Organizar resíduo</t>
  </si>
  <si>
    <t xml:space="preserve">Conferência </t>
  </si>
  <si>
    <t>Necessitamos de uma caixa para o faturamento SAS.</t>
  </si>
  <si>
    <t>------</t>
  </si>
  <si>
    <t>Etiqueta de Danf para mini Danf.</t>
  </si>
  <si>
    <t>Para impressoras zebras.</t>
  </si>
  <si>
    <t xml:space="preserve">Embalagem </t>
  </si>
  <si>
    <t>Necessitamos de uma caixa de etiquetas para expedição SAS.</t>
  </si>
  <si>
    <t xml:space="preserve">Estou bem precisa para uso </t>
  </si>
  <si>
    <t xml:space="preserve">Forro material Ari de Sá </t>
  </si>
  <si>
    <t xml:space="preserve">Estou precisando </t>
  </si>
  <si>
    <t xml:space="preserve">Impressoras </t>
  </si>
  <si>
    <t>conferencia Sae</t>
  </si>
  <si>
    <t>Necessitamos de 1 caixa de fita adesiva para expedição SAE.</t>
  </si>
  <si>
    <t>Embalagem</t>
  </si>
  <si>
    <t>expedição sae e sas</t>
  </si>
  <si>
    <t>UTILIZAÇÃO NA ZEBRA REC</t>
  </si>
  <si>
    <t>UTILIZAÇÃO NO RECEBIMENTO SAS/SAE</t>
  </si>
  <si>
    <t>abastecimento do certo.</t>
  </si>
  <si>
    <t>GRAMPEAR AS NFS</t>
  </si>
  <si>
    <t>1 CAIXA DE FITAS PARA EMBALAGEM.</t>
  </si>
  <si>
    <t>PDV</t>
  </si>
  <si>
    <t>uso em material</t>
  </si>
  <si>
    <t>Para usar no estoque.</t>
  </si>
  <si>
    <t>Para o PDV</t>
  </si>
  <si>
    <t>Para mouse da expedição.</t>
  </si>
  <si>
    <t>Necessidade na demanda do dia a dia.</t>
  </si>
  <si>
    <t>Acabaram as etiquetas do faturamento.</t>
  </si>
  <si>
    <t>Acabaram as folhas do faturamento.</t>
  </si>
  <si>
    <t>Impressoras</t>
  </si>
  <si>
    <t>Uso no CIQ</t>
  </si>
  <si>
    <t>Uso para expedição.</t>
  </si>
  <si>
    <t xml:space="preserve">Paletização </t>
  </si>
  <si>
    <t>Precisamos de uma caixa de grampos para o faturamento.</t>
  </si>
  <si>
    <t>Para o grampeio das notas no faturamento.</t>
  </si>
  <si>
    <t xml:space="preserve">Abastece </t>
  </si>
  <si>
    <t>V2</t>
  </si>
  <si>
    <t>--------------------------------------------------</t>
  </si>
  <si>
    <t>ESTOU PRECIZANDO</t>
  </si>
  <si>
    <t>UTILIZAÇÃO NA DEVOLUÇÃO</t>
  </si>
  <si>
    <t>----------------------------------</t>
  </si>
  <si>
    <t xml:space="preserve">Abastecimento </t>
  </si>
  <si>
    <t xml:space="preserve">Resíduo </t>
  </si>
  <si>
    <t>Uma caixa de etiqueta para PLITA para a peletizarão no embarque.</t>
  </si>
  <si>
    <t>Necessidade na demanda.</t>
  </si>
  <si>
    <t xml:space="preserve">Zerou </t>
  </si>
  <si>
    <t>Organização do PDV.</t>
  </si>
  <si>
    <t>Organização de PDV</t>
  </si>
  <si>
    <t>Preparação do PDV</t>
  </si>
  <si>
    <t>uso nas atividades do estoque.</t>
  </si>
  <si>
    <t>para em plastificar alguns folhas</t>
  </si>
  <si>
    <t>---------------------------</t>
  </si>
  <si>
    <t>Para uso no setor.</t>
  </si>
  <si>
    <t>Faltando no sae</t>
  </si>
  <si>
    <t>Abastecer expedição</t>
  </si>
  <si>
    <t>Uso na Expedição</t>
  </si>
  <si>
    <t>-----------------------------------------------------------</t>
  </si>
  <si>
    <t>------------------------------------------</t>
  </si>
  <si>
    <t>As folhas A4 do faturamento SAS acabaram.</t>
  </si>
  <si>
    <t>Necessitamos de uma caixa de etiquetas para o faturamento SAS.</t>
  </si>
  <si>
    <t>SAS E SAE</t>
  </si>
  <si>
    <t>ACABOU NO ESTOQUE</t>
  </si>
  <si>
    <t>ACABOU NO PMM</t>
  </si>
  <si>
    <t>acabou no pmm</t>
  </si>
  <si>
    <t xml:space="preserve">Estou precisando pra uso </t>
  </si>
  <si>
    <t>Para usar na operação de recebimento</t>
  </si>
  <si>
    <t>Estou precisando no pmm</t>
  </si>
  <si>
    <t>Necessidade da operação</t>
  </si>
  <si>
    <t>acabou na expedição</t>
  </si>
  <si>
    <t>zero na expedição</t>
  </si>
  <si>
    <t xml:space="preserve">Etiqueta de conferência </t>
  </si>
  <si>
    <t>para uso no mouse</t>
  </si>
  <si>
    <t>Amarração da carga</t>
  </si>
  <si>
    <t>utilizar no paletes</t>
  </si>
  <si>
    <t>-----------------------------------</t>
  </si>
  <si>
    <t>Reforçar a amarração da tranfer</t>
  </si>
  <si>
    <t>Reforçar a amarração da Transfer</t>
  </si>
  <si>
    <t>estou precisando para atualizar</t>
  </si>
  <si>
    <t>uso diário</t>
  </si>
  <si>
    <t>Uso na expedição (Caixa completa já foi pegue)</t>
  </si>
  <si>
    <t>1 CAIXA DE ETIQUETA 100X100 PARA RETIRADA DE DANFS.</t>
  </si>
  <si>
    <t>PARA EMISSÃO DE NOTAS.</t>
  </si>
  <si>
    <t>Apenas acrescentando a quantidade pedida ontem para fechar o volume correto que contém na caixa.</t>
  </si>
  <si>
    <t xml:space="preserve">Reabastecer </t>
  </si>
  <si>
    <t>-------------------------------</t>
  </si>
  <si>
    <t>Para realizar a amarração carga</t>
  </si>
  <si>
    <t>@Nathalia Gomes Da Silva</t>
  </si>
  <si>
    <t>Nathalia Gomes Da Silva</t>
  </si>
  <si>
    <t>zerou no Sae</t>
  </si>
  <si>
    <t>Estou precisando que acabou aqui no pmm</t>
  </si>
  <si>
    <t>Estou precisando aqui no pmm</t>
  </si>
  <si>
    <t>Uso do setor.</t>
  </si>
  <si>
    <t>---------------------</t>
  </si>
  <si>
    <t>5 PARA O ESTOQUE 
RESTANTE RECEBIMENTO SAS E SAE</t>
  </si>
  <si>
    <t>Atividades diversas</t>
  </si>
  <si>
    <t xml:space="preserve">Utilizar no estoque </t>
  </si>
  <si>
    <t xml:space="preserve">Estou precisando no pmm
</t>
  </si>
  <si>
    <t>Ajuste de saldo</t>
  </si>
  <si>
    <t>-------------------</t>
  </si>
  <si>
    <t>Para imprimir ibitas</t>
  </si>
  <si>
    <t>estou precisando no pmm</t>
  </si>
  <si>
    <t>Uso no mouse</t>
  </si>
  <si>
    <t>-------------------------</t>
  </si>
  <si>
    <t>estou precisando no PMM</t>
  </si>
  <si>
    <t>uso nas minhas atividades</t>
  </si>
  <si>
    <t>-----------------</t>
  </si>
  <si>
    <t>uso para colocar A4</t>
  </si>
  <si>
    <t>Necessidade na demanda</t>
  </si>
  <si>
    <t>Utilizar no estoque.</t>
  </si>
  <si>
    <t>Abastecimento Expedição.</t>
  </si>
  <si>
    <t>Necessitamos de uma caixa de resmas para o faturamento SAS.</t>
  </si>
  <si>
    <t>Necessitamos de uma caixa de ribbon para o faturamento SAS.</t>
  </si>
  <si>
    <t>Necessitamos de 6 rolos de etiqueta para o PCE.</t>
  </si>
  <si>
    <t>utilizar nas minhas atividades de contagens no estoque.</t>
  </si>
  <si>
    <t>caixa de grampo pistola rocama para uso no recebimento.</t>
  </si>
  <si>
    <t>Uso para amarração da carga</t>
  </si>
  <si>
    <t>Auxiliar na Transferência</t>
  </si>
  <si>
    <t>Uso para colar A4</t>
  </si>
  <si>
    <t>embarque</t>
  </si>
  <si>
    <t>Realizar amarração da carga</t>
  </si>
  <si>
    <t>Dani Dani está precisando.</t>
  </si>
  <si>
    <t>------------------------</t>
  </si>
  <si>
    <t>--------------------</t>
  </si>
  <si>
    <t>----------------</t>
  </si>
  <si>
    <t>Para o Mouse sem fio.</t>
  </si>
  <si>
    <t>Para uso no recebimento</t>
  </si>
  <si>
    <t>Para usar no faturamento.</t>
  </si>
  <si>
    <t>uma caixa de grampos para o faturamento.</t>
  </si>
  <si>
    <t>Uso na máquina</t>
  </si>
  <si>
    <t>----</t>
  </si>
  <si>
    <t>Para impressoras. zebras.</t>
  </si>
  <si>
    <t>Para grampear as notas e packing list.</t>
  </si>
  <si>
    <t>Para emissão de DANF.</t>
  </si>
  <si>
    <t>utilizar no estoque.</t>
  </si>
  <si>
    <t>Acabaram as folhas do faturamento SAS.</t>
  </si>
  <si>
    <t>Necessidade para o mouse.</t>
  </si>
  <si>
    <t>ESTOU PRECISANDO</t>
  </si>
  <si>
    <t>ESTOU PRECISANDOR</t>
  </si>
  <si>
    <t>ESTOU PRECIZANDOR</t>
  </si>
  <si>
    <t>ACOBOU</t>
  </si>
  <si>
    <t>ACOBOU AQUI NO PMM</t>
  </si>
  <si>
    <t>Estou precisando.</t>
  </si>
  <si>
    <t>estou precisando.</t>
  </si>
  <si>
    <t>para uso no recebimento</t>
  </si>
  <si>
    <t>MCC049UC0609   	PINCEL ATOMICO VERMELHO PERMANENTE</t>
  </si>
  <si>
    <t>USO NO SETOR.</t>
  </si>
  <si>
    <t>reposição</t>
  </si>
  <si>
    <t>MCC046UC0617	CLIPS CHAPARRAU 2/0 CX C/100 UN GALV.</t>
  </si>
  <si>
    <t>falta na expedição</t>
  </si>
  <si>
    <t>sae</t>
  </si>
  <si>
    <t>para usar amarração</t>
  </si>
  <si>
    <t>Uso na operção.</t>
  </si>
  <si>
    <t xml:space="preserve">1 pacote para uso do CD 
</t>
  </si>
  <si>
    <t>PARA IMPRESSÃO DE NOTAS</t>
  </si>
  <si>
    <t>precisão</t>
  </si>
  <si>
    <t>Impressão de NFs faturamento SAS.</t>
  </si>
  <si>
    <t>Zerou nosso estoque</t>
  </si>
  <si>
    <t>Abastecimento de Expedição.</t>
  </si>
  <si>
    <t>Pilha para o mouse do Luciano da expedição SAE.</t>
  </si>
  <si>
    <t>RESÍDUO</t>
  </si>
  <si>
    <t>RECEBIMENTO SAS E SAE.</t>
  </si>
  <si>
    <t>faltando</t>
  </si>
  <si>
    <t>SAE FALTANDO</t>
  </si>
  <si>
    <t>Abastecimento expedição.</t>
  </si>
  <si>
    <t>pilha pra 2 mouses</t>
  </si>
  <si>
    <t>Para uso do setor</t>
  </si>
  <si>
    <t>Pra uso na operação.</t>
  </si>
  <si>
    <t>Acabaram as folhas do faturamento SAS</t>
  </si>
  <si>
    <t>Acabaram os ribbons do faturamento SAS</t>
  </si>
  <si>
    <t>Acabaram as etiquetas do faturamento SAS</t>
  </si>
  <si>
    <t>Utilizar nas minhas atividades.</t>
  </si>
  <si>
    <t>abastecimento</t>
  </si>
  <si>
    <t>Abastecimento Expedição</t>
  </si>
  <si>
    <t>estou precisando para uso</t>
  </si>
  <si>
    <t>reabastecimento</t>
  </si>
  <si>
    <t>Abastecimento da expedição.</t>
  </si>
  <si>
    <t>Utilização no Recebimento SAE</t>
  </si>
  <si>
    <t>Pilha para mouse, setor PPP</t>
  </si>
  <si>
    <t>embalagem</t>
  </si>
  <si>
    <t>@Daniele Paulo Marques</t>
  </si>
  <si>
    <t>Faturamento</t>
  </si>
  <si>
    <t>Daniele Paulo Marques</t>
  </si>
  <si>
    <t>expedição</t>
  </si>
  <si>
    <t>Uso para máquina de shrink</t>
  </si>
  <si>
    <t>Anotações do dia a dia.</t>
  </si>
  <si>
    <t xml:space="preserve">Acabou estou precisando </t>
  </si>
  <si>
    <t>Estou precisando no PMM</t>
  </si>
  <si>
    <t>Conferência</t>
  </si>
  <si>
    <t xml:space="preserve">Estou precisando 
</t>
  </si>
  <si>
    <t>para amarração da carga</t>
  </si>
  <si>
    <t>PCE</t>
  </si>
  <si>
    <t>Assistentes</t>
  </si>
  <si>
    <t>Expedição</t>
  </si>
  <si>
    <t>PDV SAS</t>
  </si>
  <si>
    <t>PDV SAE</t>
  </si>
  <si>
    <t>CIQ</t>
  </si>
  <si>
    <t>Uso para setor.</t>
  </si>
  <si>
    <t>-----------------------</t>
  </si>
  <si>
    <t>MCC046UC0598 ETIQUETA ADESIVA COUCHE AZUL - 105X150MM SAS</t>
  </si>
  <si>
    <t>acabou aqui no PMM</t>
  </si>
  <si>
    <t>MCC015UC0045 FITA ADESIVA 69MM X 100M</t>
  </si>
  <si>
    <t>MCC015UC0008 FILME STRETCH 500X25</t>
  </si>
  <si>
    <t>Estoque</t>
  </si>
  <si>
    <t>Espalhado no estoque para fácil acesso e agilidade na operação.</t>
  </si>
  <si>
    <t>UTILIZAÇÃO NO RECEBIMENTO SAS</t>
  </si>
  <si>
    <t>Acurar estoque</t>
  </si>
  <si>
    <t/>
  </si>
  <si>
    <t>DATA SOLICITAÇÃO</t>
  </si>
  <si>
    <t>QUANTIDADE</t>
  </si>
  <si>
    <t>VALOR UNITÁRIO</t>
  </si>
  <si>
    <t>VALOR TOTAL</t>
  </si>
  <si>
    <t>FORNECEDOR</t>
  </si>
  <si>
    <t>CNPJ</t>
  </si>
  <si>
    <t>DATA ENTREGA</t>
  </si>
  <si>
    <t>MÊS ENTREGA</t>
  </si>
  <si>
    <t>TIPO DE MOVIMENTAÇÃO</t>
  </si>
  <si>
    <t>OBS</t>
  </si>
  <si>
    <t>Entrada</t>
  </si>
  <si>
    <t xml:space="preserve">AJUSTE DE ESTOQUE </t>
  </si>
  <si>
    <t>AJUSTE DE ESTOQUE</t>
  </si>
  <si>
    <t>ITEM SLACK</t>
  </si>
  <si>
    <t>SETOR</t>
  </si>
  <si>
    <t>SOLICITANTE SLACK</t>
  </si>
  <si>
    <t>JUSTIFICATIVA SLACK</t>
  </si>
  <si>
    <t>TIPO DE MOVIMENTAÇAO</t>
  </si>
  <si>
    <t>Saída</t>
  </si>
  <si>
    <t>Organização do PDV</t>
  </si>
  <si>
    <t>MCC046UC0687 ETIQUETA COUCHE - 100X100X 1</t>
  </si>
  <si>
    <t>MCC046UC0082 PAPEL SULFITE A4 75G 500 FOLHAS</t>
  </si>
  <si>
    <t>MCC046UC0695 ETIQUETA COUCHE 98X50X1</t>
  </si>
  <si>
    <t>MCC046UC0525 CANETA PINCEL ATOMICO AZUL PILOT 1100</t>
  </si>
  <si>
    <t>para uso do PMM</t>
  </si>
  <si>
    <t>MCC046UC0526 CANETA PINCEL ATOMICO PRETA PILOT 1100</t>
  </si>
  <si>
    <t>MCC049UC0603 PLASTICO PLASTIF. A-4 220/307 C/100 UN PROLAM</t>
  </si>
  <si>
    <t>ABASTECIMENTO DO PMM UMA CAIXA</t>
  </si>
  <si>
    <t>MCC046UC0638 PILHA ALCALINA ELGIN PALITO AAA</t>
  </si>
  <si>
    <t>Necessidade da colabora Jeniffer, mouse e teclado</t>
  </si>
  <si>
    <t>MCC046UC0398 GRAMPO 26/6 COBREADO CX.C/5000 BACCHI</t>
  </si>
  <si>
    <t>MCC046UC0639 PILHA ALCALINA ELGIN PEQ.AA</t>
  </si>
  <si>
    <t>uso no setor.</t>
  </si>
  <si>
    <t>USO PESSOAL NO MOUSE</t>
  </si>
  <si>
    <t>MCC046UC0210 CALCULADORA MESA 12 DIGITOS ZT 712 ZETA</t>
  </si>
  <si>
    <t>Teste</t>
  </si>
  <si>
    <t>MCC046UC0596 ETIQUETA ADESIVA COUCHE BRANCA   - 105X150MM SAS</t>
  </si>
  <si>
    <t>Abastecimento expedição</t>
  </si>
  <si>
    <t>abastecimento PMM</t>
  </si>
  <si>
    <t>@Welber Maximiano Feitosa Muniz</t>
  </si>
  <si>
    <t>Abastecimento para impressão de OS e faturamento de NFs. Uso diário na operação IS</t>
  </si>
  <si>
    <t>Utilização mezanino</t>
  </si>
  <si>
    <t>MCC046UC0668 ETIQUETA ADESIVA COUCHE CINZA 100X150X1</t>
  </si>
  <si>
    <t>EMC015MO0001 RIBBON CERA PRETO 110MMX300M</t>
  </si>
  <si>
    <t>MCC046UC0599 ETIQUETA ADESIVA COUCHE AMARELA  - 105X150MM SAS</t>
  </si>
  <si>
    <t>MCC015UC0038 BOBINA SHRINK 500MM</t>
  </si>
  <si>
    <t>MCC046UC0659 ETIQUETA 70MM PROFESSOR</t>
  </si>
  <si>
    <t>MCC046UC0660 ETIQUETA 70MM COORDENACAO</t>
  </si>
  <si>
    <t>pilha pra mouse</t>
  </si>
  <si>
    <t>MCC046UC0696 PAPEL ESCOLAR SENNINHA C/100 FLS CORES DIVERSOS</t>
  </si>
  <si>
    <t>MCC049UC0516 ETIQUETA ADESIVA COUCHE VERDE CLARO - 105X150MM</t>
  </si>
  <si>
    <t>MCC049UC0600 FITA ADESIVA P/ CACHORRO PERSONALIZADA</t>
  </si>
  <si>
    <t>30000107 - CAIXA 7</t>
  </si>
  <si>
    <t>Falta do insumo no setor</t>
  </si>
  <si>
    <t>MCC046UC0215 CANETA ESFEROGRAFICA ECONOMIC AZUL BIC</t>
  </si>
  <si>
    <t>FALTA DO INSUMO NO SETOR</t>
  </si>
  <si>
    <t>Abastecimento da Expedição.</t>
  </si>
  <si>
    <t>@Pedro Guilherme Queiroz E Silva</t>
  </si>
  <si>
    <t>ABASTECIMENTO</t>
  </si>
  <si>
    <t>MCC046UC0597 ETIQUETA ADESIVA COUCHE ROSA - SAS 105X150MM</t>
  </si>
  <si>
    <t>MCC046UC0658 ETIQUETA ADESIVA COUCHE LARANJA 100X150X1</t>
  </si>
  <si>
    <t>ABASTERCIMENTO</t>
  </si>
  <si>
    <t>ABSTECIMENTO</t>
  </si>
  <si>
    <t>MCC015UC0047 ETIQUETA CORTESIA</t>
  </si>
  <si>
    <t>para realizar amarração da carga</t>
  </si>
  <si>
    <t>uso para colocar identificações</t>
  </si>
  <si>
    <t>SAS</t>
  </si>
  <si>
    <t>ABASTECIMENTO  O PMM</t>
  </si>
  <si>
    <t>Abastecimento au  PMM</t>
  </si>
  <si>
    <t>MCC046UC0048 PAPEL MACULATURA GROSSO - KRAFT - 1,20CM</t>
  </si>
  <si>
    <t>Retrabalho das Provas de sas enem</t>
  </si>
  <si>
    <t>UTILIZAÇÃO NO SETOR DE RECEBIMENTO SAE</t>
  </si>
  <si>
    <t>1 pallete de caixa 7</t>
  </si>
  <si>
    <t>30000109 - CAIXA EMB PAPELÃO  CV 295X255X70</t>
  </si>
  <si>
    <t>1 pallete da pizza P</t>
  </si>
  <si>
    <t>30000102 - CAIXA EMB PAPELÃO TF 290X250X280</t>
  </si>
  <si>
    <t xml:space="preserve">Apenas fundo. </t>
  </si>
  <si>
    <t>Para strech de materiais</t>
  </si>
  <si>
    <t>Para strech da materiais</t>
  </si>
  <si>
    <t>MCC015UC0033 FITA DE ARQUEAR PET VERDE 16MM X 0,8MM C/ 13KG</t>
  </si>
  <si>
    <t>Arquiamento de materiais</t>
  </si>
  <si>
    <t>abastecimento do pmm</t>
  </si>
  <si>
    <t>STRETCH RECEBIMENTO SAS</t>
  </si>
  <si>
    <t>Demandas de V3</t>
  </si>
  <si>
    <t>MCC049UC0288 FITILHO POLIPROPILENO P/EMBALAGEM</t>
  </si>
  <si>
    <t xml:space="preserve">Troca de caixas, material chegou com avarias no recebimento </t>
  </si>
  <si>
    <t>MCC046C00003 ETIQUETA 70MM AVALIACAO</t>
  </si>
  <si>
    <t>Ajuste de Saldo</t>
  </si>
  <si>
    <t>para abastece o PMM</t>
  </si>
  <si>
    <t>UMA caixa para uso do pmm</t>
  </si>
  <si>
    <t>Abastecer a área</t>
  </si>
  <si>
    <t>30000101 - CAIXA EMB PAPELÃO  TF 285X215X280</t>
  </si>
  <si>
    <t>1 pallete de tampa e 1 pallete de fundo</t>
  </si>
  <si>
    <t>30000103 - CAIXA EMB PAPELÃO  TF 290X280X280</t>
  </si>
  <si>
    <t>30000104 - CAIXA EMB PAPELÃO  TF 345X290X280</t>
  </si>
  <si>
    <t>1 pallete que já vem fundo+tampa</t>
  </si>
  <si>
    <t>1 PALLETE</t>
  </si>
  <si>
    <t>30000110 - CAIXA EMB PAPELÃO  CV 375X285X70</t>
  </si>
  <si>
    <t>1 pallete</t>
  </si>
  <si>
    <t>DEVOLUCAO</t>
  </si>
  <si>
    <t>amarração da carga</t>
  </si>
  <si>
    <t>para retrabalho de caixas no recebimento</t>
  </si>
  <si>
    <t>Solicitação de 2 palletes de caixa 07</t>
  </si>
  <si>
    <t>1 caixa de resma para faturamento</t>
  </si>
  <si>
    <t>EMC015MO0007 RIBBON CERA PRETO 110MMX74M</t>
  </si>
  <si>
    <t xml:space="preserve">Para abastecimento do PMM </t>
  </si>
  <si>
    <t>zerou o estoque</t>
  </si>
  <si>
    <t>Obs só tampa</t>
  </si>
  <si>
    <t>Falta de insumo no setor</t>
  </si>
  <si>
    <t>FALTA DE INSUMO NO SETOR</t>
  </si>
  <si>
    <t>zerou o estoque aqui</t>
  </si>
  <si>
    <t>MCC049UC0607 PAPEL A3 RESMA COM 500 FLS</t>
  </si>
  <si>
    <t>zerou</t>
  </si>
  <si>
    <t xml:space="preserve">Zerou no estoque </t>
  </si>
  <si>
    <t>@Jose Claudio Correia</t>
  </si>
  <si>
    <t>falta de insumo  no setor</t>
  </si>
  <si>
    <t>falta de insumo no setor ( obs: tampa )</t>
  </si>
  <si>
    <t>strechar paletes com mais de 20 sku</t>
  </si>
  <si>
    <t>Uso na expedição.
OBS: Sr. Edi já retirou</t>
  </si>
  <si>
    <t>CONFERÊNCIA</t>
  </si>
  <si>
    <t>CONFERêNCIA</t>
  </si>
  <si>
    <t xml:space="preserve">Abastecimento do PMM </t>
  </si>
  <si>
    <t>falta de insumo no setor</t>
  </si>
  <si>
    <t>Falta de insumo no setor.</t>
  </si>
  <si>
    <t>MCC015C00002 FILME STRETCH MANUAL 500X0.025 - AZUL</t>
  </si>
  <si>
    <t>----------------------------</t>
  </si>
  <si>
    <t>UTILIZAÇÃO NO RECEBIMENTO SAS / SAE</t>
  </si>
  <si>
    <t>Abastecer a máquina</t>
  </si>
  <si>
    <t>Abastecimento expedição.
Sr. Ed já retirou.</t>
  </si>
  <si>
    <t>insumo em falta no setor</t>
  </si>
  <si>
    <t>Folhas para impressão de Ordem de separação IS</t>
  </si>
  <si>
    <t>Folha para impressão de Ordem de separação IS</t>
  </si>
  <si>
    <t>realizar amarração nas caixas</t>
  </si>
  <si>
    <t>realizar colagem das A4</t>
  </si>
  <si>
    <t>abastecimento da expedição.</t>
  </si>
  <si>
    <t>faturamento</t>
  </si>
  <si>
    <t>FALTANDO NO SETOR.</t>
  </si>
  <si>
    <t>---------------</t>
  </si>
  <si>
    <t>faltando no setor</t>
  </si>
  <si>
    <t>falta no setor</t>
  </si>
  <si>
    <t>uso no estoque sae</t>
  </si>
  <si>
    <t>faltando no setor ( obs: só fundo caixa)</t>
  </si>
  <si>
    <t>faltando no setor  ( obs: esse material já peguei com o Luan, peguei  tampa caixa.)</t>
  </si>
  <si>
    <t>SOICITAÇÃO DO TIME DE TRANSPORTE PARA APÓIO A TRANSPORTADORA</t>
  </si>
  <si>
    <t>abastecimento expedição.</t>
  </si>
  <si>
    <t>ABASTECIMENTO AU PMM</t>
  </si>
  <si>
    <t>ABASTECIMENTO DE PMM</t>
  </si>
  <si>
    <t>@Gabriel Costa De Oliveira</t>
  </si>
  <si>
    <t>SOLICITAÇÃO DO TIME DE TRANSPORTE PARA APOIO A TRANSPORTADORA</t>
  </si>
  <si>
    <t>precisando colocar no material</t>
  </si>
  <si>
    <t>falta no setor.</t>
  </si>
  <si>
    <t>faltando no setor ( Bbs: setor da IS )</t>
  </si>
  <si>
    <t>abastecimento do PMM</t>
  </si>
  <si>
    <t>1 Pallete de fundo e tampa da caixa 7</t>
  </si>
  <si>
    <t>30000108 - CAIXA 8</t>
  </si>
  <si>
    <t>EXPEDIÇÃO DO IS</t>
  </si>
  <si>
    <t>realizar amarração da carga</t>
  </si>
  <si>
    <t>Abastecimento de resmas para impressão de O.S para a marca IS</t>
  </si>
  <si>
    <t>ABASTECIMENTO DE RESMAS PARA EXPEDIÇÃO E O.S IS</t>
  </si>
  <si>
    <t>Embalagem/Conferência</t>
  </si>
  <si>
    <t>abatecimento</t>
  </si>
  <si>
    <t>Uso no faturamento</t>
  </si>
  <si>
    <t>QTD</t>
  </si>
  <si>
    <t xml:space="preserve">CHECK </t>
  </si>
  <si>
    <t>OK</t>
  </si>
  <si>
    <t>ok</t>
  </si>
  <si>
    <t>-</t>
  </si>
  <si>
    <t xml:space="preserve">Data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</si>
</sst>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mm d, yyyy, hh:mm:ss"/>
  </numFmts>
  <fonts count="1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b/>
      <color theme="1"/>
      <name val="Arial"/>
    </font>
    <font>
      <b/>
      <sz val="11.0"/>
      <color rgb="FFFFFFFF"/>
      <name val="Arial"/>
      <scheme val="minor"/>
    </font>
    <font>
      <b/>
      <sz val="11.0"/>
      <color theme="0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3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3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left" vertical="bottom"/>
    </xf>
    <xf borderId="0" fillId="0" fontId="3" numFmtId="3" xfId="0" applyAlignment="1" applyFont="1" applyNumberFormat="1">
      <alignment horizontal="right" vertical="bottom"/>
    </xf>
    <xf borderId="0" fillId="0" fontId="3" numFmtId="49" xfId="0" applyAlignment="1" applyFont="1" applyNumberFormat="1">
      <alignment horizontal="right" vertical="bottom"/>
    </xf>
    <xf borderId="0" fillId="0" fontId="2" numFmtId="49" xfId="0" applyFont="1" applyNumberFormat="1"/>
    <xf borderId="0" fillId="0" fontId="3" numFmtId="165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3" numFmtId="165" xfId="0" applyAlignment="1" applyFont="1" applyNumberFormat="1">
      <alignment horizontal="left" vertical="bottom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 readingOrder="0" shrinkToFit="0" vertical="bottom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3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horizontal="center" shrinkToFit="0" vertical="bottom" wrapText="0"/>
    </xf>
    <xf borderId="1" fillId="0" fontId="2" numFmtId="3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3" fontId="7" numFmtId="0" xfId="0" applyAlignment="1" applyFill="1" applyFont="1">
      <alignment horizontal="center" readingOrder="0"/>
    </xf>
    <xf borderId="0" fillId="3" fontId="8" numFmtId="3" xfId="0" applyAlignment="1" applyFont="1" applyNumberFormat="1">
      <alignment horizontal="center" readingOrder="0"/>
    </xf>
    <xf borderId="0" fillId="3" fontId="8" numFmtId="0" xfId="0" applyAlignment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horizontal="center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9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ágina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0" displayName="Tabela_1" name="Tabela_1" id="1">
  <autoFilter ref="$A$1:$I$70"/>
  <tableColumns count="9">
    <tableColumn name="IDdoInsumo" id="1"/>
    <tableColumn name="Nome do Insumo" id="2"/>
    <tableColumn name="Estoque de Segurança" id="3"/>
    <tableColumn name="Total de Entradas" id="4"/>
    <tableColumn name="Total de Saídas" id="5"/>
    <tableColumn name="Estoque Real" id="6"/>
    <tableColumn name="Status" id="7"/>
    <tableColumn name="UN de Medida" id="8"/>
    <tableColumn name="Valor Unit" id="9"/>
  </tableColumns>
  <tableStyleInfo name="Página9-style" showColumnStripes="0" showFirstColumn="1" showLastColumn="1" showRowStripes="1"/>
</table>
</file>

<file path=xl/tables/table2.xml><?xml version="1.0" encoding="utf-8"?>
<table xmlns="http://schemas.openxmlformats.org/spreadsheetml/2006/main" ref="A1:F104" displayName="Tabela_2" name="Tabela_2" id="2">
  <tableColumns count="6">
    <tableColumn name="Data" id="1"/>
    <tableColumn name="IDdoInsumo" id="2"/>
    <tableColumn name="Descrição " id="3"/>
    <tableColumn name="Quantidade" id="4"/>
    <tableColumn name="Responsável" id="5"/>
    <tableColumn name="Movimentação" id="6"/>
  </tableColumns>
  <tableStyleInfo name="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50.38"/>
    <col customWidth="1" min="3" max="3" width="27.13"/>
    <col customWidth="1" min="4" max="4" width="19.75"/>
    <col customWidth="1" min="5" max="5" width="18.13"/>
    <col customWidth="1" min="6" max="6" width="19.5"/>
    <col customWidth="1" min="7" max="7" width="14.13"/>
    <col customWidth="1" min="8" max="8" width="18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ht="22.5" customHeight="1">
      <c r="A2" s="4" t="s">
        <v>9</v>
      </c>
      <c r="B2" s="4" t="s">
        <v>10</v>
      </c>
      <c r="C2" s="5">
        <v>1.0</v>
      </c>
      <c r="D2" s="6">
        <f>SUMIFS(E!D:D,E!B:B,A2)</f>
        <v>2</v>
      </c>
      <c r="E2" s="6">
        <f>SUMIF(S!G:G,A2,S!D:D)</f>
        <v>3</v>
      </c>
      <c r="F2" s="5">
        <f t="shared" ref="F2:F70" si="1">D2-E2</f>
        <v>-1</v>
      </c>
      <c r="G2" s="7" t="str">
        <f t="shared" ref="G2:G70" si="2">IF(F2&lt;=C2, "REPOR ESTOQUE", "OK")</f>
        <v>REPOR ESTOQUE</v>
      </c>
      <c r="H2" s="8" t="s">
        <v>11</v>
      </c>
      <c r="I2" s="9"/>
    </row>
    <row r="3" ht="22.5" customHeight="1">
      <c r="A3" s="4" t="s">
        <v>12</v>
      </c>
      <c r="B3" s="4" t="s">
        <v>13</v>
      </c>
      <c r="C3" s="5">
        <v>3.0</v>
      </c>
      <c r="D3" s="6">
        <f>SUMIFS(E!D:D,E!B:B,A3)</f>
        <v>54</v>
      </c>
      <c r="E3" s="6">
        <f>SUMIF(S!G:G,A3,S!D:D)</f>
        <v>41</v>
      </c>
      <c r="F3" s="5">
        <f t="shared" si="1"/>
        <v>13</v>
      </c>
      <c r="G3" s="7" t="str">
        <f t="shared" si="2"/>
        <v>OK</v>
      </c>
      <c r="H3" s="8" t="s">
        <v>14</v>
      </c>
      <c r="I3" s="9"/>
    </row>
    <row r="4" ht="22.5" customHeight="1">
      <c r="A4" s="4">
        <v>3.0000107E7</v>
      </c>
      <c r="B4" s="4" t="s">
        <v>15</v>
      </c>
      <c r="C4" s="5">
        <v>1000.0</v>
      </c>
      <c r="D4" s="6">
        <f>SUMIFS(E!D:D,E!B:B,A4)</f>
        <v>0</v>
      </c>
      <c r="E4" s="6">
        <f>SUMIF(S!G:G,A4,S!D:D)</f>
        <v>0</v>
      </c>
      <c r="F4" s="5">
        <f t="shared" si="1"/>
        <v>0</v>
      </c>
      <c r="G4" s="7" t="str">
        <f t="shared" si="2"/>
        <v>REPOR ESTOQUE</v>
      </c>
      <c r="H4" s="8" t="s">
        <v>11</v>
      </c>
      <c r="I4" s="9"/>
    </row>
    <row r="5" ht="22.5" customHeight="1">
      <c r="A5" s="4">
        <v>3.0000108E7</v>
      </c>
      <c r="B5" s="4" t="s">
        <v>16</v>
      </c>
      <c r="C5" s="5">
        <v>1000.0</v>
      </c>
      <c r="D5" s="6">
        <f>SUMIFS(E!D:D,E!B:B,A5)</f>
        <v>0</v>
      </c>
      <c r="E5" s="6">
        <f>SUMIF(S!G:G,A5,S!D:D)</f>
        <v>0</v>
      </c>
      <c r="F5" s="5">
        <f t="shared" si="1"/>
        <v>0</v>
      </c>
      <c r="G5" s="7" t="str">
        <f t="shared" si="2"/>
        <v>REPOR ESTOQUE</v>
      </c>
      <c r="H5" s="8" t="s">
        <v>11</v>
      </c>
      <c r="I5" s="9"/>
    </row>
    <row r="6" ht="22.5" customHeight="1">
      <c r="A6" s="4">
        <v>3.0000109E7</v>
      </c>
      <c r="B6" s="4" t="s">
        <v>17</v>
      </c>
      <c r="C6" s="5">
        <v>1000.0</v>
      </c>
      <c r="D6" s="6">
        <f>SUMIFS(E!D:D,E!B:B,A6)</f>
        <v>0</v>
      </c>
      <c r="E6" s="6">
        <f>SUMIF(S!G:G,A6,S!D:D)</f>
        <v>0</v>
      </c>
      <c r="F6" s="5">
        <f t="shared" si="1"/>
        <v>0</v>
      </c>
      <c r="G6" s="7" t="str">
        <f t="shared" si="2"/>
        <v>REPOR ESTOQUE</v>
      </c>
      <c r="H6" s="8" t="s">
        <v>11</v>
      </c>
      <c r="I6" s="9"/>
    </row>
    <row r="7" ht="22.5" customHeight="1">
      <c r="A7" s="4">
        <v>3.000011E7</v>
      </c>
      <c r="B7" s="4" t="s">
        <v>18</v>
      </c>
      <c r="C7" s="5">
        <v>1000.0</v>
      </c>
      <c r="D7" s="6">
        <f>SUMIFS(E!D:D,E!B:B,A7)</f>
        <v>0</v>
      </c>
      <c r="E7" s="6">
        <f>SUMIF(S!G:G,A7,S!D:D)</f>
        <v>0</v>
      </c>
      <c r="F7" s="5">
        <f t="shared" si="1"/>
        <v>0</v>
      </c>
      <c r="G7" s="7" t="str">
        <f t="shared" si="2"/>
        <v>REPOR ESTOQUE</v>
      </c>
      <c r="H7" s="8" t="s">
        <v>11</v>
      </c>
      <c r="I7" s="9"/>
    </row>
    <row r="8" ht="22.5" customHeight="1">
      <c r="A8" s="4">
        <v>3.0000101E7</v>
      </c>
      <c r="B8" s="4" t="s">
        <v>19</v>
      </c>
      <c r="C8" s="5">
        <v>1000.0</v>
      </c>
      <c r="D8" s="6">
        <f>SUMIFS(E!D:D,E!B:B,A8)</f>
        <v>0</v>
      </c>
      <c r="E8" s="6">
        <f>SUMIF(S!G:G,A8,S!D:D)</f>
        <v>0</v>
      </c>
      <c r="F8" s="5">
        <f t="shared" si="1"/>
        <v>0</v>
      </c>
      <c r="G8" s="7" t="str">
        <f t="shared" si="2"/>
        <v>REPOR ESTOQUE</v>
      </c>
      <c r="H8" s="8" t="s">
        <v>11</v>
      </c>
      <c r="I8" s="9"/>
    </row>
    <row r="9" ht="22.5" customHeight="1">
      <c r="A9" s="4">
        <v>3.0000103E7</v>
      </c>
      <c r="B9" s="4" t="s">
        <v>20</v>
      </c>
      <c r="C9" s="5">
        <v>1000.0</v>
      </c>
      <c r="D9" s="6">
        <f>SUMIFS(E!D:D,E!B:B,A9)</f>
        <v>0</v>
      </c>
      <c r="E9" s="6">
        <f>SUMIF(S!G:G,A9,S!D:D)</f>
        <v>0</v>
      </c>
      <c r="F9" s="5">
        <f t="shared" si="1"/>
        <v>0</v>
      </c>
      <c r="G9" s="7" t="str">
        <f t="shared" si="2"/>
        <v>REPOR ESTOQUE</v>
      </c>
      <c r="H9" s="8" t="s">
        <v>11</v>
      </c>
      <c r="I9" s="9"/>
    </row>
    <row r="10" ht="22.5" customHeight="1">
      <c r="A10" s="4">
        <v>3.0000104E7</v>
      </c>
      <c r="B10" s="4" t="s">
        <v>21</v>
      </c>
      <c r="C10" s="5">
        <v>1000.0</v>
      </c>
      <c r="D10" s="6">
        <f>SUMIFS(E!D:D,E!B:B,A10)</f>
        <v>0</v>
      </c>
      <c r="E10" s="6">
        <f>SUMIF(S!G:G,A10,S!D:D)</f>
        <v>0</v>
      </c>
      <c r="F10" s="5">
        <f t="shared" si="1"/>
        <v>0</v>
      </c>
      <c r="G10" s="7" t="str">
        <f t="shared" si="2"/>
        <v>REPOR ESTOQUE</v>
      </c>
      <c r="H10" s="8" t="s">
        <v>11</v>
      </c>
      <c r="I10" s="9"/>
    </row>
    <row r="11" ht="22.5" customHeight="1">
      <c r="A11" s="4">
        <v>3.0000102E7</v>
      </c>
      <c r="B11" s="4" t="s">
        <v>22</v>
      </c>
      <c r="C11" s="5">
        <v>1000.0</v>
      </c>
      <c r="D11" s="6">
        <f>SUMIFS(E!D:D,E!B:B,A11)</f>
        <v>0</v>
      </c>
      <c r="E11" s="6">
        <f>SUMIF(S!G:G,A11,S!D:D)</f>
        <v>0</v>
      </c>
      <c r="F11" s="5">
        <f t="shared" si="1"/>
        <v>0</v>
      </c>
      <c r="G11" s="7" t="str">
        <f t="shared" si="2"/>
        <v>REPOR ESTOQUE</v>
      </c>
      <c r="H11" s="8" t="s">
        <v>11</v>
      </c>
      <c r="I11" s="9"/>
    </row>
    <row r="12" ht="22.5" customHeight="1">
      <c r="A12" s="4" t="s">
        <v>23</v>
      </c>
      <c r="B12" s="4" t="s">
        <v>24</v>
      </c>
      <c r="C12" s="5">
        <v>1.0</v>
      </c>
      <c r="D12" s="6">
        <f>SUMIFS(E!D:D,E!B:B,A12)</f>
        <v>20</v>
      </c>
      <c r="E12" s="6">
        <f>SUMIF(S!G:G,A12,S!D:D)</f>
        <v>18</v>
      </c>
      <c r="F12" s="5">
        <f t="shared" si="1"/>
        <v>2</v>
      </c>
      <c r="G12" s="7" t="str">
        <f t="shared" si="2"/>
        <v>OK</v>
      </c>
      <c r="H12" s="8" t="s">
        <v>11</v>
      </c>
      <c r="I12" s="9"/>
    </row>
    <row r="13" ht="22.5" customHeight="1">
      <c r="A13" s="4" t="s">
        <v>25</v>
      </c>
      <c r="B13" s="4" t="s">
        <v>26</v>
      </c>
      <c r="C13" s="5">
        <v>15.0</v>
      </c>
      <c r="D13" s="6">
        <f>SUMIFS(E!D:D,E!B:B,A13)</f>
        <v>168</v>
      </c>
      <c r="E13" s="6">
        <f>SUMIF(S!G:G,A13,S!D:D)</f>
        <v>188</v>
      </c>
      <c r="F13" s="5">
        <f t="shared" si="1"/>
        <v>-20</v>
      </c>
      <c r="G13" s="7" t="str">
        <f t="shared" si="2"/>
        <v>REPOR ESTOQUE</v>
      </c>
      <c r="H13" s="8" t="s">
        <v>11</v>
      </c>
      <c r="I13" s="9"/>
    </row>
    <row r="14" ht="22.5" customHeight="1">
      <c r="A14" s="4" t="s">
        <v>27</v>
      </c>
      <c r="B14" s="4" t="s">
        <v>28</v>
      </c>
      <c r="C14" s="5">
        <v>15.0</v>
      </c>
      <c r="D14" s="6">
        <f>SUMIFS(E!D:D,E!B:B,A14)</f>
        <v>146</v>
      </c>
      <c r="E14" s="6">
        <f>SUMIF(S!G:G,A14,S!D:D)</f>
        <v>57</v>
      </c>
      <c r="F14" s="5">
        <f t="shared" si="1"/>
        <v>89</v>
      </c>
      <c r="G14" s="7" t="str">
        <f t="shared" si="2"/>
        <v>OK</v>
      </c>
      <c r="H14" s="8" t="s">
        <v>11</v>
      </c>
      <c r="I14" s="9"/>
    </row>
    <row r="15" ht="22.5" customHeight="1">
      <c r="A15" s="4" t="s">
        <v>29</v>
      </c>
      <c r="B15" s="4" t="s">
        <v>30</v>
      </c>
      <c r="C15" s="5">
        <v>3.0</v>
      </c>
      <c r="D15" s="6">
        <f>SUMIFS(E!D:D,E!B:B,A15)</f>
        <v>25</v>
      </c>
      <c r="E15" s="6">
        <f>SUMIF(S!G:G,A15,S!D:D)</f>
        <v>20</v>
      </c>
      <c r="F15" s="5">
        <f t="shared" si="1"/>
        <v>5</v>
      </c>
      <c r="G15" s="7" t="str">
        <f t="shared" si="2"/>
        <v>OK</v>
      </c>
      <c r="H15" s="8" t="s">
        <v>11</v>
      </c>
      <c r="I15" s="9"/>
    </row>
    <row r="16" ht="22.5" customHeight="1">
      <c r="A16" s="4" t="s">
        <v>31</v>
      </c>
      <c r="B16" s="4" t="s">
        <v>32</v>
      </c>
      <c r="C16" s="5">
        <v>3.0</v>
      </c>
      <c r="D16" s="6">
        <f>SUMIFS(E!D:D,E!B:B,A16)</f>
        <v>19</v>
      </c>
      <c r="E16" s="6">
        <f>SUMIF(S!G:G,A16,S!D:D)</f>
        <v>18</v>
      </c>
      <c r="F16" s="5">
        <f t="shared" si="1"/>
        <v>1</v>
      </c>
      <c r="G16" s="7" t="str">
        <f t="shared" si="2"/>
        <v>REPOR ESTOQUE</v>
      </c>
      <c r="H16" s="8" t="s">
        <v>11</v>
      </c>
      <c r="I16" s="9"/>
    </row>
    <row r="17" ht="22.5" customHeight="1">
      <c r="A17" s="10" t="s">
        <v>33</v>
      </c>
      <c r="B17" s="11" t="s">
        <v>34</v>
      </c>
      <c r="C17" s="5">
        <v>2.0</v>
      </c>
      <c r="D17" s="6">
        <f>SUMIFS(E!D:D,E!B:B,A17)</f>
        <v>8</v>
      </c>
      <c r="E17" s="12">
        <f>SUMIF(S!G:G,A17,S!D:D)</f>
        <v>0</v>
      </c>
      <c r="F17" s="13">
        <f t="shared" si="1"/>
        <v>8</v>
      </c>
      <c r="G17" s="14" t="str">
        <f t="shared" si="2"/>
        <v>OK</v>
      </c>
      <c r="H17" s="8" t="s">
        <v>35</v>
      </c>
      <c r="I17" s="9"/>
    </row>
    <row r="18" ht="22.5" customHeight="1">
      <c r="A18" s="10" t="s">
        <v>36</v>
      </c>
      <c r="B18" s="11" t="s">
        <v>37</v>
      </c>
      <c r="C18" s="5">
        <v>2.0</v>
      </c>
      <c r="D18" s="6">
        <f>SUMIFS(E!D:D,E!B:B,A18)</f>
        <v>10</v>
      </c>
      <c r="E18" s="12">
        <f>SUMIF(S!G:G,A18,S!D:D)</f>
        <v>0</v>
      </c>
      <c r="F18" s="13">
        <f t="shared" si="1"/>
        <v>10</v>
      </c>
      <c r="G18" s="14" t="str">
        <f t="shared" si="2"/>
        <v>OK</v>
      </c>
      <c r="H18" s="8" t="s">
        <v>35</v>
      </c>
      <c r="I18" s="9"/>
    </row>
    <row r="19" ht="22.5" customHeight="1">
      <c r="A19" s="4" t="s">
        <v>38</v>
      </c>
      <c r="B19" s="4" t="s">
        <v>39</v>
      </c>
      <c r="C19" s="5">
        <v>2.0</v>
      </c>
      <c r="D19" s="6">
        <f>SUMIFS(E!D:D,E!B:B,A19)</f>
        <v>17</v>
      </c>
      <c r="E19" s="6">
        <f>SUMIF(S!G:G,A19,S!D:D)</f>
        <v>1</v>
      </c>
      <c r="F19" s="5">
        <f t="shared" si="1"/>
        <v>16</v>
      </c>
      <c r="G19" s="7" t="str">
        <f t="shared" si="2"/>
        <v>OK</v>
      </c>
      <c r="H19" s="8" t="s">
        <v>11</v>
      </c>
      <c r="I19" s="9"/>
    </row>
    <row r="20" ht="22.5" customHeight="1">
      <c r="A20" s="4" t="s">
        <v>40</v>
      </c>
      <c r="B20" s="4" t="s">
        <v>41</v>
      </c>
      <c r="C20" s="5">
        <v>3.0</v>
      </c>
      <c r="D20" s="6">
        <f>SUMIFS(E!D:D,E!B:B,A20)</f>
        <v>0</v>
      </c>
      <c r="E20" s="6">
        <f>SUMIF(S!G:G,A20,S!D:D)</f>
        <v>0</v>
      </c>
      <c r="F20" s="5">
        <f t="shared" si="1"/>
        <v>0</v>
      </c>
      <c r="G20" s="7" t="str">
        <f t="shared" si="2"/>
        <v>REPOR ESTOQUE</v>
      </c>
      <c r="H20" s="8" t="s">
        <v>11</v>
      </c>
      <c r="I20" s="9"/>
    </row>
    <row r="21" ht="22.5" customHeight="1">
      <c r="A21" s="4" t="s">
        <v>42</v>
      </c>
      <c r="B21" s="4" t="s">
        <v>43</v>
      </c>
      <c r="C21" s="5">
        <v>5.0</v>
      </c>
      <c r="D21" s="6">
        <f>SUMIFS(E!D:D,E!B:B,A21)</f>
        <v>58</v>
      </c>
      <c r="E21" s="6">
        <f>SUMIF(S!G:G,A21,S!D:D)</f>
        <v>23</v>
      </c>
      <c r="F21" s="5">
        <f t="shared" si="1"/>
        <v>35</v>
      </c>
      <c r="G21" s="7" t="str">
        <f t="shared" si="2"/>
        <v>OK</v>
      </c>
      <c r="H21" s="8" t="s">
        <v>44</v>
      </c>
      <c r="I21" s="9"/>
    </row>
    <row r="22" ht="22.5" customHeight="1">
      <c r="A22" s="4" t="s">
        <v>45</v>
      </c>
      <c r="B22" s="4" t="s">
        <v>46</v>
      </c>
      <c r="C22" s="5">
        <v>5.0</v>
      </c>
      <c r="D22" s="6">
        <f>SUMIFS(E!D:D,E!B:B,A22)</f>
        <v>59</v>
      </c>
      <c r="E22" s="6">
        <f>SUMIF(S!G:G,A22,S!D:D)</f>
        <v>34</v>
      </c>
      <c r="F22" s="5">
        <f t="shared" si="1"/>
        <v>25</v>
      </c>
      <c r="G22" s="7" t="str">
        <f t="shared" si="2"/>
        <v>OK</v>
      </c>
      <c r="H22" s="8" t="s">
        <v>44</v>
      </c>
      <c r="I22" s="9"/>
    </row>
    <row r="23" ht="22.5" customHeight="1">
      <c r="A23" s="4" t="s">
        <v>47</v>
      </c>
      <c r="B23" s="4" t="s">
        <v>48</v>
      </c>
      <c r="C23" s="5">
        <v>5.0</v>
      </c>
      <c r="D23" s="6">
        <f>SUMIFS(E!D:D,E!B:B,A23)</f>
        <v>101</v>
      </c>
      <c r="E23" s="6">
        <f>SUMIF(S!G:G,A23,S!D:D)</f>
        <v>76</v>
      </c>
      <c r="F23" s="5">
        <f t="shared" si="1"/>
        <v>25</v>
      </c>
      <c r="G23" s="7" t="str">
        <f t="shared" si="2"/>
        <v>OK</v>
      </c>
      <c r="H23" s="8" t="s">
        <v>14</v>
      </c>
      <c r="I23" s="9"/>
    </row>
    <row r="24" ht="22.5" customHeight="1">
      <c r="A24" s="4" t="s">
        <v>49</v>
      </c>
      <c r="B24" s="4" t="s">
        <v>50</v>
      </c>
      <c r="C24" s="5">
        <v>5.0</v>
      </c>
      <c r="D24" s="6">
        <f>SUMIFS(E!D:D,E!B:B,A24)</f>
        <v>67</v>
      </c>
      <c r="E24" s="6">
        <f>SUMIF(S!G:G,A24,S!D:D)</f>
        <v>27</v>
      </c>
      <c r="F24" s="5">
        <f t="shared" si="1"/>
        <v>40</v>
      </c>
      <c r="G24" s="7" t="str">
        <f t="shared" si="2"/>
        <v>OK</v>
      </c>
      <c r="H24" s="8" t="s">
        <v>44</v>
      </c>
      <c r="I24" s="9"/>
    </row>
    <row r="25" ht="22.5" customHeight="1">
      <c r="A25" s="4" t="s">
        <v>51</v>
      </c>
      <c r="B25" s="4" t="s">
        <v>52</v>
      </c>
      <c r="C25" s="5">
        <v>20.0</v>
      </c>
      <c r="D25" s="6">
        <f>SUMIFS(E!D:D,E!B:B,A25)</f>
        <v>446</v>
      </c>
      <c r="E25" s="6">
        <f>SUMIF(S!G:G,A25,S!D:D)</f>
        <v>289</v>
      </c>
      <c r="F25" s="5">
        <f t="shared" si="1"/>
        <v>157</v>
      </c>
      <c r="G25" s="7" t="str">
        <f t="shared" si="2"/>
        <v>OK</v>
      </c>
      <c r="H25" s="8" t="s">
        <v>44</v>
      </c>
      <c r="I25" s="9"/>
    </row>
    <row r="26" ht="22.5" customHeight="1">
      <c r="A26" s="4" t="s">
        <v>53</v>
      </c>
      <c r="B26" s="4" t="s">
        <v>54</v>
      </c>
      <c r="C26" s="5">
        <v>5.0</v>
      </c>
      <c r="D26" s="6">
        <f>SUMIFS(E!D:D,E!B:B,A26)</f>
        <v>135</v>
      </c>
      <c r="E26" s="6">
        <f>SUMIF(S!G:G,A26,S!D:D)</f>
        <v>31</v>
      </c>
      <c r="F26" s="5">
        <f t="shared" si="1"/>
        <v>104</v>
      </c>
      <c r="G26" s="7" t="str">
        <f t="shared" si="2"/>
        <v>OK</v>
      </c>
      <c r="H26" s="8" t="s">
        <v>44</v>
      </c>
      <c r="I26" s="9"/>
    </row>
    <row r="27" ht="22.5" customHeight="1">
      <c r="A27" s="4" t="s">
        <v>55</v>
      </c>
      <c r="B27" s="4" t="s">
        <v>56</v>
      </c>
      <c r="C27" s="5">
        <v>5.0</v>
      </c>
      <c r="D27" s="6">
        <f>SUMIFS(E!D:D,E!B:B,A27)</f>
        <v>60</v>
      </c>
      <c r="E27" s="6">
        <f>SUMIF(S!G:G,A27,S!D:D)</f>
        <v>28</v>
      </c>
      <c r="F27" s="5">
        <f t="shared" si="1"/>
        <v>32</v>
      </c>
      <c r="G27" s="7" t="str">
        <f t="shared" si="2"/>
        <v>OK</v>
      </c>
      <c r="H27" s="8" t="s">
        <v>44</v>
      </c>
      <c r="I27" s="8" t="s">
        <v>57</v>
      </c>
    </row>
    <row r="28" ht="22.5" customHeight="1">
      <c r="A28" s="4" t="s">
        <v>58</v>
      </c>
      <c r="B28" s="4" t="s">
        <v>59</v>
      </c>
      <c r="C28" s="5">
        <v>5.0</v>
      </c>
      <c r="D28" s="6">
        <f>SUMIFS(E!D:D,E!B:B,A28)</f>
        <v>100</v>
      </c>
      <c r="E28" s="6">
        <f>SUMIF(S!G:G,A28,S!D:D)</f>
        <v>36</v>
      </c>
      <c r="F28" s="5">
        <f t="shared" si="1"/>
        <v>64</v>
      </c>
      <c r="G28" s="7" t="str">
        <f t="shared" si="2"/>
        <v>OK</v>
      </c>
      <c r="H28" s="8" t="s">
        <v>44</v>
      </c>
      <c r="I28" s="9"/>
    </row>
    <row r="29" ht="22.5" customHeight="1">
      <c r="A29" s="4" t="s">
        <v>60</v>
      </c>
      <c r="B29" s="4" t="s">
        <v>61</v>
      </c>
      <c r="C29" s="5">
        <v>5.0</v>
      </c>
      <c r="D29" s="6">
        <f>SUMIFS(E!D:D,E!B:B,A29)</f>
        <v>83</v>
      </c>
      <c r="E29" s="6">
        <f>SUMIF(S!G:G,A29,S!D:D)</f>
        <v>13</v>
      </c>
      <c r="F29" s="5">
        <f t="shared" si="1"/>
        <v>70</v>
      </c>
      <c r="G29" s="7" t="str">
        <f t="shared" si="2"/>
        <v>OK</v>
      </c>
      <c r="H29" s="8" t="s">
        <v>44</v>
      </c>
      <c r="I29" s="9"/>
    </row>
    <row r="30" ht="22.5" customHeight="1">
      <c r="A30" s="4" t="s">
        <v>62</v>
      </c>
      <c r="B30" s="4" t="s">
        <v>63</v>
      </c>
      <c r="C30" s="5">
        <v>5.0</v>
      </c>
      <c r="D30" s="6">
        <f>SUMIFS(E!D:D,E!B:B,A30)</f>
        <v>27</v>
      </c>
      <c r="E30" s="6">
        <f>SUMIF(S!G:G,A30,S!D:D)</f>
        <v>20</v>
      </c>
      <c r="F30" s="5">
        <f t="shared" si="1"/>
        <v>7</v>
      </c>
      <c r="G30" s="7" t="str">
        <f t="shared" si="2"/>
        <v>OK</v>
      </c>
      <c r="H30" s="8" t="s">
        <v>44</v>
      </c>
      <c r="I30" s="9"/>
    </row>
    <row r="31" ht="22.5" customHeight="1">
      <c r="A31" s="4" t="s">
        <v>64</v>
      </c>
      <c r="B31" s="4" t="s">
        <v>65</v>
      </c>
      <c r="C31" s="5">
        <v>20.0</v>
      </c>
      <c r="D31" s="6">
        <f>SUMIFS(E!D:D,E!B:B,A31)</f>
        <v>484</v>
      </c>
      <c r="E31" s="6">
        <f>SUMIF(S!G:G,A31,S!D:D)</f>
        <v>149</v>
      </c>
      <c r="F31" s="5">
        <f t="shared" si="1"/>
        <v>335</v>
      </c>
      <c r="G31" s="7" t="str">
        <f t="shared" si="2"/>
        <v>OK</v>
      </c>
      <c r="H31" s="8" t="s">
        <v>44</v>
      </c>
      <c r="I31" s="9"/>
    </row>
    <row r="32" ht="22.5" customHeight="1">
      <c r="A32" s="4" t="s">
        <v>66</v>
      </c>
      <c r="B32" s="4" t="s">
        <v>67</v>
      </c>
      <c r="C32" s="5">
        <v>20.0</v>
      </c>
      <c r="D32" s="6">
        <f>SUMIFS(E!D:D,E!B:B,A32)</f>
        <v>620</v>
      </c>
      <c r="E32" s="6">
        <f>SUMIF(S!G:G,A32,S!D:D)</f>
        <v>364</v>
      </c>
      <c r="F32" s="5">
        <f t="shared" si="1"/>
        <v>256</v>
      </c>
      <c r="G32" s="7" t="str">
        <f t="shared" si="2"/>
        <v>OK</v>
      </c>
      <c r="H32" s="8" t="s">
        <v>44</v>
      </c>
      <c r="I32" s="9"/>
    </row>
    <row r="33" ht="22.5" customHeight="1">
      <c r="A33" s="4" t="s">
        <v>68</v>
      </c>
      <c r="B33" s="4" t="s">
        <v>69</v>
      </c>
      <c r="C33" s="5">
        <v>3.0</v>
      </c>
      <c r="D33" s="6">
        <f>SUMIFS(E!D:D,E!B:B,A33)</f>
        <v>16</v>
      </c>
      <c r="E33" s="6">
        <f>SUMIF(S!G:G,A33,S!D:D)</f>
        <v>3</v>
      </c>
      <c r="F33" s="5">
        <f t="shared" si="1"/>
        <v>13</v>
      </c>
      <c r="G33" s="7" t="str">
        <f t="shared" si="2"/>
        <v>OK</v>
      </c>
      <c r="H33" s="8" t="s">
        <v>11</v>
      </c>
      <c r="I33" s="9"/>
    </row>
    <row r="34" ht="22.5" customHeight="1">
      <c r="A34" s="4" t="s">
        <v>70</v>
      </c>
      <c r="B34" s="4" t="s">
        <v>71</v>
      </c>
      <c r="C34" s="5">
        <v>40.0</v>
      </c>
      <c r="D34" s="6">
        <f>SUMIFS(E!D:D,E!B:B,A34)</f>
        <v>1584</v>
      </c>
      <c r="E34" s="6">
        <f>SUMIF(S!G:G,A34,S!D:D)</f>
        <v>1742</v>
      </c>
      <c r="F34" s="5">
        <f t="shared" si="1"/>
        <v>-158</v>
      </c>
      <c r="G34" s="7" t="str">
        <f t="shared" si="2"/>
        <v>REPOR ESTOQUE</v>
      </c>
      <c r="H34" s="8" t="s">
        <v>14</v>
      </c>
      <c r="I34" s="9"/>
    </row>
    <row r="35" ht="22.5" customHeight="1">
      <c r="A35" s="4" t="s">
        <v>72</v>
      </c>
      <c r="B35" s="4" t="s">
        <v>73</v>
      </c>
      <c r="C35" s="5">
        <v>20.0</v>
      </c>
      <c r="D35" s="6">
        <f>SUMIFS(E!D:D,E!B:B,A35)</f>
        <v>1927</v>
      </c>
      <c r="E35" s="6">
        <f>SUMIF(S!G:G,A35,S!D:D)</f>
        <v>1640</v>
      </c>
      <c r="F35" s="5">
        <f t="shared" si="1"/>
        <v>287</v>
      </c>
      <c r="G35" s="7" t="str">
        <f t="shared" si="2"/>
        <v>OK</v>
      </c>
      <c r="H35" s="8" t="s">
        <v>11</v>
      </c>
      <c r="I35" s="9"/>
    </row>
    <row r="36" ht="22.5" customHeight="1">
      <c r="A36" s="4" t="s">
        <v>74</v>
      </c>
      <c r="B36" s="4" t="s">
        <v>75</v>
      </c>
      <c r="C36" s="5">
        <v>1.0</v>
      </c>
      <c r="D36" s="6">
        <f>SUMIFS(E!D:D,E!B:B,A36)</f>
        <v>3</v>
      </c>
      <c r="E36" s="6">
        <f>SUMIF(S!G:G,A36,S!D:D)</f>
        <v>127</v>
      </c>
      <c r="F36" s="5">
        <f t="shared" si="1"/>
        <v>-124</v>
      </c>
      <c r="G36" s="7" t="str">
        <f t="shared" si="2"/>
        <v>REPOR ESTOQUE</v>
      </c>
      <c r="H36" s="8" t="s">
        <v>11</v>
      </c>
      <c r="I36" s="9"/>
    </row>
    <row r="37" ht="22.5" customHeight="1">
      <c r="A37" s="10" t="s">
        <v>76</v>
      </c>
      <c r="B37" s="15" t="s">
        <v>77</v>
      </c>
      <c r="C37" s="5">
        <v>10.0</v>
      </c>
      <c r="D37" s="6">
        <f>SUMIFS(E!D:D,E!B:B,A37)</f>
        <v>424</v>
      </c>
      <c r="E37" s="12">
        <f>SUMIF(S!G:G,A37,S!D:D)</f>
        <v>268</v>
      </c>
      <c r="F37" s="13">
        <f t="shared" si="1"/>
        <v>156</v>
      </c>
      <c r="G37" s="14" t="str">
        <f t="shared" si="2"/>
        <v>OK</v>
      </c>
      <c r="H37" s="8" t="s">
        <v>11</v>
      </c>
      <c r="I37" s="9"/>
    </row>
    <row r="38" ht="22.5" customHeight="1">
      <c r="A38" s="4" t="s">
        <v>78</v>
      </c>
      <c r="B38" s="4" t="s">
        <v>79</v>
      </c>
      <c r="C38" s="5">
        <v>3.0</v>
      </c>
      <c r="D38" s="6">
        <f>SUMIFS(E!D:D,E!B:B,A38)</f>
        <v>30</v>
      </c>
      <c r="E38" s="6">
        <f>SUMIF(S!G:G,A38,S!D:D)</f>
        <v>26</v>
      </c>
      <c r="F38" s="5">
        <f t="shared" si="1"/>
        <v>4</v>
      </c>
      <c r="G38" s="7" t="str">
        <f t="shared" si="2"/>
        <v>OK</v>
      </c>
      <c r="H38" s="8" t="s">
        <v>11</v>
      </c>
      <c r="I38" s="9"/>
    </row>
    <row r="39" ht="22.5" customHeight="1">
      <c r="A39" s="10" t="s">
        <v>80</v>
      </c>
      <c r="B39" s="15" t="s">
        <v>81</v>
      </c>
      <c r="C39" s="5">
        <v>3.0</v>
      </c>
      <c r="D39" s="6">
        <f>SUMIFS(E!D:D,E!B:B,A39)</f>
        <v>15</v>
      </c>
      <c r="E39" s="12">
        <f>SUMIF(S!G:G,A39,S!D:D)</f>
        <v>27</v>
      </c>
      <c r="F39" s="13">
        <f t="shared" si="1"/>
        <v>-12</v>
      </c>
      <c r="G39" s="14" t="str">
        <f t="shared" si="2"/>
        <v>REPOR ESTOQUE</v>
      </c>
      <c r="H39" s="8" t="s">
        <v>11</v>
      </c>
      <c r="I39" s="9"/>
    </row>
    <row r="40" ht="22.5" customHeight="1">
      <c r="A40" s="10" t="s">
        <v>82</v>
      </c>
      <c r="B40" s="11" t="s">
        <v>83</v>
      </c>
      <c r="C40" s="5">
        <v>3.0</v>
      </c>
      <c r="D40" s="6">
        <f>SUMIFS(E!D:D,E!B:B,A40)</f>
        <v>8</v>
      </c>
      <c r="E40" s="12">
        <f>SUMIF(S!G:G,A40,S!D:D)</f>
        <v>4</v>
      </c>
      <c r="F40" s="13">
        <f t="shared" si="1"/>
        <v>4</v>
      </c>
      <c r="G40" s="14" t="str">
        <f t="shared" si="2"/>
        <v>OK</v>
      </c>
      <c r="H40" s="8" t="s">
        <v>11</v>
      </c>
      <c r="I40" s="9"/>
    </row>
    <row r="41" ht="22.5" customHeight="1">
      <c r="A41" s="10" t="s">
        <v>84</v>
      </c>
      <c r="B41" s="11" t="s">
        <v>85</v>
      </c>
      <c r="C41" s="5">
        <v>3.0</v>
      </c>
      <c r="D41" s="6">
        <f>SUMIFS(E!D:D,E!B:B,A41)</f>
        <v>0</v>
      </c>
      <c r="E41" s="12">
        <f>SUMIF(S!G:G,A41,S!D:D)</f>
        <v>0</v>
      </c>
      <c r="F41" s="13">
        <f t="shared" si="1"/>
        <v>0</v>
      </c>
      <c r="G41" s="14" t="str">
        <f t="shared" si="2"/>
        <v>REPOR ESTOQUE</v>
      </c>
      <c r="H41" s="8" t="s">
        <v>11</v>
      </c>
      <c r="I41" s="9"/>
    </row>
    <row r="42" ht="22.5" customHeight="1">
      <c r="A42" s="10" t="s">
        <v>86</v>
      </c>
      <c r="B42" s="11" t="s">
        <v>87</v>
      </c>
      <c r="C42" s="5">
        <v>3.0</v>
      </c>
      <c r="D42" s="6">
        <f>SUMIFS(E!D:D,E!B:B,A42)</f>
        <v>11</v>
      </c>
      <c r="E42" s="12">
        <f>SUMIF(S!G:G,A42,S!D:D)</f>
        <v>5</v>
      </c>
      <c r="F42" s="13">
        <f t="shared" si="1"/>
        <v>6</v>
      </c>
      <c r="G42" s="14" t="str">
        <f t="shared" si="2"/>
        <v>OK</v>
      </c>
      <c r="H42" s="8" t="s">
        <v>11</v>
      </c>
      <c r="I42" s="9"/>
    </row>
    <row r="43" ht="22.5" customHeight="1">
      <c r="A43" s="4" t="s">
        <v>88</v>
      </c>
      <c r="B43" s="4" t="s">
        <v>89</v>
      </c>
      <c r="C43" s="5">
        <v>2.0</v>
      </c>
      <c r="D43" s="6">
        <f>SUMIFS(E!D:D,E!B:B,A43)</f>
        <v>17</v>
      </c>
      <c r="E43" s="6">
        <f>SUMIF(S!G:G,A43,S!D:D)</f>
        <v>41</v>
      </c>
      <c r="F43" s="5">
        <f t="shared" si="1"/>
        <v>-24</v>
      </c>
      <c r="G43" s="7" t="str">
        <f t="shared" si="2"/>
        <v>REPOR ESTOQUE</v>
      </c>
      <c r="H43" s="8" t="s">
        <v>11</v>
      </c>
      <c r="I43" s="9"/>
    </row>
    <row r="44" ht="22.5" customHeight="1">
      <c r="A44" s="4" t="s">
        <v>90</v>
      </c>
      <c r="B44" s="4" t="s">
        <v>91</v>
      </c>
      <c r="C44" s="5">
        <v>1.0</v>
      </c>
      <c r="D44" s="6">
        <f>SUMIFS(E!D:D,E!B:B,A44)</f>
        <v>8</v>
      </c>
      <c r="E44" s="6">
        <f>SUMIF(S!G:G,A44,S!D:D)</f>
        <v>8</v>
      </c>
      <c r="F44" s="5">
        <f t="shared" si="1"/>
        <v>0</v>
      </c>
      <c r="G44" s="7" t="str">
        <f t="shared" si="2"/>
        <v>REPOR ESTOQUE</v>
      </c>
      <c r="H44" s="8" t="s">
        <v>11</v>
      </c>
      <c r="I44" s="9"/>
    </row>
    <row r="45" ht="22.5" customHeight="1">
      <c r="A45" s="4" t="s">
        <v>92</v>
      </c>
      <c r="B45" s="4" t="s">
        <v>93</v>
      </c>
      <c r="C45" s="5">
        <v>3.0</v>
      </c>
      <c r="D45" s="6">
        <f>SUMIFS(E!D:D,E!B:B,A45)</f>
        <v>18</v>
      </c>
      <c r="E45" s="6">
        <f>SUMIF(S!G:G,A45,S!D:D)</f>
        <v>31</v>
      </c>
      <c r="F45" s="5">
        <f t="shared" si="1"/>
        <v>-13</v>
      </c>
      <c r="G45" s="7" t="str">
        <f t="shared" si="2"/>
        <v>REPOR ESTOQUE</v>
      </c>
      <c r="H45" s="8" t="s">
        <v>11</v>
      </c>
      <c r="I45" s="9"/>
    </row>
    <row r="46" ht="22.5" customHeight="1">
      <c r="A46" s="10" t="s">
        <v>94</v>
      </c>
      <c r="B46" s="11" t="s">
        <v>95</v>
      </c>
      <c r="C46" s="5">
        <v>1.0</v>
      </c>
      <c r="D46" s="6">
        <f>SUMIFS(E!D:D,E!B:B,A46)</f>
        <v>3</v>
      </c>
      <c r="E46" s="12">
        <f>SUMIF(S!G:G,A46,S!D:D)</f>
        <v>17</v>
      </c>
      <c r="F46" s="13">
        <f t="shared" si="1"/>
        <v>-14</v>
      </c>
      <c r="G46" s="14" t="str">
        <f t="shared" si="2"/>
        <v>REPOR ESTOQUE</v>
      </c>
      <c r="H46" s="8" t="s">
        <v>35</v>
      </c>
      <c r="I46" s="9"/>
    </row>
    <row r="47" ht="22.5" customHeight="1">
      <c r="A47" s="4" t="s">
        <v>96</v>
      </c>
      <c r="B47" s="4" t="s">
        <v>97</v>
      </c>
      <c r="C47" s="5">
        <v>3.0</v>
      </c>
      <c r="D47" s="6">
        <f>SUMIFS(E!D:D,E!B:B,A47)</f>
        <v>22</v>
      </c>
      <c r="E47" s="6">
        <f>SUMIF(S!G:G,A47,S!D:D)</f>
        <v>1</v>
      </c>
      <c r="F47" s="5">
        <f t="shared" si="1"/>
        <v>21</v>
      </c>
      <c r="G47" s="7" t="str">
        <f t="shared" si="2"/>
        <v>OK</v>
      </c>
      <c r="H47" s="8" t="s">
        <v>11</v>
      </c>
      <c r="I47" s="9"/>
    </row>
    <row r="48" ht="22.5" customHeight="1">
      <c r="A48" s="4" t="s">
        <v>98</v>
      </c>
      <c r="B48" s="4" t="s">
        <v>99</v>
      </c>
      <c r="C48" s="5">
        <v>3.0</v>
      </c>
      <c r="D48" s="6">
        <f>SUMIFS(E!D:D,E!B:B,A48)</f>
        <v>24</v>
      </c>
      <c r="E48" s="6">
        <f>SUMIF(S!G:G,A48,S!D:D)</f>
        <v>4</v>
      </c>
      <c r="F48" s="5">
        <f t="shared" si="1"/>
        <v>20</v>
      </c>
      <c r="G48" s="7" t="str">
        <f t="shared" si="2"/>
        <v>OK</v>
      </c>
      <c r="H48" s="8" t="s">
        <v>11</v>
      </c>
      <c r="I48" s="9"/>
    </row>
    <row r="49" ht="22.5" customHeight="1">
      <c r="A49" s="4" t="s">
        <v>100</v>
      </c>
      <c r="B49" s="4" t="s">
        <v>101</v>
      </c>
      <c r="C49" s="5">
        <v>3.0</v>
      </c>
      <c r="D49" s="6">
        <f>SUMIFS(E!D:D,E!B:B,A49)</f>
        <v>23</v>
      </c>
      <c r="E49" s="6">
        <f>SUMIF(S!G:G,A49,S!D:D)</f>
        <v>0</v>
      </c>
      <c r="F49" s="5">
        <f t="shared" si="1"/>
        <v>23</v>
      </c>
      <c r="G49" s="7" t="str">
        <f t="shared" si="2"/>
        <v>OK</v>
      </c>
      <c r="H49" s="8" t="s">
        <v>11</v>
      </c>
      <c r="I49" s="9"/>
    </row>
    <row r="50" ht="22.5" customHeight="1">
      <c r="A50" s="4" t="s">
        <v>102</v>
      </c>
      <c r="B50" s="4" t="s">
        <v>103</v>
      </c>
      <c r="C50" s="5">
        <v>3.0</v>
      </c>
      <c r="D50" s="6">
        <f>SUMIFS(E!D:D,E!B:B,A50)</f>
        <v>14</v>
      </c>
      <c r="E50" s="6">
        <f>SUMIF(S!G:G,A50,S!D:D)</f>
        <v>2</v>
      </c>
      <c r="F50" s="5">
        <f t="shared" si="1"/>
        <v>12</v>
      </c>
      <c r="G50" s="7" t="str">
        <f t="shared" si="2"/>
        <v>OK</v>
      </c>
      <c r="H50" s="8" t="s">
        <v>11</v>
      </c>
      <c r="I50" s="9"/>
    </row>
    <row r="51" ht="22.5" customHeight="1">
      <c r="A51" s="4" t="s">
        <v>104</v>
      </c>
      <c r="B51" s="4" t="s">
        <v>105</v>
      </c>
      <c r="C51" s="5">
        <v>3.0</v>
      </c>
      <c r="D51" s="6">
        <f>SUMIFS(E!D:D,E!B:B,A51)</f>
        <v>24</v>
      </c>
      <c r="E51" s="6">
        <f>SUMIF(S!G:G,A51,S!D:D)</f>
        <v>0</v>
      </c>
      <c r="F51" s="5">
        <f t="shared" si="1"/>
        <v>24</v>
      </c>
      <c r="G51" s="7" t="str">
        <f t="shared" si="2"/>
        <v>OK</v>
      </c>
      <c r="H51" s="8" t="s">
        <v>11</v>
      </c>
      <c r="I51" s="9"/>
    </row>
    <row r="52" ht="22.5" customHeight="1">
      <c r="A52" s="4" t="s">
        <v>106</v>
      </c>
      <c r="B52" s="4" t="s">
        <v>107</v>
      </c>
      <c r="C52" s="5">
        <v>3.0</v>
      </c>
      <c r="D52" s="6">
        <f>SUMIFS(E!D:D,E!B:B,A52)</f>
        <v>15</v>
      </c>
      <c r="E52" s="6">
        <f>SUMIF(S!G:G,A52,S!D:D)</f>
        <v>3</v>
      </c>
      <c r="F52" s="5">
        <f t="shared" si="1"/>
        <v>12</v>
      </c>
      <c r="G52" s="7" t="str">
        <f t="shared" si="2"/>
        <v>OK</v>
      </c>
      <c r="H52" s="8" t="s">
        <v>11</v>
      </c>
      <c r="I52" s="9"/>
    </row>
    <row r="53" ht="22.5" customHeight="1">
      <c r="A53" s="4" t="s">
        <v>108</v>
      </c>
      <c r="B53" s="4" t="s">
        <v>109</v>
      </c>
      <c r="C53" s="5">
        <v>3.0</v>
      </c>
      <c r="D53" s="6">
        <f>SUMIFS(E!D:D,E!B:B,A53)</f>
        <v>9</v>
      </c>
      <c r="E53" s="6">
        <f>SUMIF(S!G:G,A53,S!D:D)</f>
        <v>0</v>
      </c>
      <c r="F53" s="5">
        <f t="shared" si="1"/>
        <v>9</v>
      </c>
      <c r="G53" s="7" t="str">
        <f t="shared" si="2"/>
        <v>OK</v>
      </c>
      <c r="H53" s="8" t="s">
        <v>11</v>
      </c>
      <c r="I53" s="9"/>
    </row>
    <row r="54" ht="22.5" customHeight="1">
      <c r="A54" s="10" t="s">
        <v>110</v>
      </c>
      <c r="B54" s="11" t="s">
        <v>111</v>
      </c>
      <c r="C54" s="5">
        <v>3.0</v>
      </c>
      <c r="D54" s="6">
        <f>SUMIFS(E!D:D,E!B:B,A54)</f>
        <v>20</v>
      </c>
      <c r="E54" s="12">
        <f>SUMIF(S!G:G,A54,S!D:D)</f>
        <v>67</v>
      </c>
      <c r="F54" s="13">
        <f t="shared" si="1"/>
        <v>-47</v>
      </c>
      <c r="G54" s="14" t="str">
        <f t="shared" si="2"/>
        <v>REPOR ESTOQUE</v>
      </c>
      <c r="H54" s="8" t="s">
        <v>35</v>
      </c>
      <c r="I54" s="9"/>
    </row>
    <row r="55" ht="22.5" customHeight="1">
      <c r="A55" s="4" t="s">
        <v>112</v>
      </c>
      <c r="B55" s="4" t="s">
        <v>113</v>
      </c>
      <c r="C55" s="5">
        <v>1.0</v>
      </c>
      <c r="D55" s="6">
        <f>SUMIFS(E!D:D,E!B:B,A55)</f>
        <v>89</v>
      </c>
      <c r="E55" s="6">
        <f>SUMIF(S!G:G,A55,S!D:D)</f>
        <v>0</v>
      </c>
      <c r="F55" s="5">
        <f t="shared" si="1"/>
        <v>89</v>
      </c>
      <c r="G55" s="7" t="str">
        <f t="shared" si="2"/>
        <v>OK</v>
      </c>
      <c r="H55" s="8" t="s">
        <v>114</v>
      </c>
      <c r="I55" s="9"/>
    </row>
    <row r="56" ht="22.5" customHeight="1">
      <c r="A56" s="4" t="s">
        <v>115</v>
      </c>
      <c r="B56" s="4" t="s">
        <v>116</v>
      </c>
      <c r="C56" s="5">
        <v>1.0</v>
      </c>
      <c r="D56" s="6">
        <f>SUMIFS(E!D:D,E!B:B,A56)</f>
        <v>20</v>
      </c>
      <c r="E56" s="6">
        <f>SUMIF(S!G:G,A56,S!D:D)</f>
        <v>8</v>
      </c>
      <c r="F56" s="5">
        <f t="shared" si="1"/>
        <v>12</v>
      </c>
      <c r="G56" s="7" t="str">
        <f t="shared" si="2"/>
        <v>OK</v>
      </c>
      <c r="H56" s="8" t="s">
        <v>14</v>
      </c>
      <c r="I56" s="9"/>
    </row>
    <row r="57" ht="22.5" customHeight="1">
      <c r="A57" s="4" t="s">
        <v>117</v>
      </c>
      <c r="B57" s="4" t="s">
        <v>118</v>
      </c>
      <c r="C57" s="5">
        <v>1.0</v>
      </c>
      <c r="D57" s="6">
        <f>SUMIFS(E!D:D,E!B:B,A57)</f>
        <v>2</v>
      </c>
      <c r="E57" s="6">
        <f>SUMIF(S!G:G,A57,S!D:D)</f>
        <v>0</v>
      </c>
      <c r="F57" s="5">
        <f t="shared" si="1"/>
        <v>2</v>
      </c>
      <c r="G57" s="16" t="str">
        <f t="shared" si="2"/>
        <v>OK</v>
      </c>
      <c r="H57" s="8" t="s">
        <v>14</v>
      </c>
      <c r="I57" s="17"/>
    </row>
    <row r="58" ht="22.5" customHeight="1">
      <c r="A58" s="4" t="s">
        <v>119</v>
      </c>
      <c r="B58" s="4" t="s">
        <v>120</v>
      </c>
      <c r="C58" s="5">
        <v>10.0</v>
      </c>
      <c r="D58" s="6">
        <f>SUMIFS(E!D:D,E!B:B,A58)</f>
        <v>400</v>
      </c>
      <c r="E58" s="6">
        <f>SUMIF(S!G:G,A58,S!D:D)</f>
        <v>237</v>
      </c>
      <c r="F58" s="5">
        <f t="shared" si="1"/>
        <v>163</v>
      </c>
      <c r="G58" s="7" t="str">
        <f t="shared" si="2"/>
        <v>OK</v>
      </c>
      <c r="H58" s="8" t="s">
        <v>114</v>
      </c>
      <c r="I58" s="9"/>
    </row>
    <row r="59" ht="22.5" customHeight="1">
      <c r="A59" s="4" t="s">
        <v>121</v>
      </c>
      <c r="B59" s="4" t="s">
        <v>122</v>
      </c>
      <c r="C59" s="5">
        <v>4.0</v>
      </c>
      <c r="D59" s="6">
        <f>SUMIFS(E!D:D,E!B:B,A59)</f>
        <v>65</v>
      </c>
      <c r="E59" s="6">
        <f>SUMIF(S!G:G,A59,S!D:D)</f>
        <v>33</v>
      </c>
      <c r="F59" s="5">
        <f t="shared" si="1"/>
        <v>32</v>
      </c>
      <c r="G59" s="7" t="str">
        <f t="shared" si="2"/>
        <v>OK</v>
      </c>
      <c r="H59" s="8" t="s">
        <v>11</v>
      </c>
      <c r="I59" s="9"/>
    </row>
    <row r="60" ht="22.5" customHeight="1">
      <c r="A60" s="4" t="s">
        <v>123</v>
      </c>
      <c r="B60" s="4" t="s">
        <v>124</v>
      </c>
      <c r="C60" s="5">
        <v>4.0</v>
      </c>
      <c r="D60" s="6">
        <f>SUMIFS(E!D:D,E!B:B,A60)</f>
        <v>14</v>
      </c>
      <c r="E60" s="6">
        <f>SUMIF(S!G:G,A60,S!D:D)</f>
        <v>19</v>
      </c>
      <c r="F60" s="5">
        <f t="shared" si="1"/>
        <v>-5</v>
      </c>
      <c r="G60" s="7" t="str">
        <f t="shared" si="2"/>
        <v>REPOR ESTOQUE</v>
      </c>
      <c r="H60" s="8" t="s">
        <v>114</v>
      </c>
      <c r="I60" s="9"/>
    </row>
    <row r="61" ht="22.5" customHeight="1">
      <c r="A61" s="10" t="s">
        <v>125</v>
      </c>
      <c r="B61" s="11" t="s">
        <v>126</v>
      </c>
      <c r="C61" s="5">
        <v>3.0</v>
      </c>
      <c r="D61" s="6">
        <f>SUMIFS(E!D:D,E!B:B,A61)</f>
        <v>32</v>
      </c>
      <c r="E61" s="12">
        <f>SUMIF(S!G:G,A61,S!D:D)</f>
        <v>1</v>
      </c>
      <c r="F61" s="13">
        <f t="shared" si="1"/>
        <v>31</v>
      </c>
      <c r="G61" s="14" t="str">
        <f t="shared" si="2"/>
        <v>OK</v>
      </c>
      <c r="H61" s="8" t="s">
        <v>11</v>
      </c>
      <c r="I61" s="9"/>
    </row>
    <row r="62" ht="22.5" customHeight="1">
      <c r="A62" s="10" t="s">
        <v>127</v>
      </c>
      <c r="B62" s="11" t="s">
        <v>128</v>
      </c>
      <c r="C62" s="5">
        <v>150.0</v>
      </c>
      <c r="D62" s="6">
        <f>SUMIFS(E!D:D,E!B:B,A62)</f>
        <v>700</v>
      </c>
      <c r="E62" s="12">
        <f>SUMIF(S!G:G,A62,S!D:D)</f>
        <v>1204</v>
      </c>
      <c r="F62" s="13">
        <f t="shared" si="1"/>
        <v>-504</v>
      </c>
      <c r="G62" s="14" t="str">
        <f t="shared" si="2"/>
        <v>REPOR ESTOQUE</v>
      </c>
      <c r="H62" s="8" t="s">
        <v>11</v>
      </c>
      <c r="I62" s="9"/>
    </row>
    <row r="63" ht="22.5" customHeight="1">
      <c r="A63" s="10" t="s">
        <v>129</v>
      </c>
      <c r="B63" s="15" t="s">
        <v>130</v>
      </c>
      <c r="C63" s="5">
        <v>1.0</v>
      </c>
      <c r="D63" s="6">
        <f>SUMIFS(E!D:D,E!B:B,A63)</f>
        <v>100</v>
      </c>
      <c r="E63" s="12">
        <f>SUMIF(S!G:G,A63,S!D:D)</f>
        <v>21</v>
      </c>
      <c r="F63" s="13">
        <f t="shared" si="1"/>
        <v>79</v>
      </c>
      <c r="G63" s="14" t="str">
        <f t="shared" si="2"/>
        <v>OK</v>
      </c>
      <c r="H63" s="8" t="s">
        <v>114</v>
      </c>
      <c r="I63" s="9"/>
    </row>
    <row r="64" ht="22.5" customHeight="1">
      <c r="A64" s="4" t="s">
        <v>131</v>
      </c>
      <c r="B64" s="4" t="s">
        <v>132</v>
      </c>
      <c r="C64" s="5">
        <v>3.0</v>
      </c>
      <c r="D64" s="6">
        <f>SUMIFS(E!D:D,E!B:B,A64)</f>
        <v>6</v>
      </c>
      <c r="E64" s="6">
        <f>SUMIF(S!G:G,A64,S!D:D)</f>
        <v>6</v>
      </c>
      <c r="F64" s="5">
        <f t="shared" si="1"/>
        <v>0</v>
      </c>
      <c r="G64" s="7" t="str">
        <f t="shared" si="2"/>
        <v>REPOR ESTOQUE</v>
      </c>
      <c r="H64" s="8" t="s">
        <v>11</v>
      </c>
      <c r="I64" s="9"/>
    </row>
    <row r="65" ht="22.5" customHeight="1">
      <c r="A65" s="4" t="s">
        <v>133</v>
      </c>
      <c r="B65" s="4" t="s">
        <v>134</v>
      </c>
      <c r="C65" s="5">
        <v>2.0</v>
      </c>
      <c r="D65" s="6">
        <f>SUMIFS(E!D:D,E!B:B,A65)</f>
        <v>22</v>
      </c>
      <c r="E65" s="6">
        <f>SUMIF(S!G:G,A65,S!D:D)</f>
        <v>5</v>
      </c>
      <c r="F65" s="5">
        <f t="shared" si="1"/>
        <v>17</v>
      </c>
      <c r="G65" s="7" t="str">
        <f t="shared" si="2"/>
        <v>OK</v>
      </c>
      <c r="H65" s="8" t="s">
        <v>11</v>
      </c>
      <c r="I65" s="9"/>
    </row>
    <row r="66" ht="22.5" customHeight="1">
      <c r="A66" s="4" t="s">
        <v>135</v>
      </c>
      <c r="B66" s="4" t="s">
        <v>136</v>
      </c>
      <c r="C66" s="5">
        <v>5.0</v>
      </c>
      <c r="D66" s="6">
        <f>SUMIFS(E!D:D,E!B:B,A66)</f>
        <v>20</v>
      </c>
      <c r="E66" s="6">
        <f>SUMIF(S!G:G,A66,S!D:D)</f>
        <v>22</v>
      </c>
      <c r="F66" s="5">
        <f t="shared" si="1"/>
        <v>-2</v>
      </c>
      <c r="G66" s="7" t="str">
        <f t="shared" si="2"/>
        <v>REPOR ESTOQUE</v>
      </c>
      <c r="H66" s="8" t="s">
        <v>11</v>
      </c>
      <c r="I66" s="9"/>
    </row>
    <row r="67" ht="22.5" customHeight="1">
      <c r="A67" s="4" t="s">
        <v>137</v>
      </c>
      <c r="B67" s="4" t="s">
        <v>138</v>
      </c>
      <c r="C67" s="5">
        <v>5.0</v>
      </c>
      <c r="D67" s="6">
        <f>SUMIFS(E!D:D,E!B:B,A67)</f>
        <v>19</v>
      </c>
      <c r="E67" s="6">
        <f>SUMIF(S!G:G,A67,S!D:D)</f>
        <v>3</v>
      </c>
      <c r="F67" s="5">
        <f t="shared" si="1"/>
        <v>16</v>
      </c>
      <c r="G67" s="7" t="str">
        <f t="shared" si="2"/>
        <v>OK</v>
      </c>
      <c r="H67" s="8" t="s">
        <v>11</v>
      </c>
      <c r="I67" s="9"/>
    </row>
    <row r="68" ht="22.5" customHeight="1">
      <c r="A68" s="6" t="s">
        <v>139</v>
      </c>
      <c r="B68" s="6" t="s">
        <v>140</v>
      </c>
      <c r="C68" s="5">
        <v>5.0</v>
      </c>
      <c r="D68" s="6">
        <f>SUMIFS(E!D:D,E!B:B,A68)</f>
        <v>553</v>
      </c>
      <c r="E68" s="6">
        <f>SUMIF(S!G:G,A68,S!D:D)</f>
        <v>163</v>
      </c>
      <c r="F68" s="5">
        <f t="shared" si="1"/>
        <v>390</v>
      </c>
      <c r="G68" s="7" t="str">
        <f t="shared" si="2"/>
        <v>OK</v>
      </c>
      <c r="H68" s="8" t="s">
        <v>14</v>
      </c>
      <c r="I68" s="9"/>
    </row>
    <row r="69" ht="22.5" customHeight="1">
      <c r="A69" s="4" t="s">
        <v>141</v>
      </c>
      <c r="B69" s="4" t="s">
        <v>142</v>
      </c>
      <c r="C69" s="5">
        <v>5.0</v>
      </c>
      <c r="D69" s="6">
        <f>SUMIFS(E!D:D,E!B:B,A69)</f>
        <v>677</v>
      </c>
      <c r="E69" s="6">
        <f>SUMIF(S!G:G,A69,S!D:D)</f>
        <v>31</v>
      </c>
      <c r="F69" s="5">
        <f t="shared" si="1"/>
        <v>646</v>
      </c>
      <c r="G69" s="7" t="str">
        <f t="shared" si="2"/>
        <v>OK</v>
      </c>
      <c r="H69" s="8" t="s">
        <v>14</v>
      </c>
      <c r="I69" s="9"/>
    </row>
    <row r="70" ht="22.5" customHeight="1">
      <c r="A70" s="4" t="s">
        <v>143</v>
      </c>
      <c r="B70" s="4" t="s">
        <v>144</v>
      </c>
      <c r="C70" s="5">
        <v>2.0</v>
      </c>
      <c r="D70" s="6">
        <f>SUMIFS(E!D:D,E!B:B,A70)</f>
        <v>3</v>
      </c>
      <c r="E70" s="6">
        <f>SUMIF(S!G:G,A70,S!D:D)</f>
        <v>4</v>
      </c>
      <c r="F70" s="5">
        <f t="shared" si="1"/>
        <v>-1</v>
      </c>
      <c r="G70" s="18" t="str">
        <f t="shared" si="2"/>
        <v>REPOR ESTOQUE</v>
      </c>
      <c r="H70" s="8" t="s">
        <v>11</v>
      </c>
      <c r="I70" s="9"/>
    </row>
  </sheetData>
  <dataValidations>
    <dataValidation type="custom" allowBlank="1" showDropDown="1" sqref="C2:C70 F2:F70">
      <formula1>AND(ISNUMBER(C2),(NOT(OR(NOT(ISERROR(DATEVALUE(C2))), AND(ISNUMBER(C2), LEFT(CELL("format", C2))="D")))))</formula1>
    </dataValidation>
    <dataValidation type="list" allowBlank="1" sqref="G2:G70">
      <formula1>"REPOR ESTOQUE,OK"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customWidth="1" min="3" max="3" width="51.88"/>
    <col customWidth="1" min="5" max="5" width="15.75"/>
    <col customWidth="1" min="6" max="6" width="18.25"/>
    <col customWidth="1" min="7" max="7" width="15.25"/>
    <col customWidth="1" min="9" max="9" width="20.88"/>
    <col customWidth="1" min="14" max="14" width="32.13"/>
  </cols>
  <sheetData>
    <row r="1">
      <c r="A1" s="19" t="s">
        <v>145</v>
      </c>
      <c r="B1" s="19" t="s">
        <v>146</v>
      </c>
      <c r="C1" s="19" t="s">
        <v>147</v>
      </c>
      <c r="D1" s="19" t="s">
        <v>148</v>
      </c>
      <c r="E1" s="19" t="s">
        <v>149</v>
      </c>
      <c r="F1" s="19" t="s">
        <v>150</v>
      </c>
      <c r="G1" s="19" t="s">
        <v>151</v>
      </c>
      <c r="H1" s="20" t="s">
        <v>152</v>
      </c>
      <c r="I1" s="21" t="s">
        <v>153</v>
      </c>
      <c r="J1" s="22" t="s">
        <v>154</v>
      </c>
    </row>
    <row r="2">
      <c r="A2" s="22" t="s">
        <v>155</v>
      </c>
      <c r="B2" s="22" t="s">
        <v>12</v>
      </c>
      <c r="C2" s="22" t="s">
        <v>13</v>
      </c>
      <c r="D2" s="22" t="s">
        <v>156</v>
      </c>
      <c r="E2" s="22">
        <v>2.0</v>
      </c>
      <c r="F2" s="23">
        <v>3.0</v>
      </c>
      <c r="G2" s="24">
        <f>SUMIF(Entradas!B:B, B2, Entradas!E:E) - SUMIF('Saídas'!C:C, B2, 'Saídas'!E:E)</f>
        <v>10</v>
      </c>
      <c r="H2" s="25" t="str">
        <f t="shared" ref="H2:H39" si="1">IF(G2&lt;F2, "CRÍTICO", IF(G2&lt;=F2, "ALERTA", "OK"))</f>
        <v>OK</v>
      </c>
      <c r="I2" s="21" t="s">
        <v>157</v>
      </c>
      <c r="J2" s="24">
        <f t="shared" ref="J2:J39" si="2">G2-F2</f>
        <v>7</v>
      </c>
    </row>
    <row r="3">
      <c r="A3" s="22" t="s">
        <v>155</v>
      </c>
      <c r="B3" s="22">
        <v>3.0000107E7</v>
      </c>
      <c r="C3" s="22" t="s">
        <v>15</v>
      </c>
      <c r="D3" s="22" t="s">
        <v>11</v>
      </c>
      <c r="E3" s="22">
        <v>30.0</v>
      </c>
      <c r="F3" s="23">
        <v>3000.0</v>
      </c>
      <c r="G3" s="24">
        <f>SUMIF(Entradas!B:B, B3, Entradas!E:E) - SUMIF('Saídas'!C:C, B3, 'Saídas'!E:E)</f>
        <v>9599</v>
      </c>
      <c r="H3" s="25" t="str">
        <f t="shared" si="1"/>
        <v>OK</v>
      </c>
      <c r="I3" s="21" t="s">
        <v>35</v>
      </c>
      <c r="J3" s="24">
        <f t="shared" si="2"/>
        <v>6599</v>
      </c>
      <c r="M3" s="26"/>
      <c r="N3" s="26"/>
      <c r="O3" s="21"/>
    </row>
    <row r="4">
      <c r="A4" s="22" t="s">
        <v>155</v>
      </c>
      <c r="B4" s="22">
        <v>3.0000108E7</v>
      </c>
      <c r="C4" s="22" t="s">
        <v>16</v>
      </c>
      <c r="D4" s="22" t="s">
        <v>11</v>
      </c>
      <c r="E4" s="22">
        <v>30.0</v>
      </c>
      <c r="F4" s="23">
        <v>3000.0</v>
      </c>
      <c r="G4" s="24">
        <f>SUMIF(Entradas!B:B, B4, Entradas!E:E) - SUMIF('Saídas'!C:C, B4, 'Saídas'!E:E)</f>
        <v>2500</v>
      </c>
      <c r="H4" s="25" t="str">
        <f t="shared" si="1"/>
        <v>CRÍTICO</v>
      </c>
      <c r="I4" s="21" t="s">
        <v>35</v>
      </c>
      <c r="J4" s="24">
        <f t="shared" si="2"/>
        <v>-500</v>
      </c>
      <c r="M4" s="20"/>
      <c r="N4" s="20"/>
      <c r="O4" s="21"/>
    </row>
    <row r="5">
      <c r="A5" s="22" t="s">
        <v>155</v>
      </c>
      <c r="B5" s="22">
        <v>3.0000109E7</v>
      </c>
      <c r="C5" s="22" t="s">
        <v>17</v>
      </c>
      <c r="D5" s="22" t="s">
        <v>11</v>
      </c>
      <c r="E5" s="22">
        <v>30.0</v>
      </c>
      <c r="F5" s="23">
        <v>3000.0</v>
      </c>
      <c r="G5" s="24">
        <f>SUMIF(Entradas!B:B, B5, Entradas!E:E) - SUMIF('Saídas'!C:C, B5, 'Saídas'!E:E)</f>
        <v>1200</v>
      </c>
      <c r="H5" s="25" t="str">
        <f t="shared" si="1"/>
        <v>CRÍTICO</v>
      </c>
      <c r="I5" s="21" t="s">
        <v>35</v>
      </c>
      <c r="J5" s="24">
        <f t="shared" si="2"/>
        <v>-1800</v>
      </c>
      <c r="M5" s="20"/>
      <c r="N5" s="20"/>
      <c r="O5" s="21"/>
    </row>
    <row r="6">
      <c r="A6" s="22" t="s">
        <v>155</v>
      </c>
      <c r="B6" s="22">
        <v>3.000011E7</v>
      </c>
      <c r="C6" s="22" t="s">
        <v>18</v>
      </c>
      <c r="D6" s="22" t="s">
        <v>11</v>
      </c>
      <c r="E6" s="22">
        <v>30.0</v>
      </c>
      <c r="F6" s="23">
        <v>3000.0</v>
      </c>
      <c r="G6" s="24">
        <f>SUMIF(Entradas!B:B, B6, Entradas!E:E) - SUMIF('Saídas'!C:C, B6, 'Saídas'!E:E)</f>
        <v>45323</v>
      </c>
      <c r="H6" s="25" t="str">
        <f t="shared" si="1"/>
        <v>OK</v>
      </c>
      <c r="I6" s="21" t="s">
        <v>35</v>
      </c>
      <c r="J6" s="24">
        <f t="shared" si="2"/>
        <v>42323</v>
      </c>
      <c r="M6" s="20"/>
      <c r="N6" s="20"/>
      <c r="O6" s="21"/>
    </row>
    <row r="7">
      <c r="A7" s="22" t="s">
        <v>155</v>
      </c>
      <c r="B7" s="22">
        <v>3.0000101E7</v>
      </c>
      <c r="C7" s="22" t="s">
        <v>19</v>
      </c>
      <c r="D7" s="22" t="s">
        <v>11</v>
      </c>
      <c r="E7" s="22">
        <v>30.0</v>
      </c>
      <c r="F7" s="23">
        <v>3000.0</v>
      </c>
      <c r="G7" s="24">
        <f>SUMIF(Entradas!B:B, B7, Entradas!E:E) - SUMIF('Saídas'!C:C, B7, 'Saídas'!E:E)</f>
        <v>19500</v>
      </c>
      <c r="H7" s="25" t="str">
        <f t="shared" si="1"/>
        <v>OK</v>
      </c>
      <c r="I7" s="21" t="s">
        <v>35</v>
      </c>
      <c r="J7" s="24">
        <f t="shared" si="2"/>
        <v>16500</v>
      </c>
      <c r="M7" s="20"/>
      <c r="N7" s="20"/>
      <c r="O7" s="21"/>
    </row>
    <row r="8">
      <c r="A8" s="22" t="s">
        <v>155</v>
      </c>
      <c r="B8" s="22">
        <v>3.0000103E7</v>
      </c>
      <c r="C8" s="22" t="s">
        <v>20</v>
      </c>
      <c r="D8" s="22" t="s">
        <v>11</v>
      </c>
      <c r="E8" s="22">
        <v>30.0</v>
      </c>
      <c r="F8" s="23">
        <v>3000.0</v>
      </c>
      <c r="G8" s="24">
        <f>SUMIF(Entradas!B:B, B8, Entradas!E:E) - SUMIF('Saídas'!C:C, B8, 'Saídas'!E:E)</f>
        <v>18100</v>
      </c>
      <c r="H8" s="25" t="str">
        <f t="shared" si="1"/>
        <v>OK</v>
      </c>
      <c r="I8" s="21" t="s">
        <v>35</v>
      </c>
      <c r="J8" s="24">
        <f t="shared" si="2"/>
        <v>15100</v>
      </c>
    </row>
    <row r="9">
      <c r="A9" s="22" t="s">
        <v>155</v>
      </c>
      <c r="B9" s="22">
        <v>3.0000104E7</v>
      </c>
      <c r="C9" s="22" t="s">
        <v>21</v>
      </c>
      <c r="D9" s="22" t="s">
        <v>11</v>
      </c>
      <c r="E9" s="22">
        <v>30.0</v>
      </c>
      <c r="F9" s="23">
        <v>3000.0</v>
      </c>
      <c r="G9" s="24">
        <f>SUMIF(Entradas!B:B, B9, Entradas!E:E) - SUMIF('Saídas'!C:C, B9, 'Saídas'!E:E)</f>
        <v>8000</v>
      </c>
      <c r="H9" s="25" t="str">
        <f t="shared" si="1"/>
        <v>OK</v>
      </c>
      <c r="I9" s="21" t="s">
        <v>35</v>
      </c>
      <c r="J9" s="24">
        <f t="shared" si="2"/>
        <v>5000</v>
      </c>
    </row>
    <row r="10">
      <c r="A10" s="22" t="s">
        <v>155</v>
      </c>
      <c r="B10" s="22">
        <v>3.0000102E7</v>
      </c>
      <c r="C10" s="22" t="s">
        <v>22</v>
      </c>
      <c r="D10" s="22" t="s">
        <v>11</v>
      </c>
      <c r="E10" s="22">
        <v>30.0</v>
      </c>
      <c r="F10" s="23">
        <v>3000.0</v>
      </c>
      <c r="G10" s="24">
        <f>SUMIF(Entradas!B:B, B10, Entradas!E:E) - SUMIF('Saídas'!C:C, B10, 'Saídas'!E:E)</f>
        <v>16200</v>
      </c>
      <c r="H10" s="25" t="str">
        <f t="shared" si="1"/>
        <v>OK</v>
      </c>
      <c r="I10" s="21" t="s">
        <v>35</v>
      </c>
      <c r="J10" s="24">
        <f t="shared" si="2"/>
        <v>13200</v>
      </c>
    </row>
    <row r="11">
      <c r="A11" s="22" t="s">
        <v>155</v>
      </c>
      <c r="B11" s="22" t="s">
        <v>158</v>
      </c>
      <c r="C11" s="22" t="s">
        <v>159</v>
      </c>
      <c r="D11" s="22" t="s">
        <v>14</v>
      </c>
      <c r="E11" s="22">
        <v>20.0</v>
      </c>
      <c r="F11" s="23">
        <v>5.0</v>
      </c>
      <c r="G11" s="24">
        <f>SUMIF(Entradas!B:B, B11, Entradas!E:E) - SUMIF('Saídas'!C:C, B11, 'Saídas'!E:E)</f>
        <v>68</v>
      </c>
      <c r="H11" s="25" t="str">
        <f t="shared" si="1"/>
        <v>OK</v>
      </c>
      <c r="I11" s="21" t="s">
        <v>160</v>
      </c>
      <c r="J11" s="24">
        <f t="shared" si="2"/>
        <v>63</v>
      </c>
    </row>
    <row r="12">
      <c r="A12" s="22" t="s">
        <v>155</v>
      </c>
      <c r="B12" s="22" t="s">
        <v>42</v>
      </c>
      <c r="C12" s="22" t="s">
        <v>43</v>
      </c>
      <c r="D12" s="22" t="s">
        <v>14</v>
      </c>
      <c r="E12" s="22">
        <v>20.0</v>
      </c>
      <c r="F12" s="23">
        <v>10.0</v>
      </c>
      <c r="G12" s="24">
        <f>SUMIF(Entradas!B:B, B12, Entradas!E:E) - SUMIF('Saídas'!C:C, B12, 'Saídas'!E:E)</f>
        <v>35</v>
      </c>
      <c r="H12" s="25" t="str">
        <f t="shared" si="1"/>
        <v>OK</v>
      </c>
      <c r="I12" s="21" t="s">
        <v>160</v>
      </c>
      <c r="J12" s="24">
        <f t="shared" si="2"/>
        <v>25</v>
      </c>
    </row>
    <row r="13">
      <c r="A13" s="22" t="s">
        <v>155</v>
      </c>
      <c r="B13" s="22" t="s">
        <v>45</v>
      </c>
      <c r="C13" s="22" t="s">
        <v>46</v>
      </c>
      <c r="D13" s="22" t="s">
        <v>14</v>
      </c>
      <c r="E13" s="22">
        <v>20.0</v>
      </c>
      <c r="F13" s="23">
        <v>10.0</v>
      </c>
      <c r="G13" s="24">
        <f>SUMIF(Entradas!B:B, B13, Entradas!E:E) - SUMIF('Saídas'!C:C, B13, 'Saídas'!E:E)</f>
        <v>14</v>
      </c>
      <c r="H13" s="25" t="str">
        <f t="shared" si="1"/>
        <v>OK</v>
      </c>
      <c r="I13" s="21" t="s">
        <v>160</v>
      </c>
      <c r="J13" s="24">
        <f t="shared" si="2"/>
        <v>4</v>
      </c>
    </row>
    <row r="14">
      <c r="A14" s="22" t="s">
        <v>155</v>
      </c>
      <c r="B14" s="22" t="s">
        <v>47</v>
      </c>
      <c r="C14" s="22" t="s">
        <v>48</v>
      </c>
      <c r="D14" s="22" t="s">
        <v>14</v>
      </c>
      <c r="E14" s="22">
        <v>20.0</v>
      </c>
      <c r="F14" s="23">
        <v>5.0</v>
      </c>
      <c r="G14" s="24">
        <f>SUMIF(Entradas!B:B, B14, Entradas!E:E) - SUMIF('Saídas'!C:C, B14, 'Saídas'!E:E)</f>
        <v>2</v>
      </c>
      <c r="H14" s="25" t="str">
        <f t="shared" si="1"/>
        <v>CRÍTICO</v>
      </c>
      <c r="I14" s="21" t="s">
        <v>160</v>
      </c>
      <c r="J14" s="24">
        <f t="shared" si="2"/>
        <v>-3</v>
      </c>
    </row>
    <row r="15">
      <c r="A15" s="22" t="s">
        <v>155</v>
      </c>
      <c r="B15" s="22" t="s">
        <v>49</v>
      </c>
      <c r="C15" s="22" t="s">
        <v>50</v>
      </c>
      <c r="D15" s="22" t="s">
        <v>14</v>
      </c>
      <c r="E15" s="22">
        <v>20.0</v>
      </c>
      <c r="F15" s="23">
        <v>10.0</v>
      </c>
      <c r="G15" s="24">
        <f>SUMIF(Entradas!B:B, B15, Entradas!E:E) - SUMIF('Saídas'!C:C, B15, 'Saídas'!E:E)</f>
        <v>34</v>
      </c>
      <c r="H15" s="25" t="str">
        <f t="shared" si="1"/>
        <v>OK</v>
      </c>
      <c r="I15" s="21" t="s">
        <v>160</v>
      </c>
      <c r="J15" s="24">
        <f t="shared" si="2"/>
        <v>24</v>
      </c>
    </row>
    <row r="16">
      <c r="A16" s="22" t="s">
        <v>155</v>
      </c>
      <c r="B16" s="22" t="s">
        <v>51</v>
      </c>
      <c r="C16" s="22" t="s">
        <v>52</v>
      </c>
      <c r="D16" s="22" t="s">
        <v>14</v>
      </c>
      <c r="E16" s="22">
        <v>3.0</v>
      </c>
      <c r="F16" s="23">
        <v>20.0</v>
      </c>
      <c r="G16" s="24">
        <f>SUMIF(Entradas!B:B, B16, Entradas!E:E) - SUMIF('Saídas'!C:C, B16, 'Saídas'!E:E)</f>
        <v>480</v>
      </c>
      <c r="H16" s="25" t="str">
        <f t="shared" si="1"/>
        <v>OK</v>
      </c>
      <c r="I16" s="21" t="s">
        <v>160</v>
      </c>
      <c r="J16" s="24">
        <f t="shared" si="2"/>
        <v>460</v>
      </c>
    </row>
    <row r="17">
      <c r="A17" s="22" t="s">
        <v>155</v>
      </c>
      <c r="B17" s="22" t="s">
        <v>53</v>
      </c>
      <c r="C17" s="22" t="s">
        <v>54</v>
      </c>
      <c r="D17" s="22" t="s">
        <v>14</v>
      </c>
      <c r="E17" s="22">
        <v>20.0</v>
      </c>
      <c r="F17" s="23">
        <v>10.0</v>
      </c>
      <c r="G17" s="24">
        <f>SUMIF(Entradas!B:B, B17, Entradas!E:E) - SUMIF('Saídas'!C:C, B17, 'Saídas'!E:E)</f>
        <v>113</v>
      </c>
      <c r="H17" s="25" t="str">
        <f t="shared" si="1"/>
        <v>OK</v>
      </c>
      <c r="I17" s="21" t="s">
        <v>160</v>
      </c>
      <c r="J17" s="24">
        <f t="shared" si="2"/>
        <v>103</v>
      </c>
    </row>
    <row r="18">
      <c r="A18" s="22" t="s">
        <v>155</v>
      </c>
      <c r="B18" s="22" t="s">
        <v>55</v>
      </c>
      <c r="C18" s="22" t="s">
        <v>56</v>
      </c>
      <c r="D18" s="22" t="s">
        <v>14</v>
      </c>
      <c r="E18" s="22">
        <v>20.0</v>
      </c>
      <c r="F18" s="23">
        <v>10.0</v>
      </c>
      <c r="G18" s="24">
        <f>SUMIF(Entradas!B:B, B18, Entradas!E:E) - SUMIF('Saídas'!C:C, B18, 'Saídas'!E:E)</f>
        <v>53</v>
      </c>
      <c r="H18" s="25" t="str">
        <f t="shared" si="1"/>
        <v>OK</v>
      </c>
      <c r="I18" s="21" t="s">
        <v>160</v>
      </c>
      <c r="J18" s="24">
        <f t="shared" si="2"/>
        <v>43</v>
      </c>
    </row>
    <row r="19">
      <c r="A19" s="22" t="s">
        <v>155</v>
      </c>
      <c r="B19" s="22" t="s">
        <v>58</v>
      </c>
      <c r="C19" s="22" t="s">
        <v>59</v>
      </c>
      <c r="D19" s="22" t="s">
        <v>14</v>
      </c>
      <c r="E19" s="22">
        <v>20.0</v>
      </c>
      <c r="F19" s="23">
        <v>10.0</v>
      </c>
      <c r="G19" s="24">
        <f>SUMIF(Entradas!B:B, B19, Entradas!E:E) - SUMIF('Saídas'!C:C, B19, 'Saídas'!E:E)</f>
        <v>54</v>
      </c>
      <c r="H19" s="25" t="str">
        <f t="shared" si="1"/>
        <v>OK</v>
      </c>
      <c r="I19" s="21" t="s">
        <v>160</v>
      </c>
      <c r="J19" s="24">
        <f t="shared" si="2"/>
        <v>44</v>
      </c>
    </row>
    <row r="20">
      <c r="A20" s="22" t="s">
        <v>155</v>
      </c>
      <c r="B20" s="22" t="s">
        <v>60</v>
      </c>
      <c r="C20" s="22" t="s">
        <v>61</v>
      </c>
      <c r="D20" s="22" t="s">
        <v>14</v>
      </c>
      <c r="E20" s="22">
        <v>20.0</v>
      </c>
      <c r="F20" s="23">
        <v>10.0</v>
      </c>
      <c r="G20" s="24">
        <f>SUMIF(Entradas!B:B, B20, Entradas!E:E) - SUMIF('Saídas'!C:C, B20, 'Saídas'!E:E)</f>
        <v>62</v>
      </c>
      <c r="H20" s="25" t="str">
        <f t="shared" si="1"/>
        <v>OK</v>
      </c>
      <c r="I20" s="21" t="s">
        <v>160</v>
      </c>
      <c r="J20" s="24">
        <f t="shared" si="2"/>
        <v>52</v>
      </c>
    </row>
    <row r="21">
      <c r="A21" s="22" t="s">
        <v>155</v>
      </c>
      <c r="B21" s="22" t="s">
        <v>62</v>
      </c>
      <c r="C21" s="22" t="s">
        <v>63</v>
      </c>
      <c r="D21" s="22" t="s">
        <v>14</v>
      </c>
      <c r="E21" s="22">
        <v>20.0</v>
      </c>
      <c r="F21" s="23">
        <v>20.0</v>
      </c>
      <c r="G21" s="24">
        <f>SUMIF(Entradas!B:B, B21, Entradas!E:E) - SUMIF('Saídas'!C:C, B21, 'Saídas'!E:E)</f>
        <v>50</v>
      </c>
      <c r="H21" s="25" t="str">
        <f t="shared" si="1"/>
        <v>OK</v>
      </c>
      <c r="I21" s="21" t="s">
        <v>160</v>
      </c>
      <c r="J21" s="24">
        <f t="shared" si="2"/>
        <v>30</v>
      </c>
    </row>
    <row r="22">
      <c r="A22" s="22" t="s">
        <v>155</v>
      </c>
      <c r="B22" s="22" t="s">
        <v>64</v>
      </c>
      <c r="C22" s="22" t="s">
        <v>65</v>
      </c>
      <c r="D22" s="22" t="s">
        <v>14</v>
      </c>
      <c r="E22" s="22">
        <v>3.0</v>
      </c>
      <c r="F22" s="23">
        <v>20.0</v>
      </c>
      <c r="G22" s="24">
        <f>SUMIF(Entradas!B:B, B22, Entradas!E:E) - SUMIF('Saídas'!C:C, B22, 'Saídas'!E:E)</f>
        <v>127</v>
      </c>
      <c r="H22" s="25" t="str">
        <f t="shared" si="1"/>
        <v>OK</v>
      </c>
      <c r="I22" s="21" t="s">
        <v>160</v>
      </c>
      <c r="J22" s="24">
        <f t="shared" si="2"/>
        <v>107</v>
      </c>
    </row>
    <row r="23">
      <c r="A23" s="22" t="s">
        <v>155</v>
      </c>
      <c r="B23" s="22" t="s">
        <v>66</v>
      </c>
      <c r="C23" s="22" t="s">
        <v>67</v>
      </c>
      <c r="D23" s="22" t="s">
        <v>14</v>
      </c>
      <c r="E23" s="22">
        <v>3.0</v>
      </c>
      <c r="F23" s="23">
        <v>3.0</v>
      </c>
      <c r="G23" s="24">
        <f>SUMIF(Entradas!B:B, B23, Entradas!E:E) - SUMIF('Saídas'!C:C, B23, 'Saídas'!E:E)</f>
        <v>188</v>
      </c>
      <c r="H23" s="25" t="str">
        <f t="shared" si="1"/>
        <v>OK</v>
      </c>
      <c r="I23" s="21" t="s">
        <v>160</v>
      </c>
      <c r="J23" s="24">
        <f t="shared" si="2"/>
        <v>185</v>
      </c>
    </row>
    <row r="24">
      <c r="A24" s="22" t="s">
        <v>155</v>
      </c>
      <c r="B24" s="22" t="s">
        <v>70</v>
      </c>
      <c r="C24" s="22" t="s">
        <v>71</v>
      </c>
      <c r="D24" s="22" t="s">
        <v>156</v>
      </c>
      <c r="E24" s="22">
        <v>2.0</v>
      </c>
      <c r="F24" s="23">
        <v>20.0</v>
      </c>
      <c r="G24" s="24">
        <f>SUMIF(Entradas!B:B, B24, Entradas!E:E) - SUMIF('Saídas'!C:C, B24, 'Saídas'!E:E)</f>
        <v>50</v>
      </c>
      <c r="H24" s="25" t="str">
        <f t="shared" si="1"/>
        <v>OK</v>
      </c>
      <c r="I24" s="21" t="s">
        <v>161</v>
      </c>
      <c r="J24" s="24">
        <f t="shared" si="2"/>
        <v>30</v>
      </c>
    </row>
    <row r="25">
      <c r="A25" s="22" t="s">
        <v>155</v>
      </c>
      <c r="B25" s="22" t="s">
        <v>162</v>
      </c>
      <c r="C25" s="22" t="s">
        <v>163</v>
      </c>
      <c r="D25" s="22" t="s">
        <v>14</v>
      </c>
      <c r="E25" s="22">
        <v>3.0</v>
      </c>
      <c r="F25" s="22">
        <v>3.0</v>
      </c>
      <c r="G25" s="24">
        <f>SUMIF(Entradas!B:B, B25, Entradas!E:E) - SUMIF('Saídas'!C:C, B25, 'Saídas'!E:E)</f>
        <v>12</v>
      </c>
      <c r="H25" s="25" t="str">
        <f t="shared" si="1"/>
        <v>OK</v>
      </c>
      <c r="I25" s="21" t="s">
        <v>161</v>
      </c>
      <c r="J25" s="24">
        <f t="shared" si="2"/>
        <v>9</v>
      </c>
    </row>
    <row r="26">
      <c r="A26" s="22" t="s">
        <v>155</v>
      </c>
      <c r="B26" s="22" t="s">
        <v>72</v>
      </c>
      <c r="C26" s="22" t="s">
        <v>73</v>
      </c>
      <c r="D26" s="22" t="s">
        <v>14</v>
      </c>
      <c r="E26" s="22">
        <v>2.0</v>
      </c>
      <c r="F26" s="23">
        <v>200.0</v>
      </c>
      <c r="G26" s="24">
        <f>SUMIF(Entradas!B:B, B26, Entradas!E:E) - SUMIF('Saídas'!C:C, B26, 'Saídas'!E:E)</f>
        <v>1048</v>
      </c>
      <c r="H26" s="25" t="str">
        <f t="shared" si="1"/>
        <v>OK</v>
      </c>
      <c r="I26" s="21" t="s">
        <v>164</v>
      </c>
      <c r="J26" s="24">
        <f t="shared" si="2"/>
        <v>848</v>
      </c>
    </row>
    <row r="27">
      <c r="A27" s="22" t="s">
        <v>155</v>
      </c>
      <c r="B27" s="22" t="s">
        <v>76</v>
      </c>
      <c r="C27" s="27" t="s">
        <v>77</v>
      </c>
      <c r="D27" s="22" t="s">
        <v>14</v>
      </c>
      <c r="E27" s="22">
        <v>30.0</v>
      </c>
      <c r="F27" s="23">
        <v>3.0</v>
      </c>
      <c r="G27" s="24">
        <f>SUMIF(Entradas!B:B, B27, Entradas!E:E) - SUMIF('Saídas'!C:C, B27, 'Saídas'!E:E)</f>
        <v>206</v>
      </c>
      <c r="H27" s="25" t="str">
        <f t="shared" si="1"/>
        <v>OK</v>
      </c>
      <c r="I27" s="21" t="s">
        <v>164</v>
      </c>
      <c r="J27" s="24">
        <f t="shared" si="2"/>
        <v>203</v>
      </c>
    </row>
    <row r="28">
      <c r="A28" s="22" t="s">
        <v>155</v>
      </c>
      <c r="B28" s="22" t="s">
        <v>78</v>
      </c>
      <c r="C28" s="22" t="s">
        <v>79</v>
      </c>
      <c r="D28" s="22" t="s">
        <v>14</v>
      </c>
      <c r="E28" s="22">
        <v>2.0</v>
      </c>
      <c r="F28" s="23">
        <v>3.0</v>
      </c>
      <c r="G28" s="24">
        <f>SUMIF(Entradas!B:B, B28, Entradas!E:E) - SUMIF('Saídas'!C:C, B28, 'Saídas'!E:E)</f>
        <v>26</v>
      </c>
      <c r="H28" s="25" t="str">
        <f t="shared" si="1"/>
        <v>OK</v>
      </c>
      <c r="I28" s="21" t="s">
        <v>165</v>
      </c>
      <c r="J28" s="24">
        <f t="shared" si="2"/>
        <v>23</v>
      </c>
    </row>
    <row r="29">
      <c r="A29" s="22" t="s">
        <v>155</v>
      </c>
      <c r="B29" s="22" t="s">
        <v>80</v>
      </c>
      <c r="C29" s="27" t="s">
        <v>81</v>
      </c>
      <c r="D29" s="22" t="s">
        <v>14</v>
      </c>
      <c r="E29" s="22">
        <v>3.0</v>
      </c>
      <c r="F29" s="23">
        <v>3.0</v>
      </c>
      <c r="G29" s="24">
        <f>SUMIF(Entradas!B:B, B29, Entradas!E:E) - SUMIF('Saídas'!C:C, B29, 'Saídas'!E:E)</f>
        <v>15</v>
      </c>
      <c r="H29" s="25" t="str">
        <f t="shared" si="1"/>
        <v>OK</v>
      </c>
      <c r="I29" s="21" t="s">
        <v>166</v>
      </c>
      <c r="J29" s="24">
        <f t="shared" si="2"/>
        <v>12</v>
      </c>
    </row>
    <row r="30">
      <c r="A30" s="22" t="s">
        <v>155</v>
      </c>
      <c r="B30" s="22" t="s">
        <v>82</v>
      </c>
      <c r="C30" s="27" t="s">
        <v>83</v>
      </c>
      <c r="D30" s="22" t="s">
        <v>14</v>
      </c>
      <c r="E30" s="22">
        <v>3.0</v>
      </c>
      <c r="F30" s="23">
        <v>3.0</v>
      </c>
      <c r="G30" s="24">
        <f>SUMIF(Entradas!B:B, B30, Entradas!E:E) - SUMIF('Saídas'!C:C, B30, 'Saídas'!E:E)</f>
        <v>8</v>
      </c>
      <c r="H30" s="25" t="str">
        <f t="shared" si="1"/>
        <v>OK</v>
      </c>
      <c r="I30" s="21" t="s">
        <v>166</v>
      </c>
      <c r="J30" s="24">
        <f t="shared" si="2"/>
        <v>5</v>
      </c>
    </row>
    <row r="31">
      <c r="A31" s="22" t="s">
        <v>155</v>
      </c>
      <c r="B31" s="22" t="s">
        <v>86</v>
      </c>
      <c r="C31" s="27" t="s">
        <v>87</v>
      </c>
      <c r="D31" s="22" t="s">
        <v>14</v>
      </c>
      <c r="E31" s="22">
        <v>3.0</v>
      </c>
      <c r="F31" s="23">
        <v>2.0</v>
      </c>
      <c r="G31" s="24">
        <f>SUMIF(Entradas!B:B, B31, Entradas!E:E) - SUMIF('Saídas'!C:C, B31, 'Saídas'!E:E)</f>
        <v>11</v>
      </c>
      <c r="H31" s="25" t="str">
        <f t="shared" si="1"/>
        <v>OK</v>
      </c>
      <c r="I31" s="21" t="s">
        <v>166</v>
      </c>
      <c r="J31" s="24">
        <f t="shared" si="2"/>
        <v>9</v>
      </c>
    </row>
    <row r="32">
      <c r="A32" s="22" t="s">
        <v>155</v>
      </c>
      <c r="B32" s="22" t="s">
        <v>88</v>
      </c>
      <c r="C32" s="22" t="s">
        <v>89</v>
      </c>
      <c r="D32" s="22" t="s">
        <v>11</v>
      </c>
      <c r="E32" s="22">
        <v>3.0</v>
      </c>
      <c r="F32" s="23">
        <v>15.0</v>
      </c>
      <c r="G32" s="24">
        <f>SUMIF(Entradas!B:B, B32, Entradas!E:E) - SUMIF('Saídas'!C:C, B32, 'Saídas'!E:E)</f>
        <v>86</v>
      </c>
      <c r="H32" s="25" t="str">
        <f t="shared" si="1"/>
        <v>OK</v>
      </c>
      <c r="I32" s="21" t="s">
        <v>167</v>
      </c>
      <c r="J32" s="24">
        <f t="shared" si="2"/>
        <v>71</v>
      </c>
    </row>
    <row r="33">
      <c r="A33" s="22" t="s">
        <v>155</v>
      </c>
      <c r="B33" s="22" t="s">
        <v>94</v>
      </c>
      <c r="C33" s="27" t="s">
        <v>95</v>
      </c>
      <c r="D33" s="22" t="s">
        <v>35</v>
      </c>
      <c r="E33" s="22">
        <v>3.0</v>
      </c>
      <c r="F33" s="23">
        <v>3.0</v>
      </c>
      <c r="G33" s="24">
        <f>SUMIF(Entradas!B:B, B33, Entradas!E:E) - SUMIF('Saídas'!C:C, B33, 'Saídas'!E:E)</f>
        <v>8</v>
      </c>
      <c r="H33" s="25" t="str">
        <f t="shared" si="1"/>
        <v>OK</v>
      </c>
      <c r="I33" s="21" t="s">
        <v>168</v>
      </c>
      <c r="J33" s="24">
        <f t="shared" si="2"/>
        <v>5</v>
      </c>
    </row>
    <row r="34">
      <c r="A34" s="22" t="s">
        <v>155</v>
      </c>
      <c r="B34" s="22" t="s">
        <v>110</v>
      </c>
      <c r="C34" s="27" t="s">
        <v>111</v>
      </c>
      <c r="D34" s="22" t="s">
        <v>114</v>
      </c>
      <c r="E34" s="22">
        <v>3.0</v>
      </c>
      <c r="F34" s="23">
        <v>3.0</v>
      </c>
      <c r="G34" s="24">
        <f>SUMIF(Entradas!B:B, B34, Entradas!E:E) - SUMIF('Saídas'!C:C, B34, 'Saídas'!E:E)</f>
        <v>0</v>
      </c>
      <c r="H34" s="25" t="str">
        <f t="shared" si="1"/>
        <v>CRÍTICO</v>
      </c>
      <c r="I34" s="21" t="s">
        <v>169</v>
      </c>
      <c r="J34" s="24">
        <f t="shared" si="2"/>
        <v>-3</v>
      </c>
    </row>
    <row r="35">
      <c r="A35" s="22" t="s">
        <v>155</v>
      </c>
      <c r="B35" s="22" t="s">
        <v>112</v>
      </c>
      <c r="C35" s="22" t="s">
        <v>113</v>
      </c>
      <c r="D35" s="22" t="s">
        <v>114</v>
      </c>
      <c r="E35" s="22">
        <v>3.0</v>
      </c>
      <c r="F35" s="23">
        <v>1.0</v>
      </c>
      <c r="G35" s="24">
        <f>SUMIF(Entradas!B:B, B35, Entradas!E:E) - SUMIF('Saídas'!C:C, B35, 'Saídas'!E:E)</f>
        <v>62</v>
      </c>
      <c r="H35" s="25" t="str">
        <f t="shared" si="1"/>
        <v>OK</v>
      </c>
      <c r="I35" s="21" t="s">
        <v>169</v>
      </c>
      <c r="J35" s="24">
        <f t="shared" si="2"/>
        <v>61</v>
      </c>
    </row>
    <row r="36">
      <c r="A36" s="22" t="s">
        <v>155</v>
      </c>
      <c r="B36" s="22" t="s">
        <v>117</v>
      </c>
      <c r="C36" s="22" t="s">
        <v>118</v>
      </c>
      <c r="D36" s="22" t="s">
        <v>156</v>
      </c>
      <c r="E36" s="22">
        <v>3.0</v>
      </c>
      <c r="F36" s="23">
        <v>2.0</v>
      </c>
      <c r="G36" s="24">
        <f>SUMIF(Entradas!B:B, B36, Entradas!E:E) - SUMIF('Saídas'!C:C, B36, 'Saídas'!E:E)</f>
        <v>1</v>
      </c>
      <c r="H36" s="25" t="str">
        <f t="shared" si="1"/>
        <v>CRÍTICO</v>
      </c>
      <c r="I36" s="21" t="s">
        <v>170</v>
      </c>
      <c r="J36" s="24">
        <f t="shared" si="2"/>
        <v>-1</v>
      </c>
    </row>
    <row r="37">
      <c r="A37" s="22" t="s">
        <v>155</v>
      </c>
      <c r="B37" s="22" t="s">
        <v>119</v>
      </c>
      <c r="C37" s="22" t="s">
        <v>120</v>
      </c>
      <c r="D37" s="22" t="s">
        <v>114</v>
      </c>
      <c r="E37" s="22">
        <v>3.0</v>
      </c>
      <c r="F37" s="23">
        <v>30.0</v>
      </c>
      <c r="G37" s="24">
        <f>SUMIF(Entradas!B:B, B37, Entradas!E:E) - SUMIF('Saídas'!C:C, B37, 'Saídas'!E:E)</f>
        <v>202</v>
      </c>
      <c r="H37" s="25" t="str">
        <f t="shared" si="1"/>
        <v>OK</v>
      </c>
      <c r="I37" s="21" t="s">
        <v>169</v>
      </c>
      <c r="J37" s="24">
        <f t="shared" si="2"/>
        <v>172</v>
      </c>
    </row>
    <row r="38">
      <c r="A38" s="22" t="s">
        <v>155</v>
      </c>
      <c r="B38" s="22" t="s">
        <v>139</v>
      </c>
      <c r="C38" s="22" t="s">
        <v>140</v>
      </c>
      <c r="D38" s="22" t="s">
        <v>14</v>
      </c>
      <c r="E38" s="22">
        <v>3.0</v>
      </c>
      <c r="F38" s="23">
        <v>20.0</v>
      </c>
      <c r="G38" s="24">
        <f>SUMIF(Entradas!B:B, B38, Entradas!E:E) - SUMIF('Saídas'!C:C, B38, 'Saídas'!E:E)</f>
        <v>176</v>
      </c>
      <c r="H38" s="25" t="str">
        <f t="shared" si="1"/>
        <v>OK</v>
      </c>
      <c r="I38" s="21" t="s">
        <v>171</v>
      </c>
      <c r="J38" s="24">
        <f t="shared" si="2"/>
        <v>156</v>
      </c>
    </row>
    <row r="39">
      <c r="A39" s="22" t="s">
        <v>155</v>
      </c>
      <c r="B39" s="22" t="s">
        <v>141</v>
      </c>
      <c r="C39" s="22" t="s">
        <v>142</v>
      </c>
      <c r="D39" s="22" t="s">
        <v>14</v>
      </c>
      <c r="E39" s="22">
        <v>3.0</v>
      </c>
      <c r="F39" s="23">
        <v>20.0</v>
      </c>
      <c r="G39" s="24">
        <f>SUMIF(Entradas!B:B, B39, Entradas!E:E) - SUMIF('Saídas'!C:C, B39, 'Saídas'!E:E)</f>
        <v>669</v>
      </c>
      <c r="H39" s="25" t="str">
        <f t="shared" si="1"/>
        <v>OK</v>
      </c>
      <c r="I39" s="21" t="s">
        <v>171</v>
      </c>
      <c r="J39" s="24">
        <f t="shared" si="2"/>
        <v>649</v>
      </c>
    </row>
    <row r="40">
      <c r="I40" s="28"/>
    </row>
    <row r="41">
      <c r="I41" s="28"/>
    </row>
    <row r="42">
      <c r="I42" s="28"/>
    </row>
    <row r="43">
      <c r="I43" s="28"/>
    </row>
    <row r="44">
      <c r="I44" s="28"/>
    </row>
    <row r="45">
      <c r="I45" s="28"/>
    </row>
    <row r="46">
      <c r="I46" s="28"/>
    </row>
    <row r="47">
      <c r="I47" s="28"/>
    </row>
    <row r="48">
      <c r="I48" s="28"/>
    </row>
    <row r="49">
      <c r="I49" s="28"/>
    </row>
    <row r="50">
      <c r="I50" s="28"/>
    </row>
    <row r="51">
      <c r="I51" s="28"/>
    </row>
    <row r="52">
      <c r="I52" s="28"/>
    </row>
    <row r="53">
      <c r="I53" s="28"/>
    </row>
    <row r="54">
      <c r="I54" s="28"/>
    </row>
    <row r="55">
      <c r="I55" s="28"/>
    </row>
    <row r="56">
      <c r="I56" s="28"/>
    </row>
    <row r="57">
      <c r="I57" s="28"/>
    </row>
    <row r="58">
      <c r="I58" s="28"/>
    </row>
    <row r="59">
      <c r="I59" s="28"/>
    </row>
    <row r="60">
      <c r="I60" s="28"/>
    </row>
    <row r="61">
      <c r="I61" s="28"/>
    </row>
    <row r="62">
      <c r="I62" s="28"/>
    </row>
    <row r="63">
      <c r="I63" s="28"/>
    </row>
    <row r="64">
      <c r="I64" s="28"/>
    </row>
    <row r="65">
      <c r="I65" s="28"/>
    </row>
    <row r="66">
      <c r="I66" s="28"/>
    </row>
    <row r="67">
      <c r="I67" s="28"/>
    </row>
    <row r="68">
      <c r="I68" s="28"/>
    </row>
    <row r="69">
      <c r="I69" s="28"/>
    </row>
    <row r="70">
      <c r="I70" s="28"/>
    </row>
    <row r="71">
      <c r="I71" s="28"/>
    </row>
    <row r="72">
      <c r="I72" s="28"/>
    </row>
    <row r="73">
      <c r="I73" s="28"/>
    </row>
    <row r="74">
      <c r="I74" s="28"/>
    </row>
    <row r="75">
      <c r="I75" s="28"/>
    </row>
    <row r="76">
      <c r="I76" s="28"/>
    </row>
    <row r="77">
      <c r="I77" s="28"/>
    </row>
    <row r="78">
      <c r="I78" s="28"/>
    </row>
    <row r="79">
      <c r="I79" s="28"/>
    </row>
    <row r="80">
      <c r="I80" s="28"/>
    </row>
    <row r="81">
      <c r="I81" s="28"/>
    </row>
    <row r="82">
      <c r="I82" s="28"/>
    </row>
    <row r="83">
      <c r="I83" s="28"/>
    </row>
    <row r="84">
      <c r="I84" s="28"/>
    </row>
    <row r="85">
      <c r="I85" s="28"/>
    </row>
    <row r="86">
      <c r="I86" s="28"/>
    </row>
    <row r="87">
      <c r="I87" s="28"/>
    </row>
    <row r="88">
      <c r="I88" s="28"/>
    </row>
    <row r="89">
      <c r="I89" s="28"/>
    </row>
    <row r="90">
      <c r="I90" s="28"/>
    </row>
    <row r="91">
      <c r="I91" s="28"/>
    </row>
    <row r="92">
      <c r="I92" s="28"/>
    </row>
    <row r="93">
      <c r="I93" s="28"/>
    </row>
    <row r="94">
      <c r="I94" s="28"/>
    </row>
    <row r="95">
      <c r="I95" s="28"/>
    </row>
    <row r="96">
      <c r="I96" s="28"/>
    </row>
    <row r="97">
      <c r="I97" s="28"/>
    </row>
    <row r="98">
      <c r="I98" s="28"/>
    </row>
    <row r="99">
      <c r="I99" s="28"/>
    </row>
    <row r="100">
      <c r="I100" s="28"/>
    </row>
    <row r="101">
      <c r="I101" s="28"/>
    </row>
    <row r="102">
      <c r="I102" s="28"/>
    </row>
    <row r="103">
      <c r="I103" s="28"/>
    </row>
    <row r="104">
      <c r="I104" s="28"/>
    </row>
    <row r="105">
      <c r="I105" s="28"/>
    </row>
    <row r="106">
      <c r="I106" s="28"/>
    </row>
    <row r="107">
      <c r="I107" s="28"/>
    </row>
    <row r="108">
      <c r="I108" s="28"/>
    </row>
    <row r="109">
      <c r="I109" s="28"/>
    </row>
    <row r="110">
      <c r="I110" s="28"/>
    </row>
    <row r="111">
      <c r="I111" s="28"/>
    </row>
    <row r="112">
      <c r="I112" s="28"/>
    </row>
    <row r="113">
      <c r="I113" s="28"/>
    </row>
    <row r="114">
      <c r="I114" s="28"/>
    </row>
    <row r="115">
      <c r="I115" s="28"/>
    </row>
    <row r="116">
      <c r="I116" s="28"/>
    </row>
    <row r="117">
      <c r="I117" s="28"/>
    </row>
    <row r="118">
      <c r="I118" s="28"/>
    </row>
    <row r="119">
      <c r="I119" s="28"/>
    </row>
    <row r="120">
      <c r="I120" s="28"/>
    </row>
    <row r="121">
      <c r="I121" s="28"/>
    </row>
    <row r="122">
      <c r="I122" s="28"/>
    </row>
    <row r="123">
      <c r="I123" s="28"/>
    </row>
    <row r="124">
      <c r="I124" s="28"/>
    </row>
    <row r="125">
      <c r="I125" s="28"/>
    </row>
    <row r="126">
      <c r="I126" s="28"/>
    </row>
    <row r="127">
      <c r="I127" s="28"/>
    </row>
    <row r="128">
      <c r="I128" s="28"/>
    </row>
    <row r="129">
      <c r="I129" s="28"/>
    </row>
    <row r="130">
      <c r="I130" s="28"/>
    </row>
    <row r="131">
      <c r="I131" s="28"/>
    </row>
    <row r="132">
      <c r="I132" s="28"/>
    </row>
    <row r="133">
      <c r="I133" s="28"/>
    </row>
    <row r="134">
      <c r="I134" s="28"/>
    </row>
    <row r="135">
      <c r="I135" s="28"/>
    </row>
    <row r="136">
      <c r="I136" s="28"/>
    </row>
    <row r="137">
      <c r="I137" s="28"/>
    </row>
    <row r="138">
      <c r="I138" s="28"/>
    </row>
    <row r="139">
      <c r="I139" s="28"/>
    </row>
    <row r="140">
      <c r="I140" s="28"/>
    </row>
    <row r="141">
      <c r="I141" s="28"/>
    </row>
    <row r="142">
      <c r="I142" s="28"/>
    </row>
    <row r="143">
      <c r="I143" s="28"/>
    </row>
    <row r="144">
      <c r="I144" s="28"/>
    </row>
    <row r="145">
      <c r="I145" s="28"/>
    </row>
    <row r="146">
      <c r="I146" s="28"/>
    </row>
    <row r="147">
      <c r="I147" s="28"/>
    </row>
    <row r="148">
      <c r="I148" s="28"/>
    </row>
    <row r="149">
      <c r="I149" s="28"/>
    </row>
    <row r="150">
      <c r="I150" s="28"/>
    </row>
    <row r="151">
      <c r="I151" s="28"/>
    </row>
    <row r="152">
      <c r="I152" s="28"/>
    </row>
    <row r="153">
      <c r="I153" s="28"/>
    </row>
    <row r="154">
      <c r="I154" s="28"/>
    </row>
    <row r="155">
      <c r="I155" s="28"/>
    </row>
    <row r="156">
      <c r="I156" s="28"/>
    </row>
    <row r="157">
      <c r="I157" s="28"/>
    </row>
    <row r="158">
      <c r="I158" s="28"/>
    </row>
    <row r="159">
      <c r="I159" s="28"/>
    </row>
    <row r="160">
      <c r="I160" s="28"/>
    </row>
    <row r="161">
      <c r="I161" s="28"/>
    </row>
    <row r="162">
      <c r="I162" s="28"/>
    </row>
    <row r="163">
      <c r="I163" s="28"/>
    </row>
    <row r="164">
      <c r="I164" s="28"/>
    </row>
    <row r="165">
      <c r="I165" s="28"/>
    </row>
    <row r="166">
      <c r="I166" s="28"/>
    </row>
    <row r="167">
      <c r="I167" s="28"/>
    </row>
    <row r="168">
      <c r="I168" s="28"/>
    </row>
    <row r="169">
      <c r="I169" s="28"/>
    </row>
    <row r="170">
      <c r="I170" s="28"/>
    </row>
    <row r="171">
      <c r="I171" s="28"/>
    </row>
    <row r="172">
      <c r="I172" s="28"/>
    </row>
    <row r="173">
      <c r="I173" s="28"/>
    </row>
    <row r="174">
      <c r="I174" s="28"/>
    </row>
    <row r="175">
      <c r="I175" s="28"/>
    </row>
    <row r="176">
      <c r="I176" s="28"/>
    </row>
    <row r="177">
      <c r="I177" s="28"/>
    </row>
    <row r="178">
      <c r="I178" s="28"/>
    </row>
    <row r="179">
      <c r="I179" s="28"/>
    </row>
    <row r="180">
      <c r="I180" s="28"/>
    </row>
    <row r="181">
      <c r="I181" s="28"/>
    </row>
    <row r="182">
      <c r="I182" s="28"/>
    </row>
    <row r="183">
      <c r="I183" s="28"/>
    </row>
    <row r="184">
      <c r="I184" s="28"/>
    </row>
    <row r="185">
      <c r="I185" s="28"/>
    </row>
    <row r="186">
      <c r="I186" s="28"/>
    </row>
    <row r="187">
      <c r="I187" s="28"/>
    </row>
    <row r="188">
      <c r="I188" s="28"/>
    </row>
    <row r="189">
      <c r="I189" s="28"/>
    </row>
    <row r="190">
      <c r="I190" s="28"/>
    </row>
    <row r="191">
      <c r="I191" s="28"/>
    </row>
    <row r="192">
      <c r="I192" s="28"/>
    </row>
    <row r="193">
      <c r="I193" s="28"/>
    </row>
    <row r="194">
      <c r="I194" s="28"/>
    </row>
    <row r="195">
      <c r="I195" s="28"/>
    </row>
    <row r="196">
      <c r="I196" s="28"/>
    </row>
    <row r="197">
      <c r="I197" s="28"/>
    </row>
    <row r="198">
      <c r="I198" s="28"/>
    </row>
    <row r="199">
      <c r="I199" s="28"/>
    </row>
    <row r="200">
      <c r="I200" s="28"/>
    </row>
    <row r="201">
      <c r="I201" s="28"/>
    </row>
    <row r="202">
      <c r="I202" s="28"/>
    </row>
    <row r="203">
      <c r="I203" s="28"/>
    </row>
    <row r="204">
      <c r="I204" s="28"/>
    </row>
    <row r="205">
      <c r="I205" s="28"/>
    </row>
    <row r="206">
      <c r="I206" s="28"/>
    </row>
    <row r="207">
      <c r="I207" s="28"/>
    </row>
    <row r="208">
      <c r="I208" s="28"/>
    </row>
    <row r="209">
      <c r="I209" s="28"/>
    </row>
    <row r="210">
      <c r="I210" s="28"/>
    </row>
    <row r="211">
      <c r="I211" s="28"/>
    </row>
    <row r="212">
      <c r="I212" s="28"/>
    </row>
    <row r="213">
      <c r="I213" s="28"/>
    </row>
    <row r="214">
      <c r="I214" s="28"/>
    </row>
    <row r="215">
      <c r="I215" s="28"/>
    </row>
    <row r="216">
      <c r="I216" s="28"/>
    </row>
    <row r="217">
      <c r="I217" s="28"/>
    </row>
    <row r="218">
      <c r="I218" s="28"/>
    </row>
    <row r="219">
      <c r="I219" s="28"/>
    </row>
    <row r="220">
      <c r="I220" s="28"/>
    </row>
    <row r="221">
      <c r="I221" s="28"/>
    </row>
    <row r="222">
      <c r="I222" s="28"/>
    </row>
    <row r="223">
      <c r="I223" s="28"/>
    </row>
    <row r="224">
      <c r="I224" s="28"/>
    </row>
    <row r="225">
      <c r="I225" s="28"/>
    </row>
    <row r="226">
      <c r="I226" s="28"/>
    </row>
    <row r="227">
      <c r="I227" s="28"/>
    </row>
    <row r="228">
      <c r="I228" s="28"/>
    </row>
    <row r="229">
      <c r="I229" s="28"/>
    </row>
    <row r="230">
      <c r="I230" s="28"/>
    </row>
    <row r="231">
      <c r="I231" s="28"/>
    </row>
    <row r="232">
      <c r="I232" s="28"/>
    </row>
    <row r="233">
      <c r="I233" s="28"/>
    </row>
    <row r="234">
      <c r="I234" s="28"/>
    </row>
    <row r="235">
      <c r="I235" s="28"/>
    </row>
    <row r="236">
      <c r="I236" s="28"/>
    </row>
    <row r="237">
      <c r="I237" s="28"/>
    </row>
    <row r="238">
      <c r="I238" s="28"/>
    </row>
    <row r="239">
      <c r="I239" s="28"/>
    </row>
    <row r="240">
      <c r="I240" s="28"/>
    </row>
    <row r="241">
      <c r="I241" s="28"/>
    </row>
    <row r="242">
      <c r="I242" s="28"/>
    </row>
    <row r="243">
      <c r="I243" s="28"/>
    </row>
    <row r="244">
      <c r="I244" s="28"/>
    </row>
    <row r="245">
      <c r="I245" s="28"/>
    </row>
    <row r="246">
      <c r="I246" s="28"/>
    </row>
    <row r="247">
      <c r="I247" s="28"/>
    </row>
    <row r="248">
      <c r="I248" s="28"/>
    </row>
    <row r="249">
      <c r="I249" s="28"/>
    </row>
    <row r="250">
      <c r="I250" s="28"/>
    </row>
    <row r="251">
      <c r="I251" s="28"/>
    </row>
    <row r="252">
      <c r="I252" s="28"/>
    </row>
    <row r="253">
      <c r="I253" s="28"/>
    </row>
    <row r="254">
      <c r="I254" s="28"/>
    </row>
    <row r="255">
      <c r="I255" s="28"/>
    </row>
    <row r="256">
      <c r="I256" s="28"/>
    </row>
    <row r="257">
      <c r="I257" s="28"/>
    </row>
    <row r="258">
      <c r="I258" s="28"/>
    </row>
    <row r="259">
      <c r="I259" s="28"/>
    </row>
    <row r="260">
      <c r="I260" s="28"/>
    </row>
    <row r="261">
      <c r="I261" s="28"/>
    </row>
    <row r="262">
      <c r="I262" s="28"/>
    </row>
    <row r="263">
      <c r="I263" s="28"/>
    </row>
    <row r="264">
      <c r="I264" s="28"/>
    </row>
    <row r="265">
      <c r="I265" s="28"/>
    </row>
    <row r="266">
      <c r="I266" s="28"/>
    </row>
    <row r="267">
      <c r="I267" s="28"/>
    </row>
    <row r="268">
      <c r="I268" s="28"/>
    </row>
    <row r="269">
      <c r="I269" s="28"/>
    </row>
    <row r="270">
      <c r="I270" s="28"/>
    </row>
    <row r="271">
      <c r="I271" s="28"/>
    </row>
    <row r="272">
      <c r="I272" s="28"/>
    </row>
    <row r="273">
      <c r="I273" s="28"/>
    </row>
    <row r="274">
      <c r="I274" s="28"/>
    </row>
    <row r="275">
      <c r="I275" s="28"/>
    </row>
    <row r="276">
      <c r="I276" s="28"/>
    </row>
    <row r="277">
      <c r="I277" s="28"/>
    </row>
    <row r="278">
      <c r="I278" s="28"/>
    </row>
    <row r="279">
      <c r="I279" s="28"/>
    </row>
    <row r="280">
      <c r="I280" s="28"/>
    </row>
    <row r="281">
      <c r="I281" s="28"/>
    </row>
    <row r="282">
      <c r="I282" s="28"/>
    </row>
    <row r="283">
      <c r="I283" s="28"/>
    </row>
    <row r="284">
      <c r="I284" s="28"/>
    </row>
    <row r="285">
      <c r="I285" s="28"/>
    </row>
    <row r="286">
      <c r="I286" s="28"/>
    </row>
    <row r="287">
      <c r="I287" s="28"/>
    </row>
    <row r="288">
      <c r="I288" s="28"/>
    </row>
    <row r="289">
      <c r="I289" s="28"/>
    </row>
    <row r="290">
      <c r="I290" s="28"/>
    </row>
    <row r="291">
      <c r="I291" s="28"/>
    </row>
    <row r="292">
      <c r="I292" s="28"/>
    </row>
    <row r="293">
      <c r="I293" s="28"/>
    </row>
    <row r="294">
      <c r="I294" s="28"/>
    </row>
    <row r="295">
      <c r="I295" s="28"/>
    </row>
    <row r="296">
      <c r="I296" s="28"/>
    </row>
    <row r="297">
      <c r="I297" s="28"/>
    </row>
    <row r="298">
      <c r="I298" s="28"/>
    </row>
    <row r="299">
      <c r="I299" s="28"/>
    </row>
    <row r="300">
      <c r="I300" s="28"/>
    </row>
    <row r="301">
      <c r="I301" s="28"/>
    </row>
    <row r="302">
      <c r="I302" s="28"/>
    </row>
    <row r="303">
      <c r="I303" s="28"/>
    </row>
    <row r="304">
      <c r="I304" s="28"/>
    </row>
    <row r="305">
      <c r="I305" s="28"/>
    </row>
    <row r="306">
      <c r="I306" s="28"/>
    </row>
    <row r="307">
      <c r="I307" s="28"/>
    </row>
    <row r="308">
      <c r="I308" s="28"/>
    </row>
    <row r="309">
      <c r="I309" s="28"/>
    </row>
    <row r="310">
      <c r="I310" s="28"/>
    </row>
    <row r="311">
      <c r="I311" s="28"/>
    </row>
    <row r="312">
      <c r="I312" s="28"/>
    </row>
    <row r="313">
      <c r="I313" s="28"/>
    </row>
    <row r="314">
      <c r="I314" s="28"/>
    </row>
    <row r="315">
      <c r="I315" s="28"/>
    </row>
    <row r="316">
      <c r="I316" s="28"/>
    </row>
    <row r="317">
      <c r="I317" s="28"/>
    </row>
    <row r="318">
      <c r="I318" s="28"/>
    </row>
    <row r="319">
      <c r="I319" s="28"/>
    </row>
    <row r="320">
      <c r="I320" s="28"/>
    </row>
    <row r="321">
      <c r="I321" s="28"/>
    </row>
    <row r="322">
      <c r="I322" s="28"/>
    </row>
    <row r="323">
      <c r="I323" s="28"/>
    </row>
    <row r="324">
      <c r="I324" s="28"/>
    </row>
    <row r="325">
      <c r="I325" s="28"/>
    </row>
    <row r="326">
      <c r="I326" s="28"/>
    </row>
    <row r="327">
      <c r="I327" s="28"/>
    </row>
    <row r="328">
      <c r="I328" s="28"/>
    </row>
    <row r="329">
      <c r="I329" s="28"/>
    </row>
    <row r="330">
      <c r="I330" s="28"/>
    </row>
    <row r="331">
      <c r="I331" s="28"/>
    </row>
    <row r="332">
      <c r="I332" s="28"/>
    </row>
    <row r="333">
      <c r="I333" s="28"/>
    </row>
    <row r="334">
      <c r="I334" s="28"/>
    </row>
    <row r="335">
      <c r="I335" s="28"/>
    </row>
    <row r="336">
      <c r="I336" s="28"/>
    </row>
    <row r="337">
      <c r="I337" s="28"/>
    </row>
    <row r="338">
      <c r="I338" s="28"/>
    </row>
    <row r="339">
      <c r="I339" s="28"/>
    </row>
    <row r="340">
      <c r="I340" s="28"/>
    </row>
    <row r="341">
      <c r="I341" s="28"/>
    </row>
    <row r="342">
      <c r="I342" s="28"/>
    </row>
    <row r="343">
      <c r="I343" s="28"/>
    </row>
    <row r="344">
      <c r="I344" s="28"/>
    </row>
    <row r="345">
      <c r="I345" s="28"/>
    </row>
    <row r="346">
      <c r="I346" s="28"/>
    </row>
    <row r="347">
      <c r="I347" s="28"/>
    </row>
    <row r="348">
      <c r="I348" s="28"/>
    </row>
    <row r="349">
      <c r="I349" s="28"/>
    </row>
    <row r="350">
      <c r="I350" s="28"/>
    </row>
    <row r="351">
      <c r="I351" s="28"/>
    </row>
    <row r="352">
      <c r="I352" s="28"/>
    </row>
    <row r="353">
      <c r="I353" s="28"/>
    </row>
    <row r="354">
      <c r="I354" s="28"/>
    </row>
    <row r="355">
      <c r="I355" s="28"/>
    </row>
    <row r="356">
      <c r="I356" s="28"/>
    </row>
    <row r="357">
      <c r="I357" s="28"/>
    </row>
    <row r="358">
      <c r="I358" s="28"/>
    </row>
    <row r="359">
      <c r="I359" s="28"/>
    </row>
    <row r="360">
      <c r="I360" s="28"/>
    </row>
    <row r="361">
      <c r="I361" s="28"/>
    </row>
    <row r="362">
      <c r="I362" s="28"/>
    </row>
    <row r="363">
      <c r="I363" s="28"/>
    </row>
    <row r="364">
      <c r="I364" s="28"/>
    </row>
    <row r="365">
      <c r="I365" s="28"/>
    </row>
    <row r="366">
      <c r="I366" s="28"/>
    </row>
    <row r="367">
      <c r="I367" s="28"/>
    </row>
    <row r="368">
      <c r="I368" s="28"/>
    </row>
    <row r="369">
      <c r="I369" s="28"/>
    </row>
    <row r="370">
      <c r="I370" s="28"/>
    </row>
    <row r="371">
      <c r="I371" s="28"/>
    </row>
    <row r="372">
      <c r="I372" s="28"/>
    </row>
    <row r="373">
      <c r="I373" s="28"/>
    </row>
    <row r="374">
      <c r="I374" s="28"/>
    </row>
    <row r="375">
      <c r="I375" s="28"/>
    </row>
    <row r="376">
      <c r="I376" s="28"/>
    </row>
    <row r="377">
      <c r="I377" s="28"/>
    </row>
    <row r="378">
      <c r="I378" s="28"/>
    </row>
    <row r="379">
      <c r="I379" s="28"/>
    </row>
    <row r="380">
      <c r="I380" s="28"/>
    </row>
    <row r="381">
      <c r="I381" s="28"/>
    </row>
    <row r="382">
      <c r="I382" s="28"/>
    </row>
    <row r="383">
      <c r="I383" s="28"/>
    </row>
    <row r="384">
      <c r="I384" s="28"/>
    </row>
    <row r="385">
      <c r="I385" s="28"/>
    </row>
    <row r="386">
      <c r="I386" s="28"/>
    </row>
    <row r="387">
      <c r="I387" s="28"/>
    </row>
    <row r="388">
      <c r="I388" s="28"/>
    </row>
    <row r="389">
      <c r="I389" s="28"/>
    </row>
    <row r="390">
      <c r="I390" s="28"/>
    </row>
    <row r="391">
      <c r="I391" s="28"/>
    </row>
    <row r="392">
      <c r="I392" s="28"/>
    </row>
    <row r="393">
      <c r="I393" s="28"/>
    </row>
    <row r="394">
      <c r="I394" s="28"/>
    </row>
    <row r="395">
      <c r="I395" s="28"/>
    </row>
    <row r="396">
      <c r="I396" s="28"/>
    </row>
    <row r="397">
      <c r="I397" s="28"/>
    </row>
    <row r="398">
      <c r="I398" s="28"/>
    </row>
    <row r="399">
      <c r="I399" s="28"/>
    </row>
    <row r="400">
      <c r="I400" s="28"/>
    </row>
    <row r="401">
      <c r="I401" s="28"/>
    </row>
    <row r="402">
      <c r="I402" s="28"/>
    </row>
    <row r="403">
      <c r="I403" s="28"/>
    </row>
    <row r="404">
      <c r="I404" s="28"/>
    </row>
    <row r="405">
      <c r="I405" s="28"/>
    </row>
    <row r="406">
      <c r="I406" s="28"/>
    </row>
    <row r="407">
      <c r="I407" s="28"/>
    </row>
    <row r="408">
      <c r="I408" s="28"/>
    </row>
    <row r="409">
      <c r="I409" s="28"/>
    </row>
    <row r="410">
      <c r="I410" s="28"/>
    </row>
    <row r="411">
      <c r="I411" s="28"/>
    </row>
    <row r="412">
      <c r="I412" s="28"/>
    </row>
    <row r="413">
      <c r="I413" s="28"/>
    </row>
    <row r="414">
      <c r="I414" s="28"/>
    </row>
    <row r="415">
      <c r="I415" s="28"/>
    </row>
    <row r="416">
      <c r="I416" s="28"/>
    </row>
    <row r="417">
      <c r="I417" s="28"/>
    </row>
    <row r="418">
      <c r="I418" s="28"/>
    </row>
    <row r="419">
      <c r="I419" s="28"/>
    </row>
    <row r="420">
      <c r="I420" s="28"/>
    </row>
    <row r="421">
      <c r="I421" s="28"/>
    </row>
    <row r="422">
      <c r="I422" s="28"/>
    </row>
    <row r="423">
      <c r="I423" s="28"/>
    </row>
    <row r="424">
      <c r="I424" s="28"/>
    </row>
    <row r="425">
      <c r="I425" s="28"/>
    </row>
    <row r="426">
      <c r="I426" s="28"/>
    </row>
    <row r="427">
      <c r="I427" s="28"/>
    </row>
    <row r="428">
      <c r="I428" s="28"/>
    </row>
    <row r="429">
      <c r="I429" s="28"/>
    </row>
    <row r="430">
      <c r="I430" s="28"/>
    </row>
    <row r="431">
      <c r="I431" s="28"/>
    </row>
    <row r="432">
      <c r="I432" s="28"/>
    </row>
    <row r="433">
      <c r="I433" s="28"/>
    </row>
    <row r="434">
      <c r="I434" s="28"/>
    </row>
    <row r="435">
      <c r="I435" s="28"/>
    </row>
    <row r="436">
      <c r="I436" s="28"/>
    </row>
    <row r="437">
      <c r="I437" s="28"/>
    </row>
    <row r="438">
      <c r="I438" s="28"/>
    </row>
    <row r="439">
      <c r="I439" s="28"/>
    </row>
    <row r="440">
      <c r="I440" s="28"/>
    </row>
    <row r="441">
      <c r="I441" s="28"/>
    </row>
    <row r="442">
      <c r="I442" s="28"/>
    </row>
    <row r="443">
      <c r="I443" s="28"/>
    </row>
    <row r="444">
      <c r="I444" s="28"/>
    </row>
    <row r="445">
      <c r="I445" s="28"/>
    </row>
    <row r="446">
      <c r="I446" s="28"/>
    </row>
    <row r="447">
      <c r="I447" s="28"/>
    </row>
    <row r="448">
      <c r="I448" s="28"/>
    </row>
    <row r="449">
      <c r="I449" s="28"/>
    </row>
    <row r="450">
      <c r="I450" s="28"/>
    </row>
    <row r="451">
      <c r="I451" s="28"/>
    </row>
    <row r="452">
      <c r="I452" s="28"/>
    </row>
    <row r="453">
      <c r="I453" s="28"/>
    </row>
    <row r="454">
      <c r="I454" s="28"/>
    </row>
    <row r="455">
      <c r="I455" s="28"/>
    </row>
    <row r="456">
      <c r="I456" s="28"/>
    </row>
    <row r="457">
      <c r="I457" s="28"/>
    </row>
    <row r="458">
      <c r="I458" s="28"/>
    </row>
    <row r="459">
      <c r="I459" s="28"/>
    </row>
    <row r="460">
      <c r="I460" s="28"/>
    </row>
    <row r="461">
      <c r="I461" s="28"/>
    </row>
    <row r="462">
      <c r="I462" s="28"/>
    </row>
    <row r="463">
      <c r="I463" s="28"/>
    </row>
    <row r="464">
      <c r="I464" s="28"/>
    </row>
    <row r="465">
      <c r="I465" s="28"/>
    </row>
    <row r="466">
      <c r="I466" s="28"/>
    </row>
    <row r="467">
      <c r="I467" s="28"/>
    </row>
    <row r="468">
      <c r="I468" s="28"/>
    </row>
    <row r="469">
      <c r="I469" s="28"/>
    </row>
    <row r="470">
      <c r="I470" s="28"/>
    </row>
    <row r="471">
      <c r="I471" s="28"/>
    </row>
    <row r="472">
      <c r="I472" s="28"/>
    </row>
    <row r="473">
      <c r="I473" s="28"/>
    </row>
    <row r="474">
      <c r="I474" s="28"/>
    </row>
    <row r="475">
      <c r="I475" s="28"/>
    </row>
    <row r="476">
      <c r="I476" s="28"/>
    </row>
    <row r="477">
      <c r="I477" s="28"/>
    </row>
    <row r="478">
      <c r="I478" s="28"/>
    </row>
    <row r="479">
      <c r="I479" s="28"/>
    </row>
    <row r="480">
      <c r="I480" s="28"/>
    </row>
    <row r="481">
      <c r="I481" s="28"/>
    </row>
    <row r="482">
      <c r="I482" s="28"/>
    </row>
    <row r="483">
      <c r="I483" s="28"/>
    </row>
    <row r="484">
      <c r="I484" s="28"/>
    </row>
    <row r="485">
      <c r="I485" s="28"/>
    </row>
    <row r="486">
      <c r="I486" s="28"/>
    </row>
    <row r="487">
      <c r="I487" s="28"/>
    </row>
    <row r="488">
      <c r="I488" s="28"/>
    </row>
    <row r="489">
      <c r="I489" s="28"/>
    </row>
    <row r="490">
      <c r="I490" s="28"/>
    </row>
    <row r="491">
      <c r="I491" s="28"/>
    </row>
    <row r="492">
      <c r="I492" s="28"/>
    </row>
    <row r="493">
      <c r="I493" s="28"/>
    </row>
    <row r="494">
      <c r="I494" s="28"/>
    </row>
    <row r="495">
      <c r="I495" s="28"/>
    </row>
    <row r="496">
      <c r="I496" s="28"/>
    </row>
    <row r="497">
      <c r="I497" s="28"/>
    </row>
    <row r="498">
      <c r="I498" s="28"/>
    </row>
    <row r="499">
      <c r="I499" s="28"/>
    </row>
    <row r="500">
      <c r="I500" s="28"/>
    </row>
    <row r="501">
      <c r="I501" s="28"/>
    </row>
    <row r="502">
      <c r="I502" s="28"/>
    </row>
    <row r="503">
      <c r="I503" s="28"/>
    </row>
    <row r="504">
      <c r="I504" s="28"/>
    </row>
    <row r="505">
      <c r="I505" s="28"/>
    </row>
    <row r="506">
      <c r="I506" s="28"/>
    </row>
    <row r="507">
      <c r="I507" s="28"/>
    </row>
    <row r="508">
      <c r="I508" s="28"/>
    </row>
    <row r="509">
      <c r="I509" s="28"/>
    </row>
    <row r="510">
      <c r="I510" s="28"/>
    </row>
    <row r="511">
      <c r="I511" s="28"/>
    </row>
    <row r="512">
      <c r="I512" s="28"/>
    </row>
    <row r="513">
      <c r="I513" s="28"/>
    </row>
    <row r="514">
      <c r="I514" s="28"/>
    </row>
    <row r="515">
      <c r="I515" s="28"/>
    </row>
    <row r="516">
      <c r="I516" s="28"/>
    </row>
    <row r="517">
      <c r="I517" s="28"/>
    </row>
    <row r="518">
      <c r="I518" s="28"/>
    </row>
    <row r="519">
      <c r="I519" s="28"/>
    </row>
    <row r="520">
      <c r="I520" s="28"/>
    </row>
    <row r="521">
      <c r="I521" s="28"/>
    </row>
    <row r="522">
      <c r="I522" s="28"/>
    </row>
    <row r="523">
      <c r="I523" s="28"/>
    </row>
    <row r="524">
      <c r="I524" s="28"/>
    </row>
    <row r="525">
      <c r="I525" s="28"/>
    </row>
    <row r="526">
      <c r="I526" s="28"/>
    </row>
    <row r="527">
      <c r="I527" s="28"/>
    </row>
    <row r="528">
      <c r="I528" s="28"/>
    </row>
    <row r="529">
      <c r="I529" s="28"/>
    </row>
    <row r="530">
      <c r="I530" s="28"/>
    </row>
    <row r="531">
      <c r="I531" s="28"/>
    </row>
    <row r="532">
      <c r="I532" s="28"/>
    </row>
    <row r="533">
      <c r="I533" s="28"/>
    </row>
    <row r="534">
      <c r="I534" s="28"/>
    </row>
    <row r="535">
      <c r="I535" s="28"/>
    </row>
    <row r="536">
      <c r="I536" s="28"/>
    </row>
    <row r="537">
      <c r="I537" s="28"/>
    </row>
    <row r="538">
      <c r="I538" s="28"/>
    </row>
    <row r="539">
      <c r="I539" s="28"/>
    </row>
    <row r="540">
      <c r="I540" s="28"/>
    </row>
    <row r="541">
      <c r="I541" s="28"/>
    </row>
    <row r="542">
      <c r="I542" s="28"/>
    </row>
    <row r="543">
      <c r="I543" s="28"/>
    </row>
    <row r="544">
      <c r="I544" s="28"/>
    </row>
    <row r="545">
      <c r="I545" s="28"/>
    </row>
    <row r="546">
      <c r="I546" s="28"/>
    </row>
    <row r="547">
      <c r="I547" s="28"/>
    </row>
    <row r="548">
      <c r="I548" s="28"/>
    </row>
    <row r="549">
      <c r="I549" s="28"/>
    </row>
    <row r="550">
      <c r="I550" s="28"/>
    </row>
    <row r="551">
      <c r="I551" s="28"/>
    </row>
    <row r="552">
      <c r="I552" s="28"/>
    </row>
    <row r="553">
      <c r="I553" s="28"/>
    </row>
    <row r="554">
      <c r="I554" s="28"/>
    </row>
    <row r="555">
      <c r="I555" s="28"/>
    </row>
    <row r="556">
      <c r="I556" s="28"/>
    </row>
    <row r="557">
      <c r="I557" s="28"/>
    </row>
    <row r="558">
      <c r="I558" s="28"/>
    </row>
    <row r="559">
      <c r="I559" s="28"/>
    </row>
    <row r="560">
      <c r="I560" s="28"/>
    </row>
    <row r="561">
      <c r="I561" s="28"/>
    </row>
    <row r="562">
      <c r="I562" s="28"/>
    </row>
    <row r="563">
      <c r="I563" s="28"/>
    </row>
    <row r="564">
      <c r="I564" s="28"/>
    </row>
    <row r="565">
      <c r="I565" s="28"/>
    </row>
    <row r="566">
      <c r="I566" s="28"/>
    </row>
    <row r="567">
      <c r="I567" s="28"/>
    </row>
    <row r="568">
      <c r="I568" s="28"/>
    </row>
    <row r="569">
      <c r="I569" s="28"/>
    </row>
    <row r="570">
      <c r="I570" s="28"/>
    </row>
    <row r="571">
      <c r="I571" s="28"/>
    </row>
    <row r="572">
      <c r="I572" s="28"/>
    </row>
    <row r="573">
      <c r="I573" s="28"/>
    </row>
    <row r="574">
      <c r="I574" s="28"/>
    </row>
    <row r="575">
      <c r="I575" s="28"/>
    </row>
    <row r="576">
      <c r="I576" s="28"/>
    </row>
    <row r="577">
      <c r="I577" s="28"/>
    </row>
    <row r="578">
      <c r="I578" s="28"/>
    </row>
    <row r="579">
      <c r="I579" s="28"/>
    </row>
    <row r="580">
      <c r="I580" s="28"/>
    </row>
    <row r="581">
      <c r="I581" s="28"/>
    </row>
    <row r="582">
      <c r="I582" s="28"/>
    </row>
    <row r="583">
      <c r="I583" s="28"/>
    </row>
    <row r="584">
      <c r="I584" s="28"/>
    </row>
    <row r="585">
      <c r="I585" s="28"/>
    </row>
    <row r="586">
      <c r="I586" s="28"/>
    </row>
    <row r="587">
      <c r="I587" s="28"/>
    </row>
    <row r="588">
      <c r="I588" s="28"/>
    </row>
    <row r="589">
      <c r="I589" s="28"/>
    </row>
    <row r="590">
      <c r="I590" s="28"/>
    </row>
    <row r="591">
      <c r="I591" s="28"/>
    </row>
    <row r="592">
      <c r="I592" s="28"/>
    </row>
    <row r="593">
      <c r="I593" s="28"/>
    </row>
    <row r="594">
      <c r="I594" s="28"/>
    </row>
    <row r="595">
      <c r="I595" s="28"/>
    </row>
    <row r="596">
      <c r="I596" s="28"/>
    </row>
    <row r="597">
      <c r="I597" s="28"/>
    </row>
    <row r="598">
      <c r="I598" s="28"/>
    </row>
    <row r="599">
      <c r="I599" s="28"/>
    </row>
    <row r="600">
      <c r="I600" s="28"/>
    </row>
    <row r="601">
      <c r="I601" s="28"/>
    </row>
    <row r="602">
      <c r="I602" s="28"/>
    </row>
    <row r="603">
      <c r="I603" s="28"/>
    </row>
    <row r="604">
      <c r="I604" s="28"/>
    </row>
    <row r="605">
      <c r="I605" s="28"/>
    </row>
    <row r="606">
      <c r="I606" s="28"/>
    </row>
    <row r="607">
      <c r="I607" s="28"/>
    </row>
    <row r="608">
      <c r="I608" s="28"/>
    </row>
    <row r="609">
      <c r="I609" s="28"/>
    </row>
    <row r="610">
      <c r="I610" s="28"/>
    </row>
    <row r="611">
      <c r="I611" s="28"/>
    </row>
    <row r="612">
      <c r="I612" s="28"/>
    </row>
    <row r="613">
      <c r="I613" s="28"/>
    </row>
    <row r="614">
      <c r="I614" s="28"/>
    </row>
    <row r="615">
      <c r="I615" s="28"/>
    </row>
    <row r="616">
      <c r="I616" s="28"/>
    </row>
    <row r="617">
      <c r="I617" s="28"/>
    </row>
    <row r="618">
      <c r="I618" s="28"/>
    </row>
    <row r="619">
      <c r="I619" s="28"/>
    </row>
    <row r="620">
      <c r="I620" s="28"/>
    </row>
    <row r="621">
      <c r="I621" s="28"/>
    </row>
    <row r="622">
      <c r="I622" s="28"/>
    </row>
    <row r="623">
      <c r="I623" s="28"/>
    </row>
    <row r="624">
      <c r="I624" s="28"/>
    </row>
    <row r="625">
      <c r="I625" s="28"/>
    </row>
    <row r="626">
      <c r="I626" s="28"/>
    </row>
    <row r="627">
      <c r="I627" s="28"/>
    </row>
    <row r="628">
      <c r="I628" s="28"/>
    </row>
    <row r="629">
      <c r="I629" s="28"/>
    </row>
    <row r="630">
      <c r="I630" s="28"/>
    </row>
    <row r="631">
      <c r="I631" s="28"/>
    </row>
    <row r="632">
      <c r="I632" s="28"/>
    </row>
    <row r="633">
      <c r="I633" s="28"/>
    </row>
    <row r="634">
      <c r="I634" s="28"/>
    </row>
    <row r="635">
      <c r="I635" s="28"/>
    </row>
    <row r="636">
      <c r="I636" s="28"/>
    </row>
    <row r="637">
      <c r="I637" s="28"/>
    </row>
    <row r="638">
      <c r="I638" s="28"/>
    </row>
    <row r="639">
      <c r="I639" s="28"/>
    </row>
    <row r="640">
      <c r="I640" s="28"/>
    </row>
    <row r="641">
      <c r="I641" s="28"/>
    </row>
    <row r="642">
      <c r="I642" s="28"/>
    </row>
    <row r="643">
      <c r="I643" s="28"/>
    </row>
    <row r="644">
      <c r="I644" s="28"/>
    </row>
    <row r="645">
      <c r="I645" s="28"/>
    </row>
    <row r="646">
      <c r="I646" s="28"/>
    </row>
    <row r="647">
      <c r="I647" s="28"/>
    </row>
    <row r="648">
      <c r="I648" s="28"/>
    </row>
    <row r="649">
      <c r="I649" s="28"/>
    </row>
    <row r="650">
      <c r="I650" s="28"/>
    </row>
    <row r="651">
      <c r="I651" s="28"/>
    </row>
    <row r="652">
      <c r="I652" s="28"/>
    </row>
    <row r="653">
      <c r="I653" s="28"/>
    </row>
    <row r="654">
      <c r="I654" s="28"/>
    </row>
    <row r="655">
      <c r="I655" s="28"/>
    </row>
    <row r="656">
      <c r="I656" s="28"/>
    </row>
    <row r="657">
      <c r="I657" s="28"/>
    </row>
    <row r="658">
      <c r="I658" s="28"/>
    </row>
    <row r="659">
      <c r="I659" s="28"/>
    </row>
    <row r="660">
      <c r="I660" s="28"/>
    </row>
    <row r="661">
      <c r="I661" s="28"/>
    </row>
    <row r="662">
      <c r="I662" s="28"/>
    </row>
    <row r="663">
      <c r="I663" s="28"/>
    </row>
    <row r="664">
      <c r="I664" s="28"/>
    </row>
    <row r="665">
      <c r="I665" s="28"/>
    </row>
    <row r="666">
      <c r="I666" s="28"/>
    </row>
    <row r="667">
      <c r="I667" s="28"/>
    </row>
    <row r="668">
      <c r="I668" s="28"/>
    </row>
    <row r="669">
      <c r="I669" s="28"/>
    </row>
    <row r="670">
      <c r="I670" s="28"/>
    </row>
    <row r="671">
      <c r="I671" s="28"/>
    </row>
    <row r="672">
      <c r="I672" s="28"/>
    </row>
    <row r="673">
      <c r="I673" s="28"/>
    </row>
    <row r="674">
      <c r="I674" s="28"/>
    </row>
    <row r="675">
      <c r="I675" s="28"/>
    </row>
    <row r="676">
      <c r="I676" s="28"/>
    </row>
    <row r="677">
      <c r="I677" s="28"/>
    </row>
    <row r="678">
      <c r="I678" s="28"/>
    </row>
    <row r="679">
      <c r="I679" s="28"/>
    </row>
    <row r="680">
      <c r="I680" s="28"/>
    </row>
    <row r="681">
      <c r="I681" s="28"/>
    </row>
    <row r="682">
      <c r="I682" s="28"/>
    </row>
    <row r="683">
      <c r="I683" s="28"/>
    </row>
    <row r="684">
      <c r="I684" s="28"/>
    </row>
    <row r="685">
      <c r="I685" s="28"/>
    </row>
    <row r="686">
      <c r="I686" s="28"/>
    </row>
    <row r="687">
      <c r="I687" s="28"/>
    </row>
    <row r="688">
      <c r="I688" s="28"/>
    </row>
    <row r="689">
      <c r="I689" s="28"/>
    </row>
    <row r="690">
      <c r="I690" s="28"/>
    </row>
    <row r="691">
      <c r="I691" s="28"/>
    </row>
    <row r="692">
      <c r="I692" s="28"/>
    </row>
    <row r="693">
      <c r="I693" s="28"/>
    </row>
    <row r="694">
      <c r="I694" s="28"/>
    </row>
    <row r="695">
      <c r="I695" s="28"/>
    </row>
    <row r="696">
      <c r="I696" s="28"/>
    </row>
    <row r="697">
      <c r="I697" s="28"/>
    </row>
    <row r="698">
      <c r="I698" s="28"/>
    </row>
    <row r="699">
      <c r="I699" s="28"/>
    </row>
    <row r="700">
      <c r="I700" s="28"/>
    </row>
    <row r="701">
      <c r="I701" s="28"/>
    </row>
    <row r="702">
      <c r="I702" s="28"/>
    </row>
    <row r="703">
      <c r="I703" s="28"/>
    </row>
    <row r="704">
      <c r="I704" s="28"/>
    </row>
    <row r="705">
      <c r="I705" s="28"/>
    </row>
    <row r="706">
      <c r="I706" s="28"/>
    </row>
    <row r="707">
      <c r="I707" s="28"/>
    </row>
    <row r="708">
      <c r="I708" s="28"/>
    </row>
    <row r="709">
      <c r="I709" s="28"/>
    </row>
    <row r="710">
      <c r="I710" s="28"/>
    </row>
    <row r="711">
      <c r="I711" s="28"/>
    </row>
    <row r="712">
      <c r="I712" s="28"/>
    </row>
    <row r="713">
      <c r="I713" s="28"/>
    </row>
    <row r="714">
      <c r="I714" s="28"/>
    </row>
    <row r="715">
      <c r="I715" s="28"/>
    </row>
    <row r="716">
      <c r="I716" s="28"/>
    </row>
    <row r="717">
      <c r="I717" s="28"/>
    </row>
    <row r="718">
      <c r="I718" s="28"/>
    </row>
    <row r="719">
      <c r="I719" s="28"/>
    </row>
    <row r="720">
      <c r="I720" s="28"/>
    </row>
    <row r="721">
      <c r="I721" s="28"/>
    </row>
    <row r="722">
      <c r="I722" s="28"/>
    </row>
    <row r="723">
      <c r="I723" s="28"/>
    </row>
    <row r="724">
      <c r="I724" s="28"/>
    </row>
    <row r="725">
      <c r="I725" s="28"/>
    </row>
    <row r="726">
      <c r="I726" s="28"/>
    </row>
    <row r="727">
      <c r="I727" s="28"/>
    </row>
    <row r="728">
      <c r="I728" s="28"/>
    </row>
    <row r="729">
      <c r="I729" s="28"/>
    </row>
    <row r="730">
      <c r="I730" s="28"/>
    </row>
    <row r="731">
      <c r="I731" s="28"/>
    </row>
    <row r="732">
      <c r="I732" s="28"/>
    </row>
    <row r="733">
      <c r="I733" s="28"/>
    </row>
    <row r="734">
      <c r="I734" s="28"/>
    </row>
    <row r="735">
      <c r="I735" s="28"/>
    </row>
    <row r="736">
      <c r="I736" s="28"/>
    </row>
    <row r="737">
      <c r="I737" s="28"/>
    </row>
    <row r="738">
      <c r="I738" s="28"/>
    </row>
    <row r="739">
      <c r="I739" s="28"/>
    </row>
    <row r="740">
      <c r="I740" s="28"/>
    </row>
    <row r="741">
      <c r="I741" s="28"/>
    </row>
    <row r="742">
      <c r="I742" s="28"/>
    </row>
    <row r="743">
      <c r="I743" s="28"/>
    </row>
    <row r="744">
      <c r="I744" s="28"/>
    </row>
    <row r="745">
      <c r="I745" s="28"/>
    </row>
    <row r="746">
      <c r="I746" s="28"/>
    </row>
    <row r="747">
      <c r="I747" s="28"/>
    </row>
    <row r="748">
      <c r="I748" s="28"/>
    </row>
    <row r="749">
      <c r="I749" s="28"/>
    </row>
    <row r="750">
      <c r="I750" s="28"/>
    </row>
    <row r="751">
      <c r="I751" s="28"/>
    </row>
    <row r="752">
      <c r="I752" s="28"/>
    </row>
    <row r="753">
      <c r="I753" s="28"/>
    </row>
    <row r="754">
      <c r="I754" s="28"/>
    </row>
    <row r="755">
      <c r="I755" s="28"/>
    </row>
    <row r="756">
      <c r="I756" s="28"/>
    </row>
    <row r="757">
      <c r="I757" s="28"/>
    </row>
    <row r="758">
      <c r="I758" s="28"/>
    </row>
    <row r="759">
      <c r="I759" s="28"/>
    </row>
    <row r="760">
      <c r="I760" s="28"/>
    </row>
    <row r="761">
      <c r="I761" s="28"/>
    </row>
    <row r="762">
      <c r="I762" s="28"/>
    </row>
    <row r="763">
      <c r="I763" s="28"/>
    </row>
    <row r="764">
      <c r="I764" s="28"/>
    </row>
    <row r="765">
      <c r="I765" s="28"/>
    </row>
    <row r="766">
      <c r="I766" s="28"/>
    </row>
    <row r="767">
      <c r="I767" s="28"/>
    </row>
    <row r="768">
      <c r="I768" s="28"/>
    </row>
    <row r="769">
      <c r="I769" s="28"/>
    </row>
    <row r="770">
      <c r="I770" s="28"/>
    </row>
    <row r="771">
      <c r="I771" s="28"/>
    </row>
    <row r="772">
      <c r="I772" s="28"/>
    </row>
    <row r="773">
      <c r="I773" s="28"/>
    </row>
    <row r="774">
      <c r="I774" s="28"/>
    </row>
    <row r="775">
      <c r="I775" s="28"/>
    </row>
    <row r="776">
      <c r="I776" s="28"/>
    </row>
    <row r="777">
      <c r="I777" s="28"/>
    </row>
    <row r="778">
      <c r="I778" s="28"/>
    </row>
    <row r="779">
      <c r="I779" s="28"/>
    </row>
    <row r="780">
      <c r="I780" s="28"/>
    </row>
    <row r="781">
      <c r="I781" s="28"/>
    </row>
    <row r="782">
      <c r="I782" s="28"/>
    </row>
    <row r="783">
      <c r="I783" s="28"/>
    </row>
    <row r="784">
      <c r="I784" s="28"/>
    </row>
    <row r="785">
      <c r="I785" s="28"/>
    </row>
    <row r="786">
      <c r="I786" s="28"/>
    </row>
    <row r="787">
      <c r="I787" s="28"/>
    </row>
    <row r="788">
      <c r="I788" s="28"/>
    </row>
    <row r="789">
      <c r="I789" s="28"/>
    </row>
    <row r="790">
      <c r="I790" s="28"/>
    </row>
    <row r="791">
      <c r="I791" s="28"/>
    </row>
    <row r="792">
      <c r="I792" s="28"/>
    </row>
    <row r="793">
      <c r="I793" s="28"/>
    </row>
    <row r="794">
      <c r="I794" s="28"/>
    </row>
    <row r="795">
      <c r="I795" s="28"/>
    </row>
    <row r="796">
      <c r="I796" s="28"/>
    </row>
    <row r="797">
      <c r="I797" s="28"/>
    </row>
    <row r="798">
      <c r="I798" s="28"/>
    </row>
    <row r="799">
      <c r="I799" s="28"/>
    </row>
    <row r="800">
      <c r="I800" s="28"/>
    </row>
    <row r="801">
      <c r="I801" s="28"/>
    </row>
    <row r="802">
      <c r="I802" s="28"/>
    </row>
    <row r="803">
      <c r="I803" s="28"/>
    </row>
    <row r="804">
      <c r="I804" s="28"/>
    </row>
    <row r="805">
      <c r="I805" s="28"/>
    </row>
    <row r="806">
      <c r="I806" s="28"/>
    </row>
    <row r="807">
      <c r="I807" s="28"/>
    </row>
    <row r="808">
      <c r="I808" s="28"/>
    </row>
    <row r="809">
      <c r="I809" s="28"/>
    </row>
    <row r="810">
      <c r="I810" s="28"/>
    </row>
    <row r="811">
      <c r="I811" s="28"/>
    </row>
    <row r="812">
      <c r="I812" s="28"/>
    </row>
    <row r="813">
      <c r="I813" s="28"/>
    </row>
    <row r="814">
      <c r="I814" s="28"/>
    </row>
    <row r="815">
      <c r="I815" s="28"/>
    </row>
    <row r="816">
      <c r="I816" s="28"/>
    </row>
    <row r="817">
      <c r="I817" s="28"/>
    </row>
    <row r="818">
      <c r="I818" s="28"/>
    </row>
    <row r="819">
      <c r="I819" s="28"/>
    </row>
    <row r="820">
      <c r="I820" s="28"/>
    </row>
    <row r="821">
      <c r="I821" s="28"/>
    </row>
    <row r="822">
      <c r="I822" s="28"/>
    </row>
    <row r="823">
      <c r="I823" s="28"/>
    </row>
    <row r="824">
      <c r="I824" s="28"/>
    </row>
    <row r="825">
      <c r="I825" s="28"/>
    </row>
    <row r="826">
      <c r="I826" s="28"/>
    </row>
    <row r="827">
      <c r="I827" s="28"/>
    </row>
    <row r="828">
      <c r="I828" s="28"/>
    </row>
    <row r="829">
      <c r="I829" s="28"/>
    </row>
    <row r="830">
      <c r="I830" s="28"/>
    </row>
    <row r="831">
      <c r="I831" s="28"/>
    </row>
    <row r="832">
      <c r="I832" s="28"/>
    </row>
    <row r="833">
      <c r="I833" s="28"/>
    </row>
    <row r="834">
      <c r="I834" s="28"/>
    </row>
    <row r="835">
      <c r="I835" s="28"/>
    </row>
    <row r="836">
      <c r="I836" s="28"/>
    </row>
    <row r="837">
      <c r="I837" s="28"/>
    </row>
    <row r="838">
      <c r="I838" s="28"/>
    </row>
    <row r="839">
      <c r="I839" s="28"/>
    </row>
    <row r="840">
      <c r="I840" s="28"/>
    </row>
    <row r="841">
      <c r="I841" s="28"/>
    </row>
    <row r="842">
      <c r="I842" s="28"/>
    </row>
    <row r="843">
      <c r="I843" s="28"/>
    </row>
    <row r="844">
      <c r="I844" s="28"/>
    </row>
    <row r="845">
      <c r="I845" s="28"/>
    </row>
    <row r="846">
      <c r="I846" s="28"/>
    </row>
    <row r="847">
      <c r="I847" s="28"/>
    </row>
    <row r="848">
      <c r="I848" s="28"/>
    </row>
    <row r="849">
      <c r="I849" s="28"/>
    </row>
    <row r="850">
      <c r="I850" s="28"/>
    </row>
    <row r="851">
      <c r="I851" s="28"/>
    </row>
    <row r="852">
      <c r="I852" s="28"/>
    </row>
    <row r="853">
      <c r="I853" s="28"/>
    </row>
    <row r="854">
      <c r="I854" s="28"/>
    </row>
    <row r="855">
      <c r="I855" s="28"/>
    </row>
    <row r="856">
      <c r="I856" s="28"/>
    </row>
    <row r="857">
      <c r="I857" s="28"/>
    </row>
    <row r="858">
      <c r="I858" s="28"/>
    </row>
    <row r="859">
      <c r="I859" s="28"/>
    </row>
    <row r="860">
      <c r="I860" s="28"/>
    </row>
    <row r="861">
      <c r="I861" s="28"/>
    </row>
    <row r="862">
      <c r="I862" s="28"/>
    </row>
    <row r="863">
      <c r="I863" s="28"/>
    </row>
    <row r="864">
      <c r="I864" s="28"/>
    </row>
    <row r="865">
      <c r="I865" s="28"/>
    </row>
    <row r="866">
      <c r="I866" s="28"/>
    </row>
    <row r="867">
      <c r="I867" s="28"/>
    </row>
    <row r="868">
      <c r="I868" s="28"/>
    </row>
    <row r="869">
      <c r="I869" s="28"/>
    </row>
    <row r="870">
      <c r="I870" s="28"/>
    </row>
    <row r="871">
      <c r="I871" s="28"/>
    </row>
    <row r="872">
      <c r="I872" s="28"/>
    </row>
    <row r="873">
      <c r="I873" s="28"/>
    </row>
    <row r="874">
      <c r="I874" s="28"/>
    </row>
    <row r="875">
      <c r="I875" s="28"/>
    </row>
    <row r="876">
      <c r="I876" s="28"/>
    </row>
    <row r="877">
      <c r="I877" s="28"/>
    </row>
    <row r="878">
      <c r="I878" s="28"/>
    </row>
    <row r="879">
      <c r="I879" s="28"/>
    </row>
    <row r="880">
      <c r="I880" s="28"/>
    </row>
    <row r="881">
      <c r="I881" s="28"/>
    </row>
    <row r="882">
      <c r="I882" s="28"/>
    </row>
    <row r="883">
      <c r="I883" s="28"/>
    </row>
    <row r="884">
      <c r="I884" s="28"/>
    </row>
    <row r="885">
      <c r="I885" s="28"/>
    </row>
    <row r="886">
      <c r="I886" s="28"/>
    </row>
    <row r="887">
      <c r="I887" s="28"/>
    </row>
    <row r="888">
      <c r="I888" s="28"/>
    </row>
    <row r="889">
      <c r="I889" s="28"/>
    </row>
    <row r="890">
      <c r="I890" s="28"/>
    </row>
    <row r="891">
      <c r="I891" s="28"/>
    </row>
    <row r="892">
      <c r="I892" s="28"/>
    </row>
    <row r="893">
      <c r="I893" s="28"/>
    </row>
    <row r="894">
      <c r="I894" s="28"/>
    </row>
    <row r="895">
      <c r="I895" s="28"/>
    </row>
    <row r="896">
      <c r="I896" s="28"/>
    </row>
    <row r="897">
      <c r="I897" s="28"/>
    </row>
    <row r="898">
      <c r="I898" s="28"/>
    </row>
    <row r="899">
      <c r="I899" s="28"/>
    </row>
    <row r="900">
      <c r="I900" s="28"/>
    </row>
    <row r="901">
      <c r="I901" s="28"/>
    </row>
    <row r="902">
      <c r="I902" s="28"/>
    </row>
    <row r="903">
      <c r="I903" s="28"/>
    </row>
    <row r="904">
      <c r="I904" s="28"/>
    </row>
    <row r="905">
      <c r="I905" s="28"/>
    </row>
    <row r="906">
      <c r="I906" s="28"/>
    </row>
    <row r="907">
      <c r="I907" s="28"/>
    </row>
    <row r="908">
      <c r="I908" s="28"/>
    </row>
    <row r="909">
      <c r="I909" s="28"/>
    </row>
    <row r="910">
      <c r="I910" s="28"/>
    </row>
    <row r="911">
      <c r="I911" s="28"/>
    </row>
    <row r="912">
      <c r="I912" s="28"/>
    </row>
    <row r="913">
      <c r="I913" s="28"/>
    </row>
    <row r="914">
      <c r="I914" s="28"/>
    </row>
    <row r="915">
      <c r="I915" s="28"/>
    </row>
    <row r="916">
      <c r="I916" s="28"/>
    </row>
    <row r="917">
      <c r="I917" s="28"/>
    </row>
    <row r="918">
      <c r="I918" s="28"/>
    </row>
    <row r="919">
      <c r="I919" s="28"/>
    </row>
    <row r="920">
      <c r="I920" s="28"/>
    </row>
    <row r="921">
      <c r="I921" s="28"/>
    </row>
    <row r="922">
      <c r="I922" s="28"/>
    </row>
    <row r="923">
      <c r="I923" s="28"/>
    </row>
    <row r="924">
      <c r="I924" s="28"/>
    </row>
    <row r="925">
      <c r="I925" s="28"/>
    </row>
    <row r="926">
      <c r="I926" s="28"/>
    </row>
    <row r="927">
      <c r="I927" s="28"/>
    </row>
    <row r="928">
      <c r="I928" s="28"/>
    </row>
    <row r="929">
      <c r="I929" s="28"/>
    </row>
    <row r="930">
      <c r="I930" s="28"/>
    </row>
    <row r="931">
      <c r="I931" s="28"/>
    </row>
    <row r="932">
      <c r="I932" s="28"/>
    </row>
    <row r="933">
      <c r="I933" s="28"/>
    </row>
    <row r="934">
      <c r="I934" s="28"/>
    </row>
    <row r="935">
      <c r="I935" s="28"/>
    </row>
    <row r="936">
      <c r="I936" s="28"/>
    </row>
    <row r="937">
      <c r="I937" s="28"/>
    </row>
    <row r="938">
      <c r="I938" s="28"/>
    </row>
    <row r="939">
      <c r="I939" s="28"/>
    </row>
    <row r="940">
      <c r="I940" s="28"/>
    </row>
    <row r="941">
      <c r="I941" s="28"/>
    </row>
    <row r="942">
      <c r="I942" s="28"/>
    </row>
    <row r="943">
      <c r="I943" s="28"/>
    </row>
    <row r="944">
      <c r="I944" s="28"/>
    </row>
    <row r="945">
      <c r="I945" s="28"/>
    </row>
    <row r="946">
      <c r="I946" s="28"/>
    </row>
    <row r="947">
      <c r="I947" s="28"/>
    </row>
    <row r="948">
      <c r="I948" s="28"/>
    </row>
    <row r="949">
      <c r="I949" s="28"/>
    </row>
    <row r="950">
      <c r="I950" s="28"/>
    </row>
    <row r="951">
      <c r="I951" s="28"/>
    </row>
    <row r="952">
      <c r="I952" s="28"/>
    </row>
    <row r="953">
      <c r="I953" s="28"/>
    </row>
    <row r="954">
      <c r="I954" s="28"/>
    </row>
    <row r="955">
      <c r="I955" s="28"/>
    </row>
    <row r="956">
      <c r="I956" s="28"/>
    </row>
    <row r="957">
      <c r="I957" s="28"/>
    </row>
    <row r="958">
      <c r="I958" s="28"/>
    </row>
    <row r="959">
      <c r="I959" s="28"/>
    </row>
    <row r="960">
      <c r="I960" s="28"/>
    </row>
    <row r="961">
      <c r="I961" s="28"/>
    </row>
    <row r="962">
      <c r="I962" s="28"/>
    </row>
    <row r="963">
      <c r="I963" s="28"/>
    </row>
    <row r="964">
      <c r="I964" s="28"/>
    </row>
    <row r="965">
      <c r="I965" s="28"/>
    </row>
    <row r="966">
      <c r="I966" s="28"/>
    </row>
    <row r="967">
      <c r="I967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65.0"/>
    <col customWidth="1" min="5" max="5" width="15.13"/>
    <col customWidth="1" min="6" max="6" width="28.0"/>
    <col customWidth="1" min="7" max="7" width="20.13"/>
    <col customWidth="1" min="8" max="8" width="26.75"/>
    <col customWidth="1" min="9" max="9" width="15.5"/>
    <col customWidth="1" min="11" max="11" width="34.38"/>
    <col customWidth="1" hidden="1" min="14" max="14" width="28.0"/>
  </cols>
  <sheetData>
    <row r="1">
      <c r="A1" s="29" t="s">
        <v>172</v>
      </c>
      <c r="B1" s="30" t="s">
        <v>146</v>
      </c>
      <c r="C1" s="31" t="s">
        <v>173</v>
      </c>
      <c r="D1" s="32" t="s">
        <v>174</v>
      </c>
      <c r="E1" s="33" t="s">
        <v>175</v>
      </c>
      <c r="F1" s="34" t="s">
        <v>176</v>
      </c>
      <c r="G1" s="35" t="s">
        <v>151</v>
      </c>
      <c r="H1" s="35" t="s">
        <v>177</v>
      </c>
      <c r="I1" s="35" t="s">
        <v>152</v>
      </c>
      <c r="J1" s="30" t="s">
        <v>178</v>
      </c>
      <c r="K1" s="36" t="s">
        <v>179</v>
      </c>
    </row>
    <row r="2">
      <c r="A2" s="37">
        <f>IFERROR(__xludf.DUMMYFUNCTION("VSTACK(filter(S!A2:A2002,S!A2:A2002&lt;&gt;""""),filter(E!A2:A2002,E!A2:A2002&lt;&gt;""""))"),45868.785046296296)</f>
        <v>45868.78505</v>
      </c>
      <c r="B2" s="37" t="str">
        <f>IFERROR(__xludf.DUMMYFUNCTION("VSTACK(filter(S!G2:G2002,S!G2:G2002&lt;&gt;""""),filter(E!B2:B2002,E!B2:B2002&lt;&gt;""""))"),"MCC015UC0045")</f>
        <v>MCC015UC0045</v>
      </c>
      <c r="C2" s="38" t="str">
        <f>IFERROR(__xludf.DUMMYFUNCTION("ARRAYFORMULA(
  REGEXREPLACE(
    VSTACK(
      FILTER(S!C2:C2002,S!C2:C2002&lt;&gt;""""),
      FILTER(E!C2:C2002,E!C2:C2002&lt;&gt;"""")
    ),
    ""^\S+\s+"",
    """"
  )
)"),"FITA ADESIVA 69MM X 100M")</f>
        <v>FITA ADESIVA 69MM X 100M</v>
      </c>
      <c r="D2" s="39">
        <f>IFERROR(__xludf.DUMMYFUNCTION("VSTACK(filter(S!D2:D2002,S!D2:D2002&lt;&gt;""""),filter(E!D2:D2002,E!D2:D2002&lt;&gt;""""))"),10.0)</f>
        <v>10</v>
      </c>
      <c r="E2" s="40" t="str">
        <f>IFERROR(__xludf.DUMMYFUNCTION("VSTACK(filter(S!H2:H2002,S!H2:H2002&lt;&gt;""""),filter(E!F2:F2002,E!F2:F2002&lt;&gt;""""))"),"Saída")</f>
        <v>Saída</v>
      </c>
      <c r="F2" s="40" t="str">
        <f>IFERROR(__xludf.DUMMYFUNCTION("VSTACK(filter(S!E2:E2002,S!E2:E2002&lt;&gt;""""))"),"PMM:livro-voador:")</f>
        <v>PMM:livro-voador:</v>
      </c>
      <c r="G2" s="39">
        <f t="array" ref="G2">XLOOKUP(B2,'Página9'!A:A,'Página9'!F:F,"")</f>
        <v>287</v>
      </c>
      <c r="H2" s="39">
        <f t="array" ref="H2">XLOOKUP(B2,'Página9'!A:A,'Página9'!C:C,"")</f>
        <v>20</v>
      </c>
      <c r="I2" s="35" t="str">
        <f t="array" ref="I2">XLOOKUP(B2,'Página9'!A:A,'Página9'!G:G,"")</f>
        <v>OK</v>
      </c>
      <c r="J2" s="25" t="str">
        <f t="shared" ref="J2:J947" si="1">IF(F2=$N$2,"RECEBIMENTO",IF(F2=$N$3,"CIQ",IF(F2=$N$4,"PMM",IF(F2=$N$5,"ESTOQUE",IF(F2=$N$6,"EXPEDIÇÃO","")))))</f>
        <v>PMM</v>
      </c>
      <c r="K2" s="40" t="str">
        <f>IFERROR(__xludf.DUMMYFUNCTION("VSTACK(filter(S!I2:I2002,S!I2:I2002&lt;&gt;""""))"),"Jose Edervanio Lima Mateus")</f>
        <v>Jose Edervanio Lima Mateus</v>
      </c>
      <c r="N2" s="41" t="s">
        <v>180</v>
      </c>
    </row>
    <row r="3">
      <c r="A3" s="37">
        <f>IFERROR(__xludf.DUMMYFUNCTION("""COMPUTED_VALUE"""),45868.78525462963)</f>
        <v>45868.78525</v>
      </c>
      <c r="B3" s="42" t="str">
        <f>IFERROR(__xludf.DUMMYFUNCTION("""COMPUTED_VALUE"""),"MCC015UC0045")</f>
        <v>MCC015UC0045</v>
      </c>
      <c r="C3" s="25" t="str">
        <f>IFERROR(__xludf.DUMMYFUNCTION("""COMPUTED_VALUE"""),"FITA ADESIVA 69MM X 100M")</f>
        <v>FITA ADESIVA 69MM X 100M</v>
      </c>
      <c r="D3" s="39">
        <f>IFERROR(__xludf.DUMMYFUNCTION("""COMPUTED_VALUE"""),4.0)</f>
        <v>4</v>
      </c>
      <c r="E3" s="33" t="str">
        <f>IFERROR(__xludf.DUMMYFUNCTION("""COMPUTED_VALUE"""),"Saída")</f>
        <v>Saída</v>
      </c>
      <c r="F3" s="33" t="str">
        <f>IFERROR(__xludf.DUMMYFUNCTION("""COMPUTED_VALUE"""),"Recebimento:truck:")</f>
        <v>Recebimento:truck:</v>
      </c>
      <c r="G3" s="39">
        <f t="array" ref="G3">XLOOKUP(B3,'Página9'!A:A,'Página9'!F:F,"")</f>
        <v>287</v>
      </c>
      <c r="H3" s="39">
        <f t="array" ref="H3">XLOOKUP(B3,'Página9'!A:A,'Página9'!C:C,"")</f>
        <v>20</v>
      </c>
      <c r="I3" s="35" t="str">
        <f t="array" ref="I3">XLOOKUP(B3,'Página9'!A:A,'Página9'!G:G,"")</f>
        <v>OK</v>
      </c>
      <c r="J3" s="25" t="str">
        <f t="shared" si="1"/>
        <v>RECEBIMENTO</v>
      </c>
      <c r="K3" s="25" t="str">
        <f>IFERROR(__xludf.DUMMYFUNCTION("""COMPUTED_VALUE"""),"Diego Araujo Dias")</f>
        <v>Diego Araujo Dias</v>
      </c>
      <c r="N3" s="25" t="s">
        <v>181</v>
      </c>
    </row>
    <row r="4">
      <c r="A4" s="37">
        <f>IFERROR(__xludf.DUMMYFUNCTION("""COMPUTED_VALUE"""),45869.48354166667)</f>
        <v>45869.48354</v>
      </c>
      <c r="B4" s="42" t="str">
        <f>IFERROR(__xludf.DUMMYFUNCTION("""COMPUTED_VALUE"""),"MCC046UC0639")</f>
        <v>MCC046UC0639</v>
      </c>
      <c r="C4" s="31" t="str">
        <f>IFERROR(__xludf.DUMMYFUNCTION("""COMPUTED_VALUE"""),"PILHA ALCALINA ELGIN PEQ.AA ")</f>
        <v>PILHA ALCALINA ELGIN PEQ.AA </v>
      </c>
      <c r="D4" s="39">
        <f>IFERROR(__xludf.DUMMYFUNCTION("""COMPUTED_VALUE"""),1.0)</f>
        <v>1</v>
      </c>
      <c r="E4" s="34" t="str">
        <f>IFERROR(__xludf.DUMMYFUNCTION("""COMPUTED_VALUE"""),"Saída")</f>
        <v>Saída</v>
      </c>
      <c r="F4" s="34" t="str">
        <f>IFERROR(__xludf.DUMMYFUNCTION("""COMPUTED_VALUE"""),"Recebimento:truck:")</f>
        <v>Recebimento:truck:</v>
      </c>
      <c r="G4" s="39">
        <f t="array" ref="G4">XLOOKUP(B4,'Página9'!A:A,'Página9'!F:F,"")</f>
        <v>-5</v>
      </c>
      <c r="H4" s="39">
        <f t="array" ref="H4">XLOOKUP(B4,'Página9'!A:A,'Página9'!C:C,"")</f>
        <v>4</v>
      </c>
      <c r="I4" s="35" t="str">
        <f t="array" ref="I4">XLOOKUP(B4,'Página9'!A:A,'Página9'!G:G,"")</f>
        <v>REPOR ESTOQUE</v>
      </c>
      <c r="J4" s="25" t="str">
        <f t="shared" si="1"/>
        <v>RECEBIMENTO</v>
      </c>
      <c r="K4" s="25" t="str">
        <f>IFERROR(__xludf.DUMMYFUNCTION("""COMPUTED_VALUE"""),"Raimundo Reurison Belarmino Da Gama")</f>
        <v>Raimundo Reurison Belarmino Da Gama</v>
      </c>
      <c r="N4" s="25" t="s">
        <v>182</v>
      </c>
    </row>
    <row r="5">
      <c r="A5" s="37">
        <f>IFERROR(__xludf.DUMMYFUNCTION("""COMPUTED_VALUE"""),45869.699421296296)</f>
        <v>45869.69942</v>
      </c>
      <c r="B5" s="42" t="str">
        <f>IFERROR(__xludf.DUMMYFUNCTION("""COMPUTED_VALUE"""),"MCC046UC0638")</f>
        <v>MCC046UC0638</v>
      </c>
      <c r="C5" s="31" t="str">
        <f>IFERROR(__xludf.DUMMYFUNCTION("""COMPUTED_VALUE"""),"PILHA ALCALINA ELGIN PALITO AAA ")</f>
        <v>PILHA ALCALINA ELGIN PALITO AAA </v>
      </c>
      <c r="D5" s="39">
        <f>IFERROR(__xludf.DUMMYFUNCTION("""COMPUTED_VALUE"""),1.0)</f>
        <v>1</v>
      </c>
      <c r="E5" s="34" t="str">
        <f>IFERROR(__xludf.DUMMYFUNCTION("""COMPUTED_VALUE"""),"Saída")</f>
        <v>Saída</v>
      </c>
      <c r="F5" s="34" t="str">
        <f>IFERROR(__xludf.DUMMYFUNCTION("""COMPUTED_VALUE"""),"CIQ :qualidade:")</f>
        <v>CIQ :qualidade:</v>
      </c>
      <c r="G5" s="43">
        <f t="array" ref="G5">XLOOKUP(B5,'Página9'!A:A,'Página9'!F:F,"")</f>
        <v>32</v>
      </c>
      <c r="H5" s="43">
        <f t="array" ref="H5">XLOOKUP(B5,'Página9'!A:A,'Página9'!C:C,"")</f>
        <v>4</v>
      </c>
      <c r="I5" s="35" t="str">
        <f t="array" ref="I5">XLOOKUP(B5,'Página9'!A:A,'Página9'!G:G,"")</f>
        <v>OK</v>
      </c>
      <c r="J5" s="25" t="str">
        <f t="shared" si="1"/>
        <v>CIQ</v>
      </c>
      <c r="K5" s="25" t="str">
        <f>IFERROR(__xludf.DUMMYFUNCTION("""COMPUTED_VALUE"""),"Paulo Henrique Chagas De Oliveira")</f>
        <v>Paulo Henrique Chagas De Oliveira</v>
      </c>
      <c r="N5" s="25" t="s">
        <v>183</v>
      </c>
    </row>
    <row r="6">
      <c r="A6" s="37">
        <f>IFERROR(__xludf.DUMMYFUNCTION("""COMPUTED_VALUE"""),45873.0)</f>
        <v>45873</v>
      </c>
      <c r="B6" s="42" t="str">
        <f>IFERROR(__xludf.DUMMYFUNCTION("""COMPUTED_VALUE"""),"MCC046UC0082")</f>
        <v>MCC046UC0082</v>
      </c>
      <c r="C6" s="31" t="str">
        <f>IFERROR(__xludf.DUMMYFUNCTION("""COMPUTED_VALUE"""),"PAPEL SULFITE A4 75G 500 FOLHAS")</f>
        <v>PAPEL SULFITE A4 75G 500 FOLHAS</v>
      </c>
      <c r="D6" s="39">
        <f>IFERROR(__xludf.DUMMYFUNCTION("""COMPUTED_VALUE"""),2.0)</f>
        <v>2</v>
      </c>
      <c r="E6" s="34" t="str">
        <f>IFERROR(__xludf.DUMMYFUNCTION("""COMPUTED_VALUE"""),"Saída")</f>
        <v>Saída</v>
      </c>
      <c r="F6" s="34" t="str">
        <f>IFERROR(__xludf.DUMMYFUNCTION("""COMPUTED_VALUE"""),"PMM:livro-voador:")</f>
        <v>PMM:livro-voador:</v>
      </c>
      <c r="G6" s="39">
        <f t="array" ref="G6">XLOOKUP(B6,'Página9'!A:A,'Página9'!F:F,"")</f>
        <v>163</v>
      </c>
      <c r="H6" s="39">
        <f t="array" ref="H6">XLOOKUP(B6,'Página9'!A:A,'Página9'!C:C,"")</f>
        <v>10</v>
      </c>
      <c r="I6" s="35" t="str">
        <f t="array" ref="I6">XLOOKUP(B6,'Página9'!A:A,'Página9'!G:G,"")</f>
        <v>OK</v>
      </c>
      <c r="J6" s="25" t="str">
        <f t="shared" si="1"/>
        <v>PMM</v>
      </c>
      <c r="K6" s="25" t="str">
        <f>IFERROR(__xludf.DUMMYFUNCTION("""COMPUTED_VALUE"""),"Ana Virginia De Castro Costa")</f>
        <v>Ana Virginia De Castro Costa</v>
      </c>
      <c r="N6" s="25" t="s">
        <v>184</v>
      </c>
    </row>
    <row r="7">
      <c r="A7" s="37">
        <f>IFERROR(__xludf.DUMMYFUNCTION("""COMPUTED_VALUE"""),45873.0)</f>
        <v>45873</v>
      </c>
      <c r="B7" s="42" t="str">
        <f>IFERROR(__xludf.DUMMYFUNCTION("""COMPUTED_VALUE"""),"MCC046UC0398")</f>
        <v>MCC046UC0398</v>
      </c>
      <c r="C7" s="31" t="str">
        <f>IFERROR(__xludf.DUMMYFUNCTION("""COMPUTED_VALUE"""),"GRAMPO 26/6 COBREADO CX.C/5000 BACCHI")</f>
        <v>GRAMPO 26/6 COBREADO CX.C/5000 BACCHI</v>
      </c>
      <c r="D7" s="39">
        <f>IFERROR(__xludf.DUMMYFUNCTION("""COMPUTED_VALUE"""),1.0)</f>
        <v>1</v>
      </c>
      <c r="E7" s="34" t="str">
        <f>IFERROR(__xludf.DUMMYFUNCTION("""COMPUTED_VALUE"""),"Saída")</f>
        <v>Saída</v>
      </c>
      <c r="F7" s="34" t="str">
        <f>IFERROR(__xludf.DUMMYFUNCTION("""COMPUTED_VALUE"""),"Recebimento:truck:")</f>
        <v>Recebimento:truck:</v>
      </c>
      <c r="G7" s="39">
        <f t="array" ref="G7">XLOOKUP(B7,'Página9'!A:A,'Página9'!F:F,"")</f>
        <v>-13</v>
      </c>
      <c r="H7" s="39">
        <f t="array" ref="H7">XLOOKUP(B7,'Página9'!A:A,'Página9'!C:C,"")</f>
        <v>3</v>
      </c>
      <c r="I7" s="35" t="str">
        <f t="array" ref="I7">XLOOKUP(B7,'Página9'!A:A,'Página9'!G:G,"")</f>
        <v>REPOR ESTOQUE</v>
      </c>
      <c r="J7" s="25" t="str">
        <f t="shared" si="1"/>
        <v>RECEBIMENTO</v>
      </c>
      <c r="K7" s="25" t="str">
        <f>IFERROR(__xludf.DUMMYFUNCTION("""COMPUTED_VALUE"""),"Ana Virginia De Castro Costa")</f>
        <v>Ana Virginia De Castro Costa</v>
      </c>
    </row>
    <row r="8">
      <c r="A8" s="37">
        <f>IFERROR(__xludf.DUMMYFUNCTION("""COMPUTED_VALUE"""),45875.0)</f>
        <v>45875</v>
      </c>
      <c r="B8" s="42" t="str">
        <f>IFERROR(__xludf.DUMMYFUNCTION("""COMPUTED_VALUE"""),"MCC049UC0600")</f>
        <v>MCC049UC0600</v>
      </c>
      <c r="C8" s="31" t="str">
        <f>IFERROR(__xludf.DUMMYFUNCTION("""COMPUTED_VALUE"""),"FITA ADESIVA P/ CACHORRO PERSONALIZADA")</f>
        <v>FITA ADESIVA P/ CACHORRO PERSONALIZADA</v>
      </c>
      <c r="D8" s="39">
        <f>IFERROR(__xludf.DUMMYFUNCTION("""COMPUTED_VALUE"""),50.0)</f>
        <v>50</v>
      </c>
      <c r="E8" s="34" t="str">
        <f>IFERROR(__xludf.DUMMYFUNCTION("""COMPUTED_VALUE"""),"Saída")</f>
        <v>Saída</v>
      </c>
      <c r="F8" s="34" t="str">
        <f>IFERROR(__xludf.DUMMYFUNCTION("""COMPUTED_VALUE"""),"Recebimento:truck:")</f>
        <v>Recebimento:truck:</v>
      </c>
      <c r="G8" s="39">
        <f t="array" ref="G8">XLOOKUP(B8,'Página9'!A:A,'Página9'!F:F,"")</f>
        <v>156</v>
      </c>
      <c r="H8" s="39">
        <f t="array" ref="H8">XLOOKUP(B8,'Página9'!A:A,'Página9'!C:C,"")</f>
        <v>10</v>
      </c>
      <c r="I8" s="35" t="str">
        <f t="array" ref="I8">XLOOKUP(B8,'Página9'!A:A,'Página9'!G:G,"")</f>
        <v>OK</v>
      </c>
      <c r="J8" s="25" t="str">
        <f t="shared" si="1"/>
        <v>RECEBIMENTO</v>
      </c>
      <c r="K8" s="25" t="str">
        <f>IFERROR(__xludf.DUMMYFUNCTION("""COMPUTED_VALUE"""),"Francisco Antonio Pinheiro De Sousa")</f>
        <v>Francisco Antonio Pinheiro De Sousa</v>
      </c>
    </row>
    <row r="9">
      <c r="A9" s="37">
        <f>IFERROR(__xludf.DUMMYFUNCTION("""COMPUTED_VALUE"""),45875.0)</f>
        <v>45875</v>
      </c>
      <c r="B9" s="42" t="str">
        <f>IFERROR(__xludf.DUMMYFUNCTION("""COMPUTED_VALUE"""),"MCC015UC0045")</f>
        <v>MCC015UC0045</v>
      </c>
      <c r="C9" s="31" t="str">
        <f>IFERROR(__xludf.DUMMYFUNCTION("""COMPUTED_VALUE"""),"FITA ADESIVA 69MM X 100M")</f>
        <v>FITA ADESIVA 69MM X 100M</v>
      </c>
      <c r="D9" s="39">
        <f>IFERROR(__xludf.DUMMYFUNCTION("""COMPUTED_VALUE"""),24.0)</f>
        <v>24</v>
      </c>
      <c r="E9" s="34" t="str">
        <f>IFERROR(__xludf.DUMMYFUNCTION("""COMPUTED_VALUE"""),"Saída")</f>
        <v>Saída</v>
      </c>
      <c r="F9" s="34" t="str">
        <f>IFERROR(__xludf.DUMMYFUNCTION("""COMPUTED_VALUE"""),"Recebimento:truck:")</f>
        <v>Recebimento:truck:</v>
      </c>
      <c r="G9" s="39">
        <f t="array" ref="G9">XLOOKUP(B9,'Página9'!A:A,'Página9'!F:F,"")</f>
        <v>287</v>
      </c>
      <c r="H9" s="39">
        <f t="array" ref="H9">XLOOKUP(B9,'Página9'!A:A,'Página9'!C:C,"")</f>
        <v>20</v>
      </c>
      <c r="I9" s="35" t="str">
        <f t="array" ref="I9">XLOOKUP(B9,'Página9'!A:A,'Página9'!G:G,"")</f>
        <v>OK</v>
      </c>
      <c r="J9" s="25" t="str">
        <f t="shared" si="1"/>
        <v>RECEBIMENTO</v>
      </c>
      <c r="K9" s="25" t="str">
        <f>IFERROR(__xludf.DUMMYFUNCTION("""COMPUTED_VALUE"""),"Francisco Antonio Pinheiro De Sousa")</f>
        <v>Francisco Antonio Pinheiro De Sousa</v>
      </c>
    </row>
    <row r="10">
      <c r="A10" s="37">
        <f>IFERROR(__xludf.DUMMYFUNCTION("""COMPUTED_VALUE"""),45875.0)</f>
        <v>45875</v>
      </c>
      <c r="B10" s="42" t="str">
        <f>IFERROR(__xludf.DUMMYFUNCTION("""COMPUTED_VALUE"""),"MCC046UC0596")</f>
        <v>MCC046UC0596</v>
      </c>
      <c r="C10" s="31" t="str">
        <f>IFERROR(__xludf.DUMMYFUNCTION("""COMPUTED_VALUE"""),"ETIQUETA ADESIVA COUCHE BRANCA   - 105X150MM SAS")</f>
        <v>ETIQUETA ADESIVA COUCHE BRANCA   - 105X150MM SAS</v>
      </c>
      <c r="D10" s="39">
        <f>IFERROR(__xludf.DUMMYFUNCTION("""COMPUTED_VALUE"""),5.0)</f>
        <v>5</v>
      </c>
      <c r="E10" s="34" t="str">
        <f>IFERROR(__xludf.DUMMYFUNCTION("""COMPUTED_VALUE"""),"Saída")</f>
        <v>Saída</v>
      </c>
      <c r="F10" s="34" t="str">
        <f>IFERROR(__xludf.DUMMYFUNCTION("""COMPUTED_VALUE"""),"Recebimento:truck:")</f>
        <v>Recebimento:truck:</v>
      </c>
      <c r="G10" s="39">
        <f t="array" ref="G10">XLOOKUP(B10,'Página9'!A:A,'Página9'!F:F,"")</f>
        <v>157</v>
      </c>
      <c r="H10" s="39">
        <f t="array" ref="H10">XLOOKUP(B10,'Página9'!A:A,'Página9'!C:C,"")</f>
        <v>20</v>
      </c>
      <c r="I10" s="35" t="str">
        <f t="array" ref="I10">XLOOKUP(B10,'Página9'!A:A,'Página9'!G:G,"")</f>
        <v>OK</v>
      </c>
      <c r="J10" s="25" t="str">
        <f t="shared" si="1"/>
        <v>RECEBIMENTO</v>
      </c>
      <c r="K10" s="25" t="str">
        <f>IFERROR(__xludf.DUMMYFUNCTION("""COMPUTED_VALUE"""),"Francisco Antonio Pinheiro De Sousa")</f>
        <v>Francisco Antonio Pinheiro De Sousa</v>
      </c>
    </row>
    <row r="11">
      <c r="A11" s="37">
        <f>IFERROR(__xludf.DUMMYFUNCTION("""COMPUTED_VALUE"""),45875.0)</f>
        <v>45875</v>
      </c>
      <c r="B11" s="42" t="str">
        <f>IFERROR(__xludf.DUMMYFUNCTION("""COMPUTED_VALUE"""),"MCC046UC0668")</f>
        <v>MCC046UC0668</v>
      </c>
      <c r="C11" s="31" t="str">
        <f>IFERROR(__xludf.DUMMYFUNCTION("""COMPUTED_VALUE"""),"ETIQUETA ADESIVA COUCHE CINZA 100X150X1")</f>
        <v>ETIQUETA ADESIVA COUCHE CINZA 100X150X1</v>
      </c>
      <c r="D11" s="39">
        <f>IFERROR(__xludf.DUMMYFUNCTION("""COMPUTED_VALUE"""),3.0)</f>
        <v>3</v>
      </c>
      <c r="E11" s="34" t="str">
        <f>IFERROR(__xludf.DUMMYFUNCTION("""COMPUTED_VALUE"""),"Saída")</f>
        <v>Saída</v>
      </c>
      <c r="F11" s="34" t="str">
        <f>IFERROR(__xludf.DUMMYFUNCTION("""COMPUTED_VALUE"""),"Estoque:package:")</f>
        <v>Estoque:package:</v>
      </c>
      <c r="G11" s="39">
        <f t="array" ref="G11">XLOOKUP(B11,'Página9'!A:A,'Página9'!F:F,"")</f>
        <v>104</v>
      </c>
      <c r="H11" s="39">
        <f t="array" ref="H11">XLOOKUP(B11,'Página9'!A:A,'Página9'!C:C,"")</f>
        <v>5</v>
      </c>
      <c r="I11" s="35" t="str">
        <f t="array" ref="I11">XLOOKUP(B11,'Página9'!A:A,'Página9'!G:G,"")</f>
        <v>OK</v>
      </c>
      <c r="J11" s="25" t="str">
        <f t="shared" si="1"/>
        <v>ESTOQUE</v>
      </c>
      <c r="K11" s="25" t="str">
        <f>IFERROR(__xludf.DUMMYFUNCTION("""COMPUTED_VALUE"""),"Francisco Antonio Pinheiro De Sousa")</f>
        <v>Francisco Antonio Pinheiro De Sousa</v>
      </c>
    </row>
    <row r="12">
      <c r="A12" s="37">
        <f>IFERROR(__xludf.DUMMYFUNCTION("""COMPUTED_VALUE"""),45875.0)</f>
        <v>45875</v>
      </c>
      <c r="B12" s="42" t="str">
        <f>IFERROR(__xludf.DUMMYFUNCTION("""COMPUTED_VALUE"""),"MCC046UC0598")</f>
        <v>MCC046UC0598</v>
      </c>
      <c r="C12" s="31" t="str">
        <f>IFERROR(__xludf.DUMMYFUNCTION("""COMPUTED_VALUE"""),"ETIQUETA ADESIVA COUCHE AZUL - 105X150MM SAS")</f>
        <v>ETIQUETA ADESIVA COUCHE AZUL - 105X150MM SAS</v>
      </c>
      <c r="D12" s="39">
        <f>IFERROR(__xludf.DUMMYFUNCTION("""COMPUTED_VALUE"""),3.0)</f>
        <v>3</v>
      </c>
      <c r="E12" s="34" t="str">
        <f>IFERROR(__xludf.DUMMYFUNCTION("""COMPUTED_VALUE"""),"Saída")</f>
        <v>Saída</v>
      </c>
      <c r="F12" s="34" t="str">
        <f>IFERROR(__xludf.DUMMYFUNCTION("""COMPUTED_VALUE"""),"Recebimento:truck:")</f>
        <v>Recebimento:truck:</v>
      </c>
      <c r="G12" s="39">
        <f t="array" ref="G12">XLOOKUP(B12,'Página9'!A:A,'Página9'!F:F,"")</f>
        <v>40</v>
      </c>
      <c r="H12" s="39">
        <f t="array" ref="H12">XLOOKUP(B12,'Página9'!A:A,'Página9'!C:C,"")</f>
        <v>5</v>
      </c>
      <c r="I12" s="35" t="str">
        <f t="array" ref="I12">XLOOKUP(B12,'Página9'!A:A,'Página9'!G:G,"")</f>
        <v>OK</v>
      </c>
      <c r="J12" s="25" t="str">
        <f t="shared" si="1"/>
        <v>RECEBIMENTO</v>
      </c>
      <c r="K12" s="25" t="str">
        <f>IFERROR(__xludf.DUMMYFUNCTION("""COMPUTED_VALUE"""),"Francisco Antonio Pinheiro De Sousa")</f>
        <v>Francisco Antonio Pinheiro De Sousa</v>
      </c>
    </row>
    <row r="13">
      <c r="A13" s="37">
        <f>IFERROR(__xludf.DUMMYFUNCTION("""COMPUTED_VALUE"""),45875.0)</f>
        <v>45875</v>
      </c>
      <c r="B13" s="42" t="str">
        <f>IFERROR(__xludf.DUMMYFUNCTION("""COMPUTED_VALUE"""),"MCC046UC0597")</f>
        <v>MCC046UC0597</v>
      </c>
      <c r="C13" s="31" t="str">
        <f>IFERROR(__xludf.DUMMYFUNCTION("""COMPUTED_VALUE"""),"ETIQUETA ADESIVA COUCHE ROSA - SAS 105X150MM")</f>
        <v>ETIQUETA ADESIVA COUCHE ROSA - SAS 105X150MM</v>
      </c>
      <c r="D13" s="39">
        <f>IFERROR(__xludf.DUMMYFUNCTION("""COMPUTED_VALUE"""),5.0)</f>
        <v>5</v>
      </c>
      <c r="E13" s="34" t="str">
        <f>IFERROR(__xludf.DUMMYFUNCTION("""COMPUTED_VALUE"""),"Saída")</f>
        <v>Saída</v>
      </c>
      <c r="F13" s="34" t="str">
        <f>IFERROR(__xludf.DUMMYFUNCTION("""COMPUTED_VALUE"""),"Estoque:package:")</f>
        <v>Estoque:package:</v>
      </c>
      <c r="G13" s="39">
        <f t="array" ref="G13">XLOOKUP(B13,'Página9'!A:A,'Página9'!F:F,"")</f>
        <v>64</v>
      </c>
      <c r="H13" s="39">
        <f t="array" ref="H13">XLOOKUP(B13,'Página9'!A:A,'Página9'!C:C,"")</f>
        <v>5</v>
      </c>
      <c r="I13" s="35" t="str">
        <f t="array" ref="I13">XLOOKUP(B13,'Página9'!A:A,'Página9'!G:G,"")</f>
        <v>OK</v>
      </c>
      <c r="J13" s="25" t="str">
        <f t="shared" si="1"/>
        <v>ESTOQUE</v>
      </c>
      <c r="K13" s="25" t="str">
        <f>IFERROR(__xludf.DUMMYFUNCTION("""COMPUTED_VALUE"""),"Francisco Antonio Pinheiro De Sousa")</f>
        <v>Francisco Antonio Pinheiro De Sousa</v>
      </c>
    </row>
    <row r="14">
      <c r="A14" s="37">
        <f>IFERROR(__xludf.DUMMYFUNCTION("""COMPUTED_VALUE"""),45875.0)</f>
        <v>45875</v>
      </c>
      <c r="B14" s="42" t="str">
        <f>IFERROR(__xludf.DUMMYFUNCTION("""COMPUTED_VALUE"""),"MCC046UC0658")</f>
        <v>MCC046UC0658</v>
      </c>
      <c r="C14" s="31" t="str">
        <f>IFERROR(__xludf.DUMMYFUNCTION("""COMPUTED_VALUE"""),"ETIQUETA ADESIVA COUCHE LARANJA 100X150X1")</f>
        <v>ETIQUETA ADESIVA COUCHE LARANJA 100X150X1</v>
      </c>
      <c r="D14" s="39">
        <f>IFERROR(__xludf.DUMMYFUNCTION("""COMPUTED_VALUE"""),3.0)</f>
        <v>3</v>
      </c>
      <c r="E14" s="34" t="str">
        <f>IFERROR(__xludf.DUMMYFUNCTION("""COMPUTED_VALUE"""),"Saída")</f>
        <v>Saída</v>
      </c>
      <c r="F14" s="34" t="str">
        <f>IFERROR(__xludf.DUMMYFUNCTION("""COMPUTED_VALUE"""),"PMM:livro-voador:")</f>
        <v>PMM:livro-voador:</v>
      </c>
      <c r="G14" s="39">
        <f t="array" ref="G14">XLOOKUP(B14,'Página9'!A:A,'Página9'!F:F,"")</f>
        <v>32</v>
      </c>
      <c r="H14" s="39">
        <f t="array" ref="H14">XLOOKUP(B14,'Página9'!A:A,'Página9'!C:C,"")</f>
        <v>5</v>
      </c>
      <c r="I14" s="35" t="str">
        <f t="array" ref="I14">XLOOKUP(B14,'Página9'!A:A,'Página9'!G:G,"")</f>
        <v>OK</v>
      </c>
      <c r="J14" s="25" t="str">
        <f t="shared" si="1"/>
        <v>PMM</v>
      </c>
      <c r="K14" s="25" t="str">
        <f>IFERROR(__xludf.DUMMYFUNCTION("""COMPUTED_VALUE"""),"Francisco Antonio Pinheiro De Sousa")</f>
        <v>Francisco Antonio Pinheiro De Sousa</v>
      </c>
    </row>
    <row r="15">
      <c r="A15" s="37">
        <f>IFERROR(__xludf.DUMMYFUNCTION("""COMPUTED_VALUE"""),45875.0)</f>
        <v>45875</v>
      </c>
      <c r="B15" s="42" t="str">
        <f>IFERROR(__xludf.DUMMYFUNCTION("""COMPUTED_VALUE"""),"MCC049UC0516")</f>
        <v>MCC049UC0516</v>
      </c>
      <c r="C15" s="31" t="str">
        <f>IFERROR(__xludf.DUMMYFUNCTION("""COMPUTED_VALUE"""),"ETIQUETA ADESIVA COUCHE VERDE CLARO - 105X150MM")</f>
        <v>ETIQUETA ADESIVA COUCHE VERDE CLARO - 105X150MM</v>
      </c>
      <c r="D15" s="39">
        <f>IFERROR(__xludf.DUMMYFUNCTION("""COMPUTED_VALUE"""),2.0)</f>
        <v>2</v>
      </c>
      <c r="E15" s="34" t="str">
        <f>IFERROR(__xludf.DUMMYFUNCTION("""COMPUTED_VALUE"""),"Saída")</f>
        <v>Saída</v>
      </c>
      <c r="F15" s="34" t="str">
        <f>IFERROR(__xludf.DUMMYFUNCTION("""COMPUTED_VALUE"""),"CIQ :qualidade:")</f>
        <v>CIQ :qualidade:</v>
      </c>
      <c r="G15" s="39">
        <f t="array" ref="G15">XLOOKUP(B15,'Página9'!A:A,'Página9'!F:F,"")</f>
        <v>70</v>
      </c>
      <c r="H15" s="39">
        <f t="array" ref="H15">XLOOKUP(B15,'Página9'!A:A,'Página9'!C:C,"")</f>
        <v>5</v>
      </c>
      <c r="I15" s="35" t="str">
        <f t="array" ref="I15">XLOOKUP(B15,'Página9'!A:A,'Página9'!G:G,"")</f>
        <v>OK</v>
      </c>
      <c r="J15" s="25" t="str">
        <f t="shared" si="1"/>
        <v>CIQ</v>
      </c>
      <c r="K15" s="25" t="str">
        <f>IFERROR(__xludf.DUMMYFUNCTION("""COMPUTED_VALUE"""),"Francisco Antonio Pinheiro De Sousa")</f>
        <v>Francisco Antonio Pinheiro De Sousa</v>
      </c>
    </row>
    <row r="16">
      <c r="A16" s="37">
        <f>IFERROR(__xludf.DUMMYFUNCTION("""COMPUTED_VALUE"""),45875.0)</f>
        <v>45875</v>
      </c>
      <c r="B16" s="42" t="str">
        <f>IFERROR(__xludf.DUMMYFUNCTION("""COMPUTED_VALUE"""),"MCC015UC0045")</f>
        <v>MCC015UC0045</v>
      </c>
      <c r="C16" s="31" t="str">
        <f>IFERROR(__xludf.DUMMYFUNCTION("""COMPUTED_VALUE"""),"FITA ADESIVA 69MM X 100M")</f>
        <v>FITA ADESIVA 69MM X 100M</v>
      </c>
      <c r="D16" s="39">
        <f>IFERROR(__xludf.DUMMYFUNCTION("""COMPUTED_VALUE"""),10.0)</f>
        <v>10</v>
      </c>
      <c r="E16" s="34" t="str">
        <f>IFERROR(__xludf.DUMMYFUNCTION("""COMPUTED_VALUE"""),"Saída")</f>
        <v>Saída</v>
      </c>
      <c r="F16" s="34" t="str">
        <f>IFERROR(__xludf.DUMMYFUNCTION("""COMPUTED_VALUE"""),"PMM:livro-voador:")</f>
        <v>PMM:livro-voador:</v>
      </c>
      <c r="G16" s="39">
        <f t="array" ref="G16">XLOOKUP(B16,'Página9'!A:A,'Página9'!F:F,"")</f>
        <v>287</v>
      </c>
      <c r="H16" s="39">
        <f t="array" ref="H16">XLOOKUP(B16,'Página9'!A:A,'Página9'!C:C,"")</f>
        <v>20</v>
      </c>
      <c r="I16" s="35" t="str">
        <f t="array" ref="I16">XLOOKUP(B16,'Página9'!A:A,'Página9'!G:G,"")</f>
        <v>OK</v>
      </c>
      <c r="J16" s="25" t="str">
        <f t="shared" si="1"/>
        <v>PMM</v>
      </c>
      <c r="K16" s="25" t="str">
        <f>IFERROR(__xludf.DUMMYFUNCTION("""COMPUTED_VALUE"""),"Jose Antoniel Silva Mesquita")</f>
        <v>Jose Antoniel Silva Mesquita</v>
      </c>
    </row>
    <row r="17">
      <c r="A17" s="37">
        <f>IFERROR(__xludf.DUMMYFUNCTION("""COMPUTED_VALUE"""),45876.0)</f>
        <v>45876</v>
      </c>
      <c r="B17" s="42" t="str">
        <f>IFERROR(__xludf.DUMMYFUNCTION("""COMPUTED_VALUE"""),"MCC046UC0659")</f>
        <v>MCC046UC0659</v>
      </c>
      <c r="C17" s="31" t="str">
        <f>IFERROR(__xludf.DUMMYFUNCTION("""COMPUTED_VALUE"""),"ETIQUETA 70MM PROFESSOR")</f>
        <v>ETIQUETA 70MM PROFESSOR</v>
      </c>
      <c r="D17" s="39">
        <f>IFERROR(__xludf.DUMMYFUNCTION("""COMPUTED_VALUE"""),5.0)</f>
        <v>5</v>
      </c>
      <c r="E17" s="34" t="str">
        <f>IFERROR(__xludf.DUMMYFUNCTION("""COMPUTED_VALUE"""),"Saída")</f>
        <v>Saída</v>
      </c>
      <c r="F17" s="34" t="str">
        <f>IFERROR(__xludf.DUMMYFUNCTION("""COMPUTED_VALUE"""),"Recebimento:truck:")</f>
        <v>Recebimento:truck:</v>
      </c>
      <c r="G17" s="39">
        <f t="array" ref="G17">XLOOKUP(B17,'Página9'!A:A,'Página9'!F:F,"")</f>
        <v>25</v>
      </c>
      <c r="H17" s="39">
        <f t="array" ref="H17">XLOOKUP(B17,'Página9'!A:A,'Página9'!C:C,"")</f>
        <v>5</v>
      </c>
      <c r="I17" s="35" t="str">
        <f t="array" ref="I17">XLOOKUP(B17,'Página9'!A:A,'Página9'!G:G,"")</f>
        <v>OK</v>
      </c>
      <c r="J17" s="25" t="str">
        <f t="shared" si="1"/>
        <v>RECEBIMENTO</v>
      </c>
      <c r="K17" s="25" t="str">
        <f>IFERROR(__xludf.DUMMYFUNCTION("""COMPUTED_VALUE"""),"Philipe Araujo Barroso")</f>
        <v>Philipe Araujo Barroso</v>
      </c>
    </row>
    <row r="18">
      <c r="A18" s="37">
        <f>IFERROR(__xludf.DUMMYFUNCTION("""COMPUTED_VALUE"""),45876.0)</f>
        <v>45876</v>
      </c>
      <c r="B18" s="42" t="str">
        <f>IFERROR(__xludf.DUMMYFUNCTION("""COMPUTED_VALUE"""),"MCC046UC0082")</f>
        <v>MCC046UC0082</v>
      </c>
      <c r="C18" s="31" t="str">
        <f>IFERROR(__xludf.DUMMYFUNCTION("""COMPUTED_VALUE"""),"PAPEL SULFITE A4 75G 500 FOLHAS")</f>
        <v>PAPEL SULFITE A4 75G 500 FOLHAS</v>
      </c>
      <c r="D18" s="39">
        <f>IFERROR(__xludf.DUMMYFUNCTION("""COMPUTED_VALUE"""),1.0)</f>
        <v>1</v>
      </c>
      <c r="E18" s="34" t="str">
        <f>IFERROR(__xludf.DUMMYFUNCTION("""COMPUTED_VALUE"""),"Saída")</f>
        <v>Saída</v>
      </c>
      <c r="F18" s="34" t="str">
        <f>IFERROR(__xludf.DUMMYFUNCTION("""COMPUTED_VALUE"""),"Estoque:package:")</f>
        <v>Estoque:package:</v>
      </c>
      <c r="G18" s="39">
        <f t="array" ref="G18">XLOOKUP(B18,'Página9'!A:A,'Página9'!F:F,"")</f>
        <v>163</v>
      </c>
      <c r="H18" s="39">
        <f t="array" ref="H18">XLOOKUP(B18,'Página9'!A:A,'Página9'!C:C,"")</f>
        <v>10</v>
      </c>
      <c r="I18" s="35" t="str">
        <f t="array" ref="I18">XLOOKUP(B18,'Página9'!A:A,'Página9'!G:G,"")</f>
        <v>OK</v>
      </c>
      <c r="J18" s="25" t="str">
        <f t="shared" si="1"/>
        <v>ESTOQUE</v>
      </c>
      <c r="K18" s="25" t="str">
        <f>IFERROR(__xludf.DUMMYFUNCTION("""COMPUTED_VALUE"""),"Suellen Aguiar Da Silva")</f>
        <v>Suellen Aguiar Da Silva</v>
      </c>
    </row>
    <row r="19">
      <c r="A19" s="37">
        <f>IFERROR(__xludf.DUMMYFUNCTION("""COMPUTED_VALUE"""),45876.0)</f>
        <v>45876</v>
      </c>
      <c r="B19" s="42" t="str">
        <f>IFERROR(__xludf.DUMMYFUNCTION("""COMPUTED_VALUE"""),"MCC046UC0687")</f>
        <v>MCC046UC0687</v>
      </c>
      <c r="C19" s="31" t="str">
        <f>IFERROR(__xludf.DUMMYFUNCTION("""COMPUTED_VALUE"""),"ETIQUETA COUCHE - 100X100X 1")</f>
        <v>ETIQUETA COUCHE - 100X100X 1</v>
      </c>
      <c r="D19" s="39">
        <f>IFERROR(__xludf.DUMMYFUNCTION("""COMPUTED_VALUE"""),1.0)</f>
        <v>1</v>
      </c>
      <c r="E19" s="34" t="str">
        <f>IFERROR(__xludf.DUMMYFUNCTION("""COMPUTED_VALUE"""),"Saída")</f>
        <v>Saída</v>
      </c>
      <c r="F19" s="34" t="str">
        <f>IFERROR(__xludf.DUMMYFUNCTION("""COMPUTED_VALUE"""),"Estoque:package:")</f>
        <v>Estoque:package:</v>
      </c>
      <c r="G19" s="39">
        <f t="array" ref="G19">XLOOKUP(B19,'Página9'!A:A,'Página9'!F:F,"")</f>
        <v>335</v>
      </c>
      <c r="H19" s="39">
        <f t="array" ref="H19">XLOOKUP(B19,'Página9'!A:A,'Página9'!C:C,"")</f>
        <v>20</v>
      </c>
      <c r="I19" s="35" t="str">
        <f t="array" ref="I19">XLOOKUP(B19,'Página9'!A:A,'Página9'!G:G,"")</f>
        <v>OK</v>
      </c>
      <c r="J19" s="25" t="str">
        <f t="shared" si="1"/>
        <v>ESTOQUE</v>
      </c>
      <c r="K19" s="25" t="str">
        <f>IFERROR(__xludf.DUMMYFUNCTION("""COMPUTED_VALUE"""),"Suellen Aguiar Da Silva")</f>
        <v>Suellen Aguiar Da Silva</v>
      </c>
    </row>
    <row r="20">
      <c r="A20" s="37">
        <f>IFERROR(__xludf.DUMMYFUNCTION("""COMPUTED_VALUE"""),45876.0)</f>
        <v>45876</v>
      </c>
      <c r="B20" s="42" t="str">
        <f>IFERROR(__xludf.DUMMYFUNCTION("""COMPUTED_VALUE"""),"MCC015UC0008")</f>
        <v>MCC015UC0008</v>
      </c>
      <c r="C20" s="31" t="str">
        <f>IFERROR(__xludf.DUMMYFUNCTION("""COMPUTED_VALUE"""),"FILME STRETCH 500X25")</f>
        <v>FILME STRETCH 500X25</v>
      </c>
      <c r="D20" s="39">
        <f>IFERROR(__xludf.DUMMYFUNCTION("""COMPUTED_VALUE"""),3.0)</f>
        <v>3</v>
      </c>
      <c r="E20" s="34" t="str">
        <f>IFERROR(__xludf.DUMMYFUNCTION("""COMPUTED_VALUE"""),"Saída")</f>
        <v>Saída</v>
      </c>
      <c r="F20" s="34" t="str">
        <f>IFERROR(__xludf.DUMMYFUNCTION("""COMPUTED_VALUE"""),"Estoque:package:")</f>
        <v>Estoque:package:</v>
      </c>
      <c r="G20" s="39">
        <f t="array" ref="G20">XLOOKUP(B20,'Página9'!A:A,'Página9'!F:F,"")</f>
        <v>-158</v>
      </c>
      <c r="H20" s="39">
        <f t="array" ref="H20">XLOOKUP(B20,'Página9'!A:A,'Página9'!C:C,"")</f>
        <v>40</v>
      </c>
      <c r="I20" s="35" t="str">
        <f t="array" ref="I20">XLOOKUP(B20,'Página9'!A:A,'Página9'!G:G,"")</f>
        <v>REPOR ESTOQUE</v>
      </c>
      <c r="J20" s="25" t="str">
        <f t="shared" si="1"/>
        <v>ESTOQUE</v>
      </c>
      <c r="K20" s="25" t="str">
        <f>IFERROR(__xludf.DUMMYFUNCTION("""COMPUTED_VALUE"""),"Francisco Samuel Trindade Nascimento")</f>
        <v>Francisco Samuel Trindade Nascimento</v>
      </c>
    </row>
    <row r="21">
      <c r="A21" s="37">
        <f>IFERROR(__xludf.DUMMYFUNCTION("""COMPUTED_VALUE"""),45877.0)</f>
        <v>45877</v>
      </c>
      <c r="B21" s="42" t="str">
        <f>IFERROR(__xludf.DUMMYFUNCTION("""COMPUTED_VALUE"""),"MCC046UC0387")</f>
        <v>MCC046UC0387</v>
      </c>
      <c r="C21" s="31" t="str">
        <f>IFERROR(__xludf.DUMMYFUNCTION("""COMPUTED_VALUE"""),"GRAMPEADOR PLUS LINE CIS PRETO 26/6 P/20")</f>
        <v>GRAMPEADOR PLUS LINE CIS PRETO 26/6 P/20</v>
      </c>
      <c r="D21" s="39">
        <f>IFERROR(__xludf.DUMMYFUNCTION("""COMPUTED_VALUE"""),1.0)</f>
        <v>1</v>
      </c>
      <c r="E21" s="34" t="str">
        <f>IFERROR(__xludf.DUMMYFUNCTION("""COMPUTED_VALUE"""),"Saída")</f>
        <v>Saída</v>
      </c>
      <c r="F21" s="34" t="str">
        <f>IFERROR(__xludf.DUMMYFUNCTION("""COMPUTED_VALUE"""),"Estoque:package:")</f>
        <v>Estoque:package:</v>
      </c>
      <c r="G21" s="39">
        <f t="array" ref="G21">XLOOKUP(B21,'Página9'!A:A,'Página9'!F:F,"")</f>
        <v>0</v>
      </c>
      <c r="H21" s="39">
        <f t="array" ref="H21">XLOOKUP(B21,'Página9'!A:A,'Página9'!C:C,"")</f>
        <v>1</v>
      </c>
      <c r="I21" s="35" t="str">
        <f t="array" ref="I21">XLOOKUP(B21,'Página9'!A:A,'Página9'!G:G,"")</f>
        <v>REPOR ESTOQUE</v>
      </c>
      <c r="J21" s="25" t="str">
        <f t="shared" si="1"/>
        <v>ESTOQUE</v>
      </c>
      <c r="K21" s="25" t="str">
        <f>IFERROR(__xludf.DUMMYFUNCTION("""COMPUTED_VALUE"""),"Suellen Aguiar Da Silva")</f>
        <v>Suellen Aguiar Da Silva</v>
      </c>
    </row>
    <row r="22">
      <c r="A22" s="37">
        <f>IFERROR(__xludf.DUMMYFUNCTION("""COMPUTED_VALUE"""),45877.0)</f>
        <v>45877</v>
      </c>
      <c r="B22" s="42" t="str">
        <f>IFERROR(__xludf.DUMMYFUNCTION("""COMPUTED_VALUE"""),"MCC046UC0526")</f>
        <v>MCC046UC0526</v>
      </c>
      <c r="C22" s="31" t="str">
        <f>IFERROR(__xludf.DUMMYFUNCTION("""COMPUTED_VALUE"""),"CANETA PINCEL ATOMICO PRETA PILOT 1100")</f>
        <v>CANETA PINCEL ATOMICO PRETA PILOT 1100</v>
      </c>
      <c r="D22" s="39">
        <f>IFERROR(__xludf.DUMMYFUNCTION("""COMPUTED_VALUE"""),1.0)</f>
        <v>1</v>
      </c>
      <c r="E22" s="34" t="str">
        <f>IFERROR(__xludf.DUMMYFUNCTION("""COMPUTED_VALUE"""),"Saída")</f>
        <v>Saída</v>
      </c>
      <c r="F22" s="34" t="str">
        <f>IFERROR(__xludf.DUMMYFUNCTION("""COMPUTED_VALUE"""),"Estoque:package:")</f>
        <v>Estoque:package:</v>
      </c>
      <c r="G22" s="39">
        <f t="array" ref="G22">XLOOKUP(B22,'Página9'!A:A,'Página9'!F:F,"")</f>
        <v>1</v>
      </c>
      <c r="H22" s="39">
        <f t="array" ref="H22">XLOOKUP(B22,'Página9'!A:A,'Página9'!C:C,"")</f>
        <v>3</v>
      </c>
      <c r="I22" s="35" t="str">
        <f t="array" ref="I22">XLOOKUP(B22,'Página9'!A:A,'Página9'!G:G,"")</f>
        <v>REPOR ESTOQUE</v>
      </c>
      <c r="J22" s="25" t="str">
        <f t="shared" si="1"/>
        <v>ESTOQUE</v>
      </c>
      <c r="K22" s="25" t="str">
        <f>IFERROR(__xludf.DUMMYFUNCTION("""COMPUTED_VALUE"""),"Diego Araujo Dias")</f>
        <v>Diego Araujo Dias</v>
      </c>
    </row>
    <row r="23">
      <c r="A23" s="37">
        <f>IFERROR(__xludf.DUMMYFUNCTION("""COMPUTED_VALUE"""),45877.0)</f>
        <v>45877</v>
      </c>
      <c r="B23" s="42" t="str">
        <f>IFERROR(__xludf.DUMMYFUNCTION("""COMPUTED_VALUE"""),"MCC046UC0082")</f>
        <v>MCC046UC0082</v>
      </c>
      <c r="C23" s="31" t="str">
        <f>IFERROR(__xludf.DUMMYFUNCTION("""COMPUTED_VALUE"""),"PAPEL SULFITE A4 75G 500 FOLHAS")</f>
        <v>PAPEL SULFITE A4 75G 500 FOLHAS</v>
      </c>
      <c r="D23" s="39">
        <f>IFERROR(__xludf.DUMMYFUNCTION("""COMPUTED_VALUE"""),1.0)</f>
        <v>1</v>
      </c>
      <c r="E23" s="34" t="str">
        <f>IFERROR(__xludf.DUMMYFUNCTION("""COMPUTED_VALUE"""),"Saída")</f>
        <v>Saída</v>
      </c>
      <c r="F23" s="34" t="str">
        <f>IFERROR(__xludf.DUMMYFUNCTION("""COMPUTED_VALUE"""),"PMM:livro-voador:")</f>
        <v>PMM:livro-voador:</v>
      </c>
      <c r="G23" s="39">
        <f t="array" ref="G23">XLOOKUP(B23,'Página9'!A:A,'Página9'!F:F,"")</f>
        <v>163</v>
      </c>
      <c r="H23" s="39">
        <f t="array" ref="H23">XLOOKUP(B23,'Página9'!A:A,'Página9'!C:C,"")</f>
        <v>10</v>
      </c>
      <c r="I23" s="35" t="str">
        <f t="array" ref="I23">XLOOKUP(B23,'Página9'!A:A,'Página9'!G:G,"")</f>
        <v>OK</v>
      </c>
      <c r="J23" s="25" t="str">
        <f t="shared" si="1"/>
        <v>PMM</v>
      </c>
      <c r="K23" s="25" t="str">
        <f>IFERROR(__xludf.DUMMYFUNCTION("""COMPUTED_VALUE"""),"Diego Araujo Dias")</f>
        <v>Diego Araujo Dias</v>
      </c>
    </row>
    <row r="24">
      <c r="A24" s="37">
        <f>IFERROR(__xludf.DUMMYFUNCTION("""COMPUTED_VALUE"""),45877.0)</f>
        <v>45877</v>
      </c>
      <c r="B24" s="42" t="str">
        <f>IFERROR(__xludf.DUMMYFUNCTION("""COMPUTED_VALUE"""),"MCC046UC0599")</f>
        <v>MCC046UC0599</v>
      </c>
      <c r="C24" s="31" t="str">
        <f>IFERROR(__xludf.DUMMYFUNCTION("""COMPUTED_VALUE"""),"ETIQUETA ADESIVA COUCHE AMARELA  - 105X150MM SAS")</f>
        <v>ETIQUETA ADESIVA COUCHE AMARELA  - 105X150MM SAS</v>
      </c>
      <c r="D24" s="39">
        <f>IFERROR(__xludf.DUMMYFUNCTION("""COMPUTED_VALUE"""),3.0)</f>
        <v>3</v>
      </c>
      <c r="E24" s="34" t="str">
        <f>IFERROR(__xludf.DUMMYFUNCTION("""COMPUTED_VALUE"""),"Saída")</f>
        <v>Saída</v>
      </c>
      <c r="F24" s="34" t="str">
        <f>IFERROR(__xludf.DUMMYFUNCTION("""COMPUTED_VALUE"""),"Recebimento:truck:")</f>
        <v>Recebimento:truck:</v>
      </c>
      <c r="G24" s="39">
        <f t="array" ref="G24">XLOOKUP(B24,'Página9'!A:A,'Página9'!F:F,"")</f>
        <v>25</v>
      </c>
      <c r="H24" s="39">
        <f t="array" ref="H24">XLOOKUP(B24,'Página9'!A:A,'Página9'!C:C,"")</f>
        <v>5</v>
      </c>
      <c r="I24" s="35" t="str">
        <f t="array" ref="I24">XLOOKUP(B24,'Página9'!A:A,'Página9'!G:G,"")</f>
        <v>OK</v>
      </c>
      <c r="J24" s="25" t="str">
        <f t="shared" si="1"/>
        <v>RECEBIMENTO</v>
      </c>
      <c r="K24" s="25" t="str">
        <f>IFERROR(__xludf.DUMMYFUNCTION("""COMPUTED_VALUE"""),"Philipe Araujo Barroso")</f>
        <v>Philipe Araujo Barroso</v>
      </c>
    </row>
    <row r="25">
      <c r="A25" s="37">
        <f>IFERROR(__xludf.DUMMYFUNCTION("""COMPUTED_VALUE"""),45877.0)</f>
        <v>45877</v>
      </c>
      <c r="B25" s="42" t="str">
        <f>IFERROR(__xludf.DUMMYFUNCTION("""COMPUTED_VALUE"""),"MCC046UC0215")</f>
        <v>MCC046UC0215</v>
      </c>
      <c r="C25" s="31" t="str">
        <f>IFERROR(__xludf.DUMMYFUNCTION("""COMPUTED_VALUE"""),"CANETA ESFEROGRAFICA ECONOMIC AZUL BIC")</f>
        <v>CANETA ESFEROGRAFICA ECONOMIC AZUL BIC</v>
      </c>
      <c r="D25" s="39">
        <f>IFERROR(__xludf.DUMMYFUNCTION("""COMPUTED_VALUE"""),15.0)</f>
        <v>15</v>
      </c>
      <c r="E25" s="34" t="str">
        <f>IFERROR(__xludf.DUMMYFUNCTION("""COMPUTED_VALUE"""),"Saída")</f>
        <v>Saída</v>
      </c>
      <c r="F25" s="34" t="str">
        <f>IFERROR(__xludf.DUMMYFUNCTION("""COMPUTED_VALUE"""),"Recebimento:truck:")</f>
        <v>Recebimento:truck:</v>
      </c>
      <c r="G25" s="39">
        <f t="array" ref="G25">XLOOKUP(B25,'Página9'!A:A,'Página9'!F:F,"")</f>
        <v>-20</v>
      </c>
      <c r="H25" s="39">
        <f t="array" ref="H25">XLOOKUP(B25,'Página9'!A:A,'Página9'!C:C,"")</f>
        <v>15</v>
      </c>
      <c r="I25" s="35" t="str">
        <f t="array" ref="I25">XLOOKUP(B25,'Página9'!A:A,'Página9'!G:G,"")</f>
        <v>REPOR ESTOQUE</v>
      </c>
      <c r="J25" s="25" t="str">
        <f t="shared" si="1"/>
        <v>RECEBIMENTO</v>
      </c>
      <c r="K25" s="25" t="str">
        <f>IFERROR(__xludf.DUMMYFUNCTION("""COMPUTED_VALUE"""),"Jose Edervanio Lima Mateus")</f>
        <v>Jose Edervanio Lima Mateus</v>
      </c>
    </row>
    <row r="26">
      <c r="A26" s="37">
        <f>IFERROR(__xludf.DUMMYFUNCTION("""COMPUTED_VALUE"""),45880.0)</f>
        <v>45880</v>
      </c>
      <c r="B26" s="42" t="str">
        <f>IFERROR(__xludf.DUMMYFUNCTION("""COMPUTED_VALUE"""),"MCC046UC0082")</f>
        <v>MCC046UC0082</v>
      </c>
      <c r="C26" s="31" t="str">
        <f>IFERROR(__xludf.DUMMYFUNCTION("""COMPUTED_VALUE"""),"PAPEL SULFITE A4 75G 500 FOLHAS")</f>
        <v>PAPEL SULFITE A4 75G 500 FOLHAS</v>
      </c>
      <c r="D26" s="39">
        <f>IFERROR(__xludf.DUMMYFUNCTION("""COMPUTED_VALUE"""),10.0)</f>
        <v>10</v>
      </c>
      <c r="E26" s="34" t="str">
        <f>IFERROR(__xludf.DUMMYFUNCTION("""COMPUTED_VALUE"""),"Saída")</f>
        <v>Saída</v>
      </c>
      <c r="F26" s="34" t="str">
        <f>IFERROR(__xludf.DUMMYFUNCTION("""COMPUTED_VALUE"""),"Recebimento:truck:")</f>
        <v>Recebimento:truck:</v>
      </c>
      <c r="G26" s="39">
        <f t="array" ref="G26">XLOOKUP(B26,'Página9'!A:A,'Página9'!F:F,"")</f>
        <v>163</v>
      </c>
      <c r="H26" s="39">
        <f t="array" ref="H26">XLOOKUP(B26,'Página9'!A:A,'Página9'!C:C,"")</f>
        <v>10</v>
      </c>
      <c r="I26" s="35" t="str">
        <f t="array" ref="I26">XLOOKUP(B26,'Página9'!A:A,'Página9'!G:G,"")</f>
        <v>OK</v>
      </c>
      <c r="J26" s="25" t="str">
        <f t="shared" si="1"/>
        <v>RECEBIMENTO</v>
      </c>
      <c r="K26" s="25" t="str">
        <f>IFERROR(__xludf.DUMMYFUNCTION("""COMPUTED_VALUE"""),"Rubens Ribeiro Lisboa")</f>
        <v>Rubens Ribeiro Lisboa</v>
      </c>
    </row>
    <row r="27">
      <c r="A27" s="37">
        <f>IFERROR(__xludf.DUMMYFUNCTION("""COMPUTED_VALUE"""),45880.0)</f>
        <v>45880</v>
      </c>
      <c r="B27" s="42" t="str">
        <f>IFERROR(__xludf.DUMMYFUNCTION("""COMPUTED_VALUE"""),"EMC015MO0001")</f>
        <v>EMC015MO0001</v>
      </c>
      <c r="C27" s="31" t="str">
        <f>IFERROR(__xludf.DUMMYFUNCTION("""COMPUTED_VALUE"""),"RIBBON CERA PRETO 110MMX300M")</f>
        <v>RIBBON CERA PRETO 110MMX300M</v>
      </c>
      <c r="D27" s="39">
        <f>IFERROR(__xludf.DUMMYFUNCTION("""COMPUTED_VALUE"""),24.0)</f>
        <v>24</v>
      </c>
      <c r="E27" s="34" t="str">
        <f>IFERROR(__xludf.DUMMYFUNCTION("""COMPUTED_VALUE"""),"Saída")</f>
        <v>Saída</v>
      </c>
      <c r="F27" s="34" t="str">
        <f>IFERROR(__xludf.DUMMYFUNCTION("""COMPUTED_VALUE"""),"Recebimento:truck:")</f>
        <v>Recebimento:truck:</v>
      </c>
      <c r="G27" s="39">
        <f t="array" ref="G27">XLOOKUP(B27,'Página9'!A:A,'Página9'!F:F,"")</f>
        <v>390</v>
      </c>
      <c r="H27" s="39">
        <f t="array" ref="H27">XLOOKUP(B27,'Página9'!A:A,'Página9'!C:C,"")</f>
        <v>5</v>
      </c>
      <c r="I27" s="35" t="str">
        <f t="array" ref="I27">XLOOKUP(B27,'Página9'!A:A,'Página9'!G:G,"")</f>
        <v>OK</v>
      </c>
      <c r="J27" s="25" t="str">
        <f t="shared" si="1"/>
        <v>RECEBIMENTO</v>
      </c>
      <c r="K27" s="25" t="str">
        <f>IFERROR(__xludf.DUMMYFUNCTION("""COMPUTED_VALUE"""),"Rubens Ribeiro Lisboa")</f>
        <v>Rubens Ribeiro Lisboa</v>
      </c>
    </row>
    <row r="28">
      <c r="A28" s="37">
        <f>IFERROR(__xludf.DUMMYFUNCTION("""COMPUTED_VALUE"""),45880.0)</f>
        <v>45880</v>
      </c>
      <c r="B28" s="42" t="str">
        <f>IFERROR(__xludf.DUMMYFUNCTION("""COMPUTED_VALUE"""),"MCC015UC0038")</f>
        <v>MCC015UC0038</v>
      </c>
      <c r="C28" s="31" t="str">
        <f>IFERROR(__xludf.DUMMYFUNCTION("""COMPUTED_VALUE"""),"BOBINA SHRINK 500MM")</f>
        <v>BOBINA SHRINK 500MM</v>
      </c>
      <c r="D28" s="39">
        <f>IFERROR(__xludf.DUMMYFUNCTION("""COMPUTED_VALUE"""),1.0)</f>
        <v>1</v>
      </c>
      <c r="E28" s="34" t="str">
        <f>IFERROR(__xludf.DUMMYFUNCTION("""COMPUTED_VALUE"""),"Saída")</f>
        <v>Saída</v>
      </c>
      <c r="F28" s="34" t="str">
        <f>IFERROR(__xludf.DUMMYFUNCTION("""COMPUTED_VALUE"""),"Recebimento:truck:")</f>
        <v>Recebimento:truck:</v>
      </c>
      <c r="G28" s="39">
        <f t="array" ref="G28">XLOOKUP(B28,'Página9'!A:A,'Página9'!F:F,"")</f>
        <v>13</v>
      </c>
      <c r="H28" s="39">
        <f t="array" ref="H28">XLOOKUP(B28,'Página9'!A:A,'Página9'!C:C,"")</f>
        <v>3</v>
      </c>
      <c r="I28" s="35" t="str">
        <f t="array" ref="I28">XLOOKUP(B28,'Página9'!A:A,'Página9'!G:G,"")</f>
        <v>OK</v>
      </c>
      <c r="J28" s="25" t="str">
        <f t="shared" si="1"/>
        <v>RECEBIMENTO</v>
      </c>
      <c r="K28" s="25" t="str">
        <f>IFERROR(__xludf.DUMMYFUNCTION("""COMPUTED_VALUE"""),"Rubens Ribeiro Lisboa")</f>
        <v>Rubens Ribeiro Lisboa</v>
      </c>
    </row>
    <row r="29">
      <c r="A29" s="37">
        <f>IFERROR(__xludf.DUMMYFUNCTION("""COMPUTED_VALUE"""),45880.0)</f>
        <v>45880</v>
      </c>
      <c r="B29" s="42" t="str">
        <f>IFERROR(__xludf.DUMMYFUNCTION("""COMPUTED_VALUE"""),"MCC046UC0215")</f>
        <v>MCC046UC0215</v>
      </c>
      <c r="C29" s="31" t="str">
        <f>IFERROR(__xludf.DUMMYFUNCTION("""COMPUTED_VALUE"""),"CANETA ESFEROGRAFICA ECONOMIC AZUL BIC")</f>
        <v>CANETA ESFEROGRAFICA ECONOMIC AZUL BIC</v>
      </c>
      <c r="D29" s="39">
        <f>IFERROR(__xludf.DUMMYFUNCTION("""COMPUTED_VALUE"""),3.0)</f>
        <v>3</v>
      </c>
      <c r="E29" s="34" t="str">
        <f>IFERROR(__xludf.DUMMYFUNCTION("""COMPUTED_VALUE"""),"Saída")</f>
        <v>Saída</v>
      </c>
      <c r="F29" s="34" t="str">
        <f>IFERROR(__xludf.DUMMYFUNCTION("""COMPUTED_VALUE"""),"Recebimento:truck:")</f>
        <v>Recebimento:truck:</v>
      </c>
      <c r="G29" s="39">
        <f t="array" ref="G29">XLOOKUP(B29,'Página9'!A:A,'Página9'!F:F,"")</f>
        <v>-20</v>
      </c>
      <c r="H29" s="39">
        <f t="array" ref="H29">XLOOKUP(B29,'Página9'!A:A,'Página9'!C:C,"")</f>
        <v>15</v>
      </c>
      <c r="I29" s="35" t="str">
        <f t="array" ref="I29">XLOOKUP(B29,'Página9'!A:A,'Página9'!G:G,"")</f>
        <v>REPOR ESTOQUE</v>
      </c>
      <c r="J29" s="25" t="str">
        <f t="shared" si="1"/>
        <v>RECEBIMENTO</v>
      </c>
      <c r="K29" s="25" t="str">
        <f>IFERROR(__xludf.DUMMYFUNCTION("""COMPUTED_VALUE"""),"Philipe Araujo Barroso")</f>
        <v>Philipe Araujo Barroso</v>
      </c>
    </row>
    <row r="30">
      <c r="A30" s="37">
        <f>IFERROR(__xludf.DUMMYFUNCTION("""COMPUTED_VALUE"""),45881.0)</f>
        <v>45881</v>
      </c>
      <c r="B30" s="42" t="str">
        <f>IFERROR(__xludf.DUMMYFUNCTION("""COMPUTED_VALUE"""),"MCC015UC0045")</f>
        <v>MCC015UC0045</v>
      </c>
      <c r="C30" s="31" t="str">
        <f>IFERROR(__xludf.DUMMYFUNCTION("""COMPUTED_VALUE"""),"FITA ADESIVA 69MM X 100M")</f>
        <v>FITA ADESIVA 69MM X 100M</v>
      </c>
      <c r="D30" s="39">
        <f>IFERROR(__xludf.DUMMYFUNCTION("""COMPUTED_VALUE"""),1.0)</f>
        <v>1</v>
      </c>
      <c r="E30" s="34" t="str">
        <f>IFERROR(__xludf.DUMMYFUNCTION("""COMPUTED_VALUE"""),"Saída")</f>
        <v>Saída</v>
      </c>
      <c r="F30" s="34" t="str">
        <f>IFERROR(__xludf.DUMMYFUNCTION("""COMPUTED_VALUE"""),"Recebimento:truck:")</f>
        <v>Recebimento:truck:</v>
      </c>
      <c r="G30" s="39">
        <f t="array" ref="G30">XLOOKUP(B30,'Página9'!A:A,'Página9'!F:F,"")</f>
        <v>287</v>
      </c>
      <c r="H30" s="39">
        <f t="array" ref="H30">XLOOKUP(B30,'Página9'!A:A,'Página9'!C:C,"")</f>
        <v>20</v>
      </c>
      <c r="I30" s="35" t="str">
        <f t="array" ref="I30">XLOOKUP(B30,'Página9'!A:A,'Página9'!G:G,"")</f>
        <v>OK</v>
      </c>
      <c r="J30" s="25" t="str">
        <f t="shared" si="1"/>
        <v>RECEBIMENTO</v>
      </c>
      <c r="K30" s="25" t="str">
        <f>IFERROR(__xludf.DUMMYFUNCTION("""COMPUTED_VALUE"""),"Paulo Henrique Chagas De Oliveira")</f>
        <v>Paulo Henrique Chagas De Oliveira</v>
      </c>
    </row>
    <row r="31">
      <c r="A31" s="37">
        <f>IFERROR(__xludf.DUMMYFUNCTION("""COMPUTED_VALUE"""),45881.0)</f>
        <v>45881</v>
      </c>
      <c r="B31" s="42" t="str">
        <f>IFERROR(__xludf.DUMMYFUNCTION("""COMPUTED_VALUE"""),"MCC046UC0687")</f>
        <v>MCC046UC0687</v>
      </c>
      <c r="C31" s="31" t="str">
        <f>IFERROR(__xludf.DUMMYFUNCTION("""COMPUTED_VALUE"""),"ETIQUETA COUCHE - 100X100X 1")</f>
        <v>ETIQUETA COUCHE - 100X100X 1</v>
      </c>
      <c r="D31" s="39">
        <f>IFERROR(__xludf.DUMMYFUNCTION("""COMPUTED_VALUE"""),3.0)</f>
        <v>3</v>
      </c>
      <c r="E31" s="34" t="str">
        <f>IFERROR(__xludf.DUMMYFUNCTION("""COMPUTED_VALUE"""),"Saída")</f>
        <v>Saída</v>
      </c>
      <c r="F31" s="34" t="str">
        <f>IFERROR(__xludf.DUMMYFUNCTION("""COMPUTED_VALUE"""),"Recebimento:truck:")</f>
        <v>Recebimento:truck:</v>
      </c>
      <c r="G31" s="39">
        <f t="array" ref="G31">XLOOKUP(B31,'Página9'!A:A,'Página9'!F:F,"")</f>
        <v>335</v>
      </c>
      <c r="H31" s="39">
        <f t="array" ref="H31">XLOOKUP(B31,'Página9'!A:A,'Página9'!C:C,"")</f>
        <v>20</v>
      </c>
      <c r="I31" s="35" t="str">
        <f t="array" ref="I31">XLOOKUP(B31,'Página9'!A:A,'Página9'!G:G,"")</f>
        <v>OK</v>
      </c>
      <c r="J31" s="25" t="str">
        <f t="shared" si="1"/>
        <v>RECEBIMENTO</v>
      </c>
      <c r="K31" s="25" t="str">
        <f>IFERROR(__xludf.DUMMYFUNCTION("""COMPUTED_VALUE"""),"Paulo Henrique Chagas De Oliveira")</f>
        <v>Paulo Henrique Chagas De Oliveira</v>
      </c>
    </row>
    <row r="32">
      <c r="A32" s="37">
        <f>IFERROR(__xludf.DUMMYFUNCTION("""COMPUTED_VALUE"""),45881.0)</f>
        <v>45881</v>
      </c>
      <c r="B32" s="42" t="str">
        <f>IFERROR(__xludf.DUMMYFUNCTION("""COMPUTED_VALUE"""),"MCC015UC0008")</f>
        <v>MCC015UC0008</v>
      </c>
      <c r="C32" s="31" t="str">
        <f>IFERROR(__xludf.DUMMYFUNCTION("""COMPUTED_VALUE"""),"FILME STRETCH 500X25")</f>
        <v>FILME STRETCH 500X25</v>
      </c>
      <c r="D32" s="39">
        <f>IFERROR(__xludf.DUMMYFUNCTION("""COMPUTED_VALUE"""),3.0)</f>
        <v>3</v>
      </c>
      <c r="E32" s="34" t="str">
        <f>IFERROR(__xludf.DUMMYFUNCTION("""COMPUTED_VALUE"""),"Saída")</f>
        <v>Saída</v>
      </c>
      <c r="F32" s="34" t="str">
        <f>IFERROR(__xludf.DUMMYFUNCTION("""COMPUTED_VALUE"""),"CIQ :qualidade:")</f>
        <v>CIQ :qualidade:</v>
      </c>
      <c r="G32" s="39">
        <f t="array" ref="G32">XLOOKUP(B32,'Página9'!A:A,'Página9'!F:F,"")</f>
        <v>-158</v>
      </c>
      <c r="H32" s="39">
        <f t="array" ref="H32">XLOOKUP(B32,'Página9'!A:A,'Página9'!C:C,"")</f>
        <v>40</v>
      </c>
      <c r="I32" s="35" t="str">
        <f t="array" ref="I32">XLOOKUP(B32,'Página9'!A:A,'Página9'!G:G,"")</f>
        <v>REPOR ESTOQUE</v>
      </c>
      <c r="J32" s="25" t="str">
        <f t="shared" si="1"/>
        <v>CIQ</v>
      </c>
      <c r="K32" s="25" t="str">
        <f>IFERROR(__xludf.DUMMYFUNCTION("""COMPUTED_VALUE"""),"Francisco Samuel Trindade Nascimento")</f>
        <v>Francisco Samuel Trindade Nascimento</v>
      </c>
    </row>
    <row r="33">
      <c r="A33" s="37">
        <f>IFERROR(__xludf.DUMMYFUNCTION("""COMPUTED_VALUE"""),45881.0)</f>
        <v>45881</v>
      </c>
      <c r="B33" s="42" t="str">
        <f>IFERROR(__xludf.DUMMYFUNCTION("""COMPUTED_VALUE"""),"MCC015UC0045")</f>
        <v>MCC015UC0045</v>
      </c>
      <c r="C33" s="31" t="str">
        <f>IFERROR(__xludf.DUMMYFUNCTION("""COMPUTED_VALUE"""),"FITA ADESIVA 69MM X 100M")</f>
        <v>FITA ADESIVA 69MM X 100M</v>
      </c>
      <c r="D33" s="39">
        <f>IFERROR(__xludf.DUMMYFUNCTION("""COMPUTED_VALUE"""),24.0)</f>
        <v>24</v>
      </c>
      <c r="E33" s="34" t="str">
        <f>IFERROR(__xludf.DUMMYFUNCTION("""COMPUTED_VALUE"""),"Saída")</f>
        <v>Saída</v>
      </c>
      <c r="F33" s="34" t="str">
        <f>IFERROR(__xludf.DUMMYFUNCTION("""COMPUTED_VALUE"""),"CIQ :qualidade:")</f>
        <v>CIQ :qualidade:</v>
      </c>
      <c r="G33" s="39">
        <f t="array" ref="G33">XLOOKUP(B33,'Página9'!A:A,'Página9'!F:F,"")</f>
        <v>287</v>
      </c>
      <c r="H33" s="39">
        <f t="array" ref="H33">XLOOKUP(B33,'Página9'!A:A,'Página9'!C:C,"")</f>
        <v>20</v>
      </c>
      <c r="I33" s="35" t="str">
        <f t="array" ref="I33">XLOOKUP(B33,'Página9'!A:A,'Página9'!G:G,"")</f>
        <v>OK</v>
      </c>
      <c r="J33" s="25" t="str">
        <f t="shared" si="1"/>
        <v>CIQ</v>
      </c>
      <c r="K33" s="25" t="str">
        <f>IFERROR(__xludf.DUMMYFUNCTION("""COMPUTED_VALUE"""),"Francisco Antonio Pinheiro De Sousa")</f>
        <v>Francisco Antonio Pinheiro De Sousa</v>
      </c>
    </row>
    <row r="34">
      <c r="A34" s="37">
        <f>IFERROR(__xludf.DUMMYFUNCTION("""COMPUTED_VALUE"""),45881.0)</f>
        <v>45881</v>
      </c>
      <c r="B34" s="42" t="str">
        <f>IFERROR(__xludf.DUMMYFUNCTION("""COMPUTED_VALUE"""),"MCC046UC0216")</f>
        <v>MCC046UC0216</v>
      </c>
      <c r="C34" s="31" t="str">
        <f>IFERROR(__xludf.DUMMYFUNCTION("""COMPUTED_VALUE"""),"CANETA ESFEROGRAFICA ECONOMIC PRETA BIC")</f>
        <v>CANETA ESFEROGRAFICA ECONOMIC PRETA BIC</v>
      </c>
      <c r="D34" s="39">
        <f>IFERROR(__xludf.DUMMYFUNCTION("""COMPUTED_VALUE"""),2.0)</f>
        <v>2</v>
      </c>
      <c r="E34" s="34" t="str">
        <f>IFERROR(__xludf.DUMMYFUNCTION("""COMPUTED_VALUE"""),"Saída")</f>
        <v>Saída</v>
      </c>
      <c r="F34" s="34" t="str">
        <f>IFERROR(__xludf.DUMMYFUNCTION("""COMPUTED_VALUE"""),"CIQ :qualidade:")</f>
        <v>CIQ :qualidade:</v>
      </c>
      <c r="G34" s="39">
        <f t="array" ref="G34">XLOOKUP(B34,'Página9'!A:A,'Página9'!F:F,"")</f>
        <v>89</v>
      </c>
      <c r="H34" s="39">
        <f t="array" ref="H34">XLOOKUP(B34,'Página9'!A:A,'Página9'!C:C,"")</f>
        <v>15</v>
      </c>
      <c r="I34" s="35" t="str">
        <f t="array" ref="I34">XLOOKUP(B34,'Página9'!A:A,'Página9'!G:G,"")</f>
        <v>OK</v>
      </c>
      <c r="J34" s="25" t="str">
        <f t="shared" si="1"/>
        <v>CIQ</v>
      </c>
      <c r="K34" s="25" t="str">
        <f>IFERROR(__xludf.DUMMYFUNCTION("""COMPUTED_VALUE"""),"Matheus De Almeida Rodrigues")</f>
        <v>Matheus De Almeida Rodrigues</v>
      </c>
    </row>
    <row r="35">
      <c r="A35" s="37">
        <f>IFERROR(__xludf.DUMMYFUNCTION("""COMPUTED_VALUE"""),45881.0)</f>
        <v>45881</v>
      </c>
      <c r="B35" s="42" t="str">
        <f>IFERROR(__xludf.DUMMYFUNCTION("""COMPUTED_VALUE"""),"MCC046UC0398")</f>
        <v>MCC046UC0398</v>
      </c>
      <c r="C35" s="31" t="str">
        <f>IFERROR(__xludf.DUMMYFUNCTION("""COMPUTED_VALUE"""),"GRAMPO 26/6 COBREADO CX.C/5000 BACCHI")</f>
        <v>GRAMPO 26/6 COBREADO CX.C/5000 BACCHI</v>
      </c>
      <c r="D35" s="39">
        <f>IFERROR(__xludf.DUMMYFUNCTION("""COMPUTED_VALUE"""),1.0)</f>
        <v>1</v>
      </c>
      <c r="E35" s="34" t="str">
        <f>IFERROR(__xludf.DUMMYFUNCTION("""COMPUTED_VALUE"""),"Saída")</f>
        <v>Saída</v>
      </c>
      <c r="F35" s="34" t="str">
        <f>IFERROR(__xludf.DUMMYFUNCTION("""COMPUTED_VALUE"""),"Estoque:package:")</f>
        <v>Estoque:package:</v>
      </c>
      <c r="G35" s="39">
        <f t="array" ref="G35">XLOOKUP(B35,'Página9'!A:A,'Página9'!F:F,"")</f>
        <v>-13</v>
      </c>
      <c r="H35" s="39">
        <f t="array" ref="H35">XLOOKUP(B35,'Página9'!A:A,'Página9'!C:C,"")</f>
        <v>3</v>
      </c>
      <c r="I35" s="35" t="str">
        <f t="array" ref="I35">XLOOKUP(B35,'Página9'!A:A,'Página9'!G:G,"")</f>
        <v>REPOR ESTOQUE</v>
      </c>
      <c r="J35" s="25" t="str">
        <f t="shared" si="1"/>
        <v>ESTOQUE</v>
      </c>
      <c r="K35" s="25" t="str">
        <f>IFERROR(__xludf.DUMMYFUNCTION("""COMPUTED_VALUE"""),"Jose Antoniel Silva Mesquita")</f>
        <v>Jose Antoniel Silva Mesquita</v>
      </c>
    </row>
    <row r="36">
      <c r="A36" s="37">
        <f>IFERROR(__xludf.DUMMYFUNCTION("""COMPUTED_VALUE"""),45882.0)</f>
        <v>45882</v>
      </c>
      <c r="B36" s="42" t="str">
        <f>IFERROR(__xludf.DUMMYFUNCTION("""COMPUTED_VALUE"""),"MCC046UC0215")</f>
        <v>MCC046UC0215</v>
      </c>
      <c r="C36" s="31" t="str">
        <f>IFERROR(__xludf.DUMMYFUNCTION("""COMPUTED_VALUE"""),"CANETA ESFEROGRAFICA ECONOMIC AZUL BIC")</f>
        <v>CANETA ESFEROGRAFICA ECONOMIC AZUL BIC</v>
      </c>
      <c r="D36" s="39">
        <f>IFERROR(__xludf.DUMMYFUNCTION("""COMPUTED_VALUE"""),5.0)</f>
        <v>5</v>
      </c>
      <c r="E36" s="34" t="str">
        <f>IFERROR(__xludf.DUMMYFUNCTION("""COMPUTED_VALUE"""),"Saída")</f>
        <v>Saída</v>
      </c>
      <c r="F36" s="34" t="str">
        <f>IFERROR(__xludf.DUMMYFUNCTION("""COMPUTED_VALUE"""),"Recebimento:truck:")</f>
        <v>Recebimento:truck:</v>
      </c>
      <c r="G36" s="39">
        <f t="array" ref="G36">XLOOKUP(B36,'Página9'!A:A,'Página9'!F:F,"")</f>
        <v>-20</v>
      </c>
      <c r="H36" s="39">
        <f t="array" ref="H36">XLOOKUP(B36,'Página9'!A:A,'Página9'!C:C,"")</f>
        <v>15</v>
      </c>
      <c r="I36" s="35" t="str">
        <f t="array" ref="I36">XLOOKUP(B36,'Página9'!A:A,'Página9'!G:G,"")</f>
        <v>REPOR ESTOQUE</v>
      </c>
      <c r="J36" s="25" t="str">
        <f t="shared" si="1"/>
        <v>RECEBIMENTO</v>
      </c>
      <c r="K36" s="25" t="str">
        <f>IFERROR(__xludf.DUMMYFUNCTION("""COMPUTED_VALUE"""),"Ana Virginia De Castro Costa")</f>
        <v>Ana Virginia De Castro Costa</v>
      </c>
    </row>
    <row r="37">
      <c r="A37" s="37">
        <f>IFERROR(__xludf.DUMMYFUNCTION("""COMPUTED_VALUE"""),45882.0)</f>
        <v>45882</v>
      </c>
      <c r="B37" s="42" t="str">
        <f>IFERROR(__xludf.DUMMYFUNCTION("""COMPUTED_VALUE"""),"MCC046UC0687")</f>
        <v>MCC046UC0687</v>
      </c>
      <c r="C37" s="31" t="str">
        <f>IFERROR(__xludf.DUMMYFUNCTION("""COMPUTED_VALUE"""),"ETIQUETA COUCHE - 100X100X 1")</f>
        <v>ETIQUETA COUCHE - 100X100X 1</v>
      </c>
      <c r="D37" s="39">
        <f>IFERROR(__xludf.DUMMYFUNCTION("""COMPUTED_VALUE"""),2.0)</f>
        <v>2</v>
      </c>
      <c r="E37" s="34" t="str">
        <f>IFERROR(__xludf.DUMMYFUNCTION("""COMPUTED_VALUE"""),"Saída")</f>
        <v>Saída</v>
      </c>
      <c r="F37" s="34" t="str">
        <f>IFERROR(__xludf.DUMMYFUNCTION("""COMPUTED_VALUE"""),"Estoque:package:")</f>
        <v>Estoque:package:</v>
      </c>
      <c r="G37" s="39">
        <f t="array" ref="G37">XLOOKUP(B37,'Página9'!A:A,'Página9'!F:F,"")</f>
        <v>335</v>
      </c>
      <c r="H37" s="39">
        <f t="array" ref="H37">XLOOKUP(B37,'Página9'!A:A,'Página9'!C:C,"")</f>
        <v>20</v>
      </c>
      <c r="I37" s="35" t="str">
        <f t="array" ref="I37">XLOOKUP(B37,'Página9'!A:A,'Página9'!G:G,"")</f>
        <v>OK</v>
      </c>
      <c r="J37" s="25" t="str">
        <f t="shared" si="1"/>
        <v>ESTOQUE</v>
      </c>
      <c r="K37" s="25" t="str">
        <f>IFERROR(__xludf.DUMMYFUNCTION("""COMPUTED_VALUE"""),"Paulo Henrique Chagas De Oliveira")</f>
        <v>Paulo Henrique Chagas De Oliveira</v>
      </c>
    </row>
    <row r="38">
      <c r="A38" s="37">
        <f>IFERROR(__xludf.DUMMYFUNCTION("""COMPUTED_VALUE"""),45882.0)</f>
        <v>45882</v>
      </c>
      <c r="B38" s="42" t="str">
        <f>IFERROR(__xludf.DUMMYFUNCTION("""COMPUTED_VALUE"""),"MCC046UC0398")</f>
        <v>MCC046UC0398</v>
      </c>
      <c r="C38" s="31" t="str">
        <f>IFERROR(__xludf.DUMMYFUNCTION("""COMPUTED_VALUE"""),"GRAMPO 26/6 COBREADO CX.C/5000 BACCHI")</f>
        <v>GRAMPO 26/6 COBREADO CX.C/5000 BACCHI</v>
      </c>
      <c r="D38" s="39">
        <f>IFERROR(__xludf.DUMMYFUNCTION("""COMPUTED_VALUE"""),1.0)</f>
        <v>1</v>
      </c>
      <c r="E38" s="34" t="str">
        <f>IFERROR(__xludf.DUMMYFUNCTION("""COMPUTED_VALUE"""),"Saída")</f>
        <v>Saída</v>
      </c>
      <c r="F38" s="34" t="str">
        <f>IFERROR(__xludf.DUMMYFUNCTION("""COMPUTED_VALUE"""),"Recebimento:truck:")</f>
        <v>Recebimento:truck:</v>
      </c>
      <c r="G38" s="39">
        <f t="array" ref="G38">XLOOKUP(B38,'Página9'!A:A,'Página9'!F:F,"")</f>
        <v>-13</v>
      </c>
      <c r="H38" s="39">
        <f t="array" ref="H38">XLOOKUP(B38,'Página9'!A:A,'Página9'!C:C,"")</f>
        <v>3</v>
      </c>
      <c r="I38" s="35" t="str">
        <f t="array" ref="I38">XLOOKUP(B38,'Página9'!A:A,'Página9'!G:G,"")</f>
        <v>REPOR ESTOQUE</v>
      </c>
      <c r="J38" s="25" t="str">
        <f t="shared" si="1"/>
        <v>RECEBIMENTO</v>
      </c>
      <c r="K38" s="25" t="str">
        <f>IFERROR(__xludf.DUMMYFUNCTION("""COMPUTED_VALUE"""),"Ana Virginia De Castro Costa")</f>
        <v>Ana Virginia De Castro Costa</v>
      </c>
    </row>
    <row r="39">
      <c r="A39" s="37">
        <f>IFERROR(__xludf.DUMMYFUNCTION("""COMPUTED_VALUE"""),45882.0)</f>
        <v>45882</v>
      </c>
      <c r="B39" s="42" t="str">
        <f>IFERROR(__xludf.DUMMYFUNCTION("""COMPUTED_VALUE"""),"MCC046UC0687")</f>
        <v>MCC046UC0687</v>
      </c>
      <c r="C39" s="31" t="str">
        <f>IFERROR(__xludf.DUMMYFUNCTION("""COMPUTED_VALUE"""),"ETIQUETA COUCHE - 100X100X 1")</f>
        <v>ETIQUETA COUCHE - 100X100X 1</v>
      </c>
      <c r="D39" s="39">
        <f>IFERROR(__xludf.DUMMYFUNCTION("""COMPUTED_VALUE"""),1.0)</f>
        <v>1</v>
      </c>
      <c r="E39" s="34" t="str">
        <f>IFERROR(__xludf.DUMMYFUNCTION("""COMPUTED_VALUE"""),"Saída")</f>
        <v>Saída</v>
      </c>
      <c r="F39" s="34" t="str">
        <f>IFERROR(__xludf.DUMMYFUNCTION("""COMPUTED_VALUE"""),"Recebimento:truck:")</f>
        <v>Recebimento:truck:</v>
      </c>
      <c r="G39" s="39">
        <f t="array" ref="G39">XLOOKUP(B39,'Página9'!A:A,'Página9'!F:F,"")</f>
        <v>335</v>
      </c>
      <c r="H39" s="39">
        <f t="array" ref="H39">XLOOKUP(B39,'Página9'!A:A,'Página9'!C:C,"")</f>
        <v>20</v>
      </c>
      <c r="I39" s="35" t="str">
        <f t="array" ref="I39">XLOOKUP(B39,'Página9'!A:A,'Página9'!G:G,"")</f>
        <v>OK</v>
      </c>
      <c r="J39" s="25" t="str">
        <f t="shared" si="1"/>
        <v>RECEBIMENTO</v>
      </c>
      <c r="K39" s="25" t="str">
        <f>IFERROR(__xludf.DUMMYFUNCTION("""COMPUTED_VALUE"""),"Suellen Aguiar Da Silva")</f>
        <v>Suellen Aguiar Da Silva</v>
      </c>
    </row>
    <row r="40">
      <c r="A40" s="37">
        <f>IFERROR(__xludf.DUMMYFUNCTION("""COMPUTED_VALUE"""),45882.0)</f>
        <v>45882</v>
      </c>
      <c r="B40" s="42" t="str">
        <f>IFERROR(__xludf.DUMMYFUNCTION("""COMPUTED_VALUE"""),"MCC046UC0082")</f>
        <v>MCC046UC0082</v>
      </c>
      <c r="C40" s="31" t="str">
        <f>IFERROR(__xludf.DUMMYFUNCTION("""COMPUTED_VALUE"""),"PAPEL SULFITE A4 75G 500 FOLHAS")</f>
        <v>PAPEL SULFITE A4 75G 500 FOLHAS</v>
      </c>
      <c r="D40" s="39">
        <f>IFERROR(__xludf.DUMMYFUNCTION("""COMPUTED_VALUE"""),2.0)</f>
        <v>2</v>
      </c>
      <c r="E40" s="34" t="str">
        <f>IFERROR(__xludf.DUMMYFUNCTION("""COMPUTED_VALUE"""),"Saída")</f>
        <v>Saída</v>
      </c>
      <c r="F40" s="34" t="str">
        <f>IFERROR(__xludf.DUMMYFUNCTION("""COMPUTED_VALUE"""),"Expedição:ex-escolas-exponenciais:")</f>
        <v>Expedição:ex-escolas-exponenciais:</v>
      </c>
      <c r="G40" s="39">
        <f t="array" ref="G40">XLOOKUP(B40,'Página9'!A:A,'Página9'!F:F,"")</f>
        <v>163</v>
      </c>
      <c r="H40" s="39">
        <f t="array" ref="H40">XLOOKUP(B40,'Página9'!A:A,'Página9'!C:C,"")</f>
        <v>10</v>
      </c>
      <c r="I40" s="35" t="str">
        <f t="array" ref="I40">XLOOKUP(B40,'Página9'!A:A,'Página9'!G:G,"")</f>
        <v>OK</v>
      </c>
      <c r="J40" s="25" t="str">
        <f t="shared" si="1"/>
        <v>EXPEDIÇÃO</v>
      </c>
      <c r="K40" s="25" t="str">
        <f>IFERROR(__xludf.DUMMYFUNCTION("""COMPUTED_VALUE"""),"Jose Antoniel Silva Mesquita")</f>
        <v>Jose Antoniel Silva Mesquita</v>
      </c>
    </row>
    <row r="41">
      <c r="A41" s="37">
        <f>IFERROR(__xludf.DUMMYFUNCTION("""COMPUTED_VALUE"""),45882.0)</f>
        <v>45882</v>
      </c>
      <c r="B41" s="42" t="str">
        <f>IFERROR(__xludf.DUMMYFUNCTION("""COMPUTED_VALUE"""),"MCC046UC0215")</f>
        <v>MCC046UC0215</v>
      </c>
      <c r="C41" s="31" t="str">
        <f>IFERROR(__xludf.DUMMYFUNCTION("""COMPUTED_VALUE"""),"CANETA ESFEROGRAFICA ECONOMIC AZUL BIC")</f>
        <v>CANETA ESFEROGRAFICA ECONOMIC AZUL BIC</v>
      </c>
      <c r="D41" s="39">
        <f>IFERROR(__xludf.DUMMYFUNCTION("""COMPUTED_VALUE"""),2.0)</f>
        <v>2</v>
      </c>
      <c r="E41" s="34" t="str">
        <f>IFERROR(__xludf.DUMMYFUNCTION("""COMPUTED_VALUE"""),"Saída")</f>
        <v>Saída</v>
      </c>
      <c r="F41" s="34" t="str">
        <f>IFERROR(__xludf.DUMMYFUNCTION("""COMPUTED_VALUE"""),"Estoque:package:")</f>
        <v>Estoque:package:</v>
      </c>
      <c r="G41" s="39">
        <f t="array" ref="G41">XLOOKUP(B41,'Página9'!A:A,'Página9'!F:F,"")</f>
        <v>-20</v>
      </c>
      <c r="H41" s="39">
        <f t="array" ref="H41">XLOOKUP(B41,'Página9'!A:A,'Página9'!C:C,"")</f>
        <v>15</v>
      </c>
      <c r="I41" s="35" t="str">
        <f t="array" ref="I41">XLOOKUP(B41,'Página9'!A:A,'Página9'!G:G,"")</f>
        <v>REPOR ESTOQUE</v>
      </c>
      <c r="J41" s="25" t="str">
        <f t="shared" si="1"/>
        <v>ESTOQUE</v>
      </c>
      <c r="K41" s="25" t="str">
        <f>IFERROR(__xludf.DUMMYFUNCTION("""COMPUTED_VALUE"""),"Jose Antoniel Silva Mesquita")</f>
        <v>Jose Antoniel Silva Mesquita</v>
      </c>
    </row>
    <row r="42">
      <c r="A42" s="37">
        <f>IFERROR(__xludf.DUMMYFUNCTION("""COMPUTED_VALUE"""),45883.0)</f>
        <v>45883</v>
      </c>
      <c r="B42" s="42" t="str">
        <f>IFERROR(__xludf.DUMMYFUNCTION("""COMPUTED_VALUE"""),"MCC049UC0601")</f>
        <v>MCC049UC0601</v>
      </c>
      <c r="C42" s="31" t="str">
        <f>IFERROR(__xludf.DUMMYFUNCTION("""COMPUTED_VALUE"""),"CANETA ESFEROGRAFICA COMPACTOR VERMELHA")</f>
        <v>CANETA ESFEROGRAFICA COMPACTOR VERMELHA</v>
      </c>
      <c r="D42" s="39">
        <f>IFERROR(__xludf.DUMMYFUNCTION("""COMPUTED_VALUE"""),3.0)</f>
        <v>3</v>
      </c>
      <c r="E42" s="34" t="str">
        <f>IFERROR(__xludf.DUMMYFUNCTION("""COMPUTED_VALUE"""),"Saída")</f>
        <v>Saída</v>
      </c>
      <c r="F42" s="34" t="str">
        <f>IFERROR(__xludf.DUMMYFUNCTION("""COMPUTED_VALUE"""),"PMM:livro-voador:")</f>
        <v>PMM:livro-voador:</v>
      </c>
      <c r="G42" s="39" t="str">
        <f t="array" ref="G42">XLOOKUP(B42,'Página9'!A:A,'Página9'!F:F,"")</f>
        <v/>
      </c>
      <c r="H42" s="39" t="str">
        <f t="array" ref="H42">XLOOKUP(B42,'Página9'!A:A,'Página9'!C:C,"")</f>
        <v/>
      </c>
      <c r="I42" s="35" t="str">
        <f t="array" ref="I42">XLOOKUP(B42,'Página9'!A:A,'Página9'!G:G,"")</f>
        <v/>
      </c>
      <c r="J42" s="25" t="str">
        <f t="shared" si="1"/>
        <v>PMM</v>
      </c>
      <c r="K42" s="25" t="str">
        <f>IFERROR(__xludf.DUMMYFUNCTION("""COMPUTED_VALUE"""),"Paulo Henrique Chagas De Oliveira")</f>
        <v>Paulo Henrique Chagas De Oliveira</v>
      </c>
    </row>
    <row r="43">
      <c r="A43" s="37">
        <f>IFERROR(__xludf.DUMMYFUNCTION("""COMPUTED_VALUE"""),45883.0)</f>
        <v>45883</v>
      </c>
      <c r="B43" s="42" t="str">
        <f>IFERROR(__xludf.DUMMYFUNCTION("""COMPUTED_VALUE"""),"MCC046UC0216")</f>
        <v>MCC046UC0216</v>
      </c>
      <c r="C43" s="31" t="str">
        <f>IFERROR(__xludf.DUMMYFUNCTION("""COMPUTED_VALUE"""),"CANETA ESFEROGRAFICA ECONOMIC PRETA BIC")</f>
        <v>CANETA ESFEROGRAFICA ECONOMIC PRETA BIC</v>
      </c>
      <c r="D43" s="39">
        <f>IFERROR(__xludf.DUMMYFUNCTION("""COMPUTED_VALUE"""),1.0)</f>
        <v>1</v>
      </c>
      <c r="E43" s="34" t="str">
        <f>IFERROR(__xludf.DUMMYFUNCTION("""COMPUTED_VALUE"""),"Saída")</f>
        <v>Saída</v>
      </c>
      <c r="F43" s="34" t="str">
        <f>IFERROR(__xludf.DUMMYFUNCTION("""COMPUTED_VALUE"""),"Expedição:ex-escolas-exponenciais:")</f>
        <v>Expedição:ex-escolas-exponenciais:</v>
      </c>
      <c r="G43" s="39">
        <f t="array" ref="G43">XLOOKUP(B43,'Página9'!A:A,'Página9'!F:F,"")</f>
        <v>89</v>
      </c>
      <c r="H43" s="39">
        <f t="array" ref="H43">XLOOKUP(B43,'Página9'!A:A,'Página9'!C:C,"")</f>
        <v>15</v>
      </c>
      <c r="I43" s="35" t="str">
        <f t="array" ref="I43">XLOOKUP(B43,'Página9'!A:A,'Página9'!G:G,"")</f>
        <v>OK</v>
      </c>
      <c r="J43" s="25" t="str">
        <f t="shared" si="1"/>
        <v>EXPEDIÇÃO</v>
      </c>
      <c r="K43" s="25" t="str">
        <f>IFERROR(__xludf.DUMMYFUNCTION("""COMPUTED_VALUE"""),"Cosme Marcio Barros Barbosa")</f>
        <v>Cosme Marcio Barros Barbosa</v>
      </c>
    </row>
    <row r="44">
      <c r="A44" s="37">
        <f>IFERROR(__xludf.DUMMYFUNCTION("""COMPUTED_VALUE"""),45883.0)</f>
        <v>45883</v>
      </c>
      <c r="B44" s="42" t="str">
        <f>IFERROR(__xludf.DUMMYFUNCTION("""COMPUTED_VALUE"""),"MCC049UC0601")</f>
        <v>MCC049UC0601</v>
      </c>
      <c r="C44" s="31" t="str">
        <f>IFERROR(__xludf.DUMMYFUNCTION("""COMPUTED_VALUE"""),"CANETA ESFEROGRAFICA COMPACTOR VERMELHA")</f>
        <v>CANETA ESFEROGRAFICA COMPACTOR VERMELHA</v>
      </c>
      <c r="D44" s="39">
        <f>IFERROR(__xludf.DUMMYFUNCTION("""COMPUTED_VALUE"""),1.0)</f>
        <v>1</v>
      </c>
      <c r="E44" s="34" t="str">
        <f>IFERROR(__xludf.DUMMYFUNCTION("""COMPUTED_VALUE"""),"Saída")</f>
        <v>Saída</v>
      </c>
      <c r="F44" s="34" t="str">
        <f>IFERROR(__xludf.DUMMYFUNCTION("""COMPUTED_VALUE"""),"Recebimento:truck:")</f>
        <v>Recebimento:truck:</v>
      </c>
      <c r="G44" s="39" t="str">
        <f t="array" ref="G44">XLOOKUP(B44,'Página9'!A:A,'Página9'!F:F,"")</f>
        <v/>
      </c>
      <c r="H44" s="39" t="str">
        <f t="array" ref="H44">XLOOKUP(B44,'Página9'!A:A,'Página9'!C:C,"")</f>
        <v/>
      </c>
      <c r="I44" s="35" t="str">
        <f t="array" ref="I44">XLOOKUP(B44,'Página9'!A:A,'Página9'!G:G,"")</f>
        <v/>
      </c>
      <c r="J44" s="25" t="str">
        <f t="shared" si="1"/>
        <v>RECEBIMENTO</v>
      </c>
      <c r="K44" s="25" t="str">
        <f>IFERROR(__xludf.DUMMYFUNCTION("""COMPUTED_VALUE"""),"Cosme Marcio Barros Barbosa")</f>
        <v>Cosme Marcio Barros Barbosa</v>
      </c>
    </row>
    <row r="45">
      <c r="A45" s="37">
        <f>IFERROR(__xludf.DUMMYFUNCTION("""COMPUTED_VALUE"""),45883.0)</f>
        <v>45883</v>
      </c>
      <c r="B45" s="42" t="str">
        <f>IFERROR(__xludf.DUMMYFUNCTION("""COMPUTED_VALUE"""),"MCC015UC0045")</f>
        <v>MCC015UC0045</v>
      </c>
      <c r="C45" s="31" t="str">
        <f>IFERROR(__xludf.DUMMYFUNCTION("""COMPUTED_VALUE"""),"FITA ADESIVA 69MM X 100M")</f>
        <v>FITA ADESIVA 69MM X 100M</v>
      </c>
      <c r="D45" s="39">
        <f>IFERROR(__xludf.DUMMYFUNCTION("""COMPUTED_VALUE"""),24.0)</f>
        <v>24</v>
      </c>
      <c r="E45" s="34" t="str">
        <f>IFERROR(__xludf.DUMMYFUNCTION("""COMPUTED_VALUE"""),"Saída")</f>
        <v>Saída</v>
      </c>
      <c r="F45" s="34" t="str">
        <f>IFERROR(__xludf.DUMMYFUNCTION("""COMPUTED_VALUE"""),"Estoque:package:")</f>
        <v>Estoque:package:</v>
      </c>
      <c r="G45" s="39">
        <f t="array" ref="G45">XLOOKUP(B45,'Página9'!A:A,'Página9'!F:F,"")</f>
        <v>287</v>
      </c>
      <c r="H45" s="39">
        <f t="array" ref="H45">XLOOKUP(B45,'Página9'!A:A,'Página9'!C:C,"")</f>
        <v>20</v>
      </c>
      <c r="I45" s="35" t="str">
        <f t="array" ref="I45">XLOOKUP(B45,'Página9'!A:A,'Página9'!G:G,"")</f>
        <v>OK</v>
      </c>
      <c r="J45" s="25" t="str">
        <f t="shared" si="1"/>
        <v>ESTOQUE</v>
      </c>
      <c r="K45" s="25" t="str">
        <f>IFERROR(__xludf.DUMMYFUNCTION("""COMPUTED_VALUE"""),"Cosme Marcio Barros Barbosa")</f>
        <v>Cosme Marcio Barros Barbosa</v>
      </c>
    </row>
    <row r="46">
      <c r="A46" s="37">
        <f>IFERROR(__xludf.DUMMYFUNCTION("""COMPUTED_VALUE"""),45883.0)</f>
        <v>45883</v>
      </c>
      <c r="B46" s="42" t="str">
        <f>IFERROR(__xludf.DUMMYFUNCTION("""COMPUTED_VALUE"""),"MCC046UC0215")</f>
        <v>MCC046UC0215</v>
      </c>
      <c r="C46" s="31" t="str">
        <f>IFERROR(__xludf.DUMMYFUNCTION("""COMPUTED_VALUE"""),"CANETA ESFEROGRAFICA ECONOMIC AZUL BIC")</f>
        <v>CANETA ESFEROGRAFICA ECONOMIC AZUL BIC</v>
      </c>
      <c r="D46" s="39">
        <f>IFERROR(__xludf.DUMMYFUNCTION("""COMPUTED_VALUE"""),10.0)</f>
        <v>10</v>
      </c>
      <c r="E46" s="34" t="str">
        <f>IFERROR(__xludf.DUMMYFUNCTION("""COMPUTED_VALUE"""),"Saída")</f>
        <v>Saída</v>
      </c>
      <c r="F46" s="34" t="str">
        <f>IFERROR(__xludf.DUMMYFUNCTION("""COMPUTED_VALUE"""),"Estoque:package:")</f>
        <v>Estoque:package:</v>
      </c>
      <c r="G46" s="39">
        <f t="array" ref="G46">XLOOKUP(B46,'Página9'!A:A,'Página9'!F:F,"")</f>
        <v>-20</v>
      </c>
      <c r="H46" s="39">
        <f t="array" ref="H46">XLOOKUP(B46,'Página9'!A:A,'Página9'!C:C,"")</f>
        <v>15</v>
      </c>
      <c r="I46" s="35" t="str">
        <f t="array" ref="I46">XLOOKUP(B46,'Página9'!A:A,'Página9'!G:G,"")</f>
        <v>REPOR ESTOQUE</v>
      </c>
      <c r="J46" s="25" t="str">
        <f t="shared" si="1"/>
        <v>ESTOQUE</v>
      </c>
      <c r="K46" s="25" t="str">
        <f>IFERROR(__xludf.DUMMYFUNCTION("""COMPUTED_VALUE"""),"Suellen Aguiar Da Silva")</f>
        <v>Suellen Aguiar Da Silva</v>
      </c>
    </row>
    <row r="47">
      <c r="A47" s="37">
        <f>IFERROR(__xludf.DUMMYFUNCTION("""COMPUTED_VALUE"""),45887.0)</f>
        <v>45887</v>
      </c>
      <c r="B47" s="42" t="str">
        <f>IFERROR(__xludf.DUMMYFUNCTION("""COMPUTED_VALUE"""),"MCC046UC0215")</f>
        <v>MCC046UC0215</v>
      </c>
      <c r="C47" s="31" t="str">
        <f>IFERROR(__xludf.DUMMYFUNCTION("""COMPUTED_VALUE"""),"CANETA ESFEROGRAFICA ECONOMIC AZUL BIC")</f>
        <v>CANETA ESFEROGRAFICA ECONOMIC AZUL BIC</v>
      </c>
      <c r="D47" s="39">
        <f>IFERROR(__xludf.DUMMYFUNCTION("""COMPUTED_VALUE"""),4.0)</f>
        <v>4</v>
      </c>
      <c r="E47" s="34" t="str">
        <f>IFERROR(__xludf.DUMMYFUNCTION("""COMPUTED_VALUE"""),"Saída")</f>
        <v>Saída</v>
      </c>
      <c r="F47" s="34" t="str">
        <f>IFERROR(__xludf.DUMMYFUNCTION("""COMPUTED_VALUE"""),"Recebimento:truck:")</f>
        <v>Recebimento:truck:</v>
      </c>
      <c r="G47" s="39">
        <f t="array" ref="G47">XLOOKUP(B47,'Página9'!A:A,'Página9'!F:F,"")</f>
        <v>-20</v>
      </c>
      <c r="H47" s="39">
        <f t="array" ref="H47">XLOOKUP(B47,'Página9'!A:A,'Página9'!C:C,"")</f>
        <v>15</v>
      </c>
      <c r="I47" s="35" t="str">
        <f t="array" ref="I47">XLOOKUP(B47,'Página9'!A:A,'Página9'!G:G,"")</f>
        <v>REPOR ESTOQUE</v>
      </c>
      <c r="J47" s="25" t="str">
        <f t="shared" si="1"/>
        <v>RECEBIMENTO</v>
      </c>
      <c r="K47" s="25" t="str">
        <f>IFERROR(__xludf.DUMMYFUNCTION("""COMPUTED_VALUE"""),"Matheus De Almeida Rodrigues")</f>
        <v>Matheus De Almeida Rodrigues</v>
      </c>
    </row>
    <row r="48">
      <c r="A48" s="37">
        <f>IFERROR(__xludf.DUMMYFUNCTION("""COMPUTED_VALUE"""),45887.0)</f>
        <v>45887</v>
      </c>
      <c r="B48" s="42" t="str">
        <f>IFERROR(__xludf.DUMMYFUNCTION("""COMPUTED_VALUE"""),"MCC015UC0045")</f>
        <v>MCC015UC0045</v>
      </c>
      <c r="C48" s="31" t="str">
        <f>IFERROR(__xludf.DUMMYFUNCTION("""COMPUTED_VALUE"""),"FITA ADESIVA 69MM X 100M")</f>
        <v>FITA ADESIVA 69MM X 100M</v>
      </c>
      <c r="D48" s="39">
        <f>IFERROR(__xludf.DUMMYFUNCTION("""COMPUTED_VALUE"""),12.0)</f>
        <v>12</v>
      </c>
      <c r="E48" s="34" t="str">
        <f>IFERROR(__xludf.DUMMYFUNCTION("""COMPUTED_VALUE"""),"Saída")</f>
        <v>Saída</v>
      </c>
      <c r="F48" s="34" t="str">
        <f>IFERROR(__xludf.DUMMYFUNCTION("""COMPUTED_VALUE"""),"Estoque:package:")</f>
        <v>Estoque:package:</v>
      </c>
      <c r="G48" s="39">
        <f t="array" ref="G48">XLOOKUP(B48,'Página9'!A:A,'Página9'!F:F,"")</f>
        <v>287</v>
      </c>
      <c r="H48" s="39">
        <f t="array" ref="H48">XLOOKUP(B48,'Página9'!A:A,'Página9'!C:C,"")</f>
        <v>20</v>
      </c>
      <c r="I48" s="35" t="str">
        <f t="array" ref="I48">XLOOKUP(B48,'Página9'!A:A,'Página9'!G:G,"")</f>
        <v>OK</v>
      </c>
      <c r="J48" s="25" t="str">
        <f t="shared" si="1"/>
        <v>ESTOQUE</v>
      </c>
      <c r="K48" s="25" t="str">
        <f>IFERROR(__xludf.DUMMYFUNCTION("""COMPUTED_VALUE"""),"Francisco Antonio Pinheiro De Sousa")</f>
        <v>Francisco Antonio Pinheiro De Sousa</v>
      </c>
    </row>
    <row r="49">
      <c r="A49" s="37">
        <f>IFERROR(__xludf.DUMMYFUNCTION("""COMPUTED_VALUE"""),45887.0)</f>
        <v>45887</v>
      </c>
      <c r="B49" s="42" t="str">
        <f>IFERROR(__xludf.DUMMYFUNCTION("""COMPUTED_VALUE"""),"MCC015UC0045")</f>
        <v>MCC015UC0045</v>
      </c>
      <c r="C49" s="31" t="str">
        <f>IFERROR(__xludf.DUMMYFUNCTION("""COMPUTED_VALUE"""),"FITA ADESIVA 69MM X 100M")</f>
        <v>FITA ADESIVA 69MM X 100M</v>
      </c>
      <c r="D49" s="39">
        <f>IFERROR(__xludf.DUMMYFUNCTION("""COMPUTED_VALUE"""),3.0)</f>
        <v>3</v>
      </c>
      <c r="E49" s="34" t="str">
        <f>IFERROR(__xludf.DUMMYFUNCTION("""COMPUTED_VALUE"""),"Saída")</f>
        <v>Saída</v>
      </c>
      <c r="F49" s="34" t="str">
        <f>IFERROR(__xludf.DUMMYFUNCTION("""COMPUTED_VALUE"""),"Recebimento:truck:")</f>
        <v>Recebimento:truck:</v>
      </c>
      <c r="G49" s="39">
        <f t="array" ref="G49">XLOOKUP(B49,'Página9'!A:A,'Página9'!F:F,"")</f>
        <v>287</v>
      </c>
      <c r="H49" s="39">
        <f t="array" ref="H49">XLOOKUP(B49,'Página9'!A:A,'Página9'!C:C,"")</f>
        <v>20</v>
      </c>
      <c r="I49" s="35" t="str">
        <f t="array" ref="I49">XLOOKUP(B49,'Página9'!A:A,'Página9'!G:G,"")</f>
        <v>OK</v>
      </c>
      <c r="J49" s="25" t="str">
        <f t="shared" si="1"/>
        <v>RECEBIMENTO</v>
      </c>
      <c r="K49" s="25" t="str">
        <f>IFERROR(__xludf.DUMMYFUNCTION("""COMPUTED_VALUE"""),"Ana Virginia De Castro Costa")</f>
        <v>Ana Virginia De Castro Costa</v>
      </c>
    </row>
    <row r="50">
      <c r="A50" s="37">
        <f>IFERROR(__xludf.DUMMYFUNCTION("""COMPUTED_VALUE"""),45887.0)</f>
        <v>45887</v>
      </c>
      <c r="B50" s="42" t="str">
        <f>IFERROR(__xludf.DUMMYFUNCTION("""COMPUTED_VALUE"""),"MCC046UC0695")</f>
        <v>MCC046UC0695</v>
      </c>
      <c r="C50" s="31" t="str">
        <f>IFERROR(__xludf.DUMMYFUNCTION("""COMPUTED_VALUE"""),"ETIQUETA COUCHE 98X50X1")</f>
        <v>ETIQUETA COUCHE 98X50X1</v>
      </c>
      <c r="D50" s="39">
        <f>IFERROR(__xludf.DUMMYFUNCTION("""COMPUTED_VALUE"""),2.0)</f>
        <v>2</v>
      </c>
      <c r="E50" s="34" t="str">
        <f>IFERROR(__xludf.DUMMYFUNCTION("""COMPUTED_VALUE"""),"Saída")</f>
        <v>Saída</v>
      </c>
      <c r="F50" s="34" t="str">
        <f>IFERROR(__xludf.DUMMYFUNCTION("""COMPUTED_VALUE"""),"Recebimento:truck:")</f>
        <v>Recebimento:truck:</v>
      </c>
      <c r="G50" s="39">
        <f t="array" ref="G50">XLOOKUP(B50,'Página9'!A:A,'Página9'!F:F,"")</f>
        <v>256</v>
      </c>
      <c r="H50" s="39">
        <f t="array" ref="H50">XLOOKUP(B50,'Página9'!A:A,'Página9'!C:C,"")</f>
        <v>20</v>
      </c>
      <c r="I50" s="35" t="str">
        <f t="array" ref="I50">XLOOKUP(B50,'Página9'!A:A,'Página9'!G:G,"")</f>
        <v>OK</v>
      </c>
      <c r="J50" s="25" t="str">
        <f t="shared" si="1"/>
        <v>RECEBIMENTO</v>
      </c>
      <c r="K50" s="25" t="str">
        <f>IFERROR(__xludf.DUMMYFUNCTION("""COMPUTED_VALUE"""),"Jose Antoniel Silva Mesquita")</f>
        <v>Jose Antoniel Silva Mesquita</v>
      </c>
    </row>
    <row r="51">
      <c r="A51" s="37">
        <f>IFERROR(__xludf.DUMMYFUNCTION("""COMPUTED_VALUE"""),45888.0)</f>
        <v>45888</v>
      </c>
      <c r="B51" s="42" t="str">
        <f>IFERROR(__xludf.DUMMYFUNCTION("""COMPUTED_VALUE"""),"MCC046UC0216")</f>
        <v>MCC046UC0216</v>
      </c>
      <c r="C51" s="31" t="str">
        <f>IFERROR(__xludf.DUMMYFUNCTION("""COMPUTED_VALUE"""),"CANETA ESFEROGRAFICA ECONOMIC PRETA BIC")</f>
        <v>CANETA ESFEROGRAFICA ECONOMIC PRETA BIC</v>
      </c>
      <c r="D51" s="39">
        <f>IFERROR(__xludf.DUMMYFUNCTION("""COMPUTED_VALUE"""),3.0)</f>
        <v>3</v>
      </c>
      <c r="E51" s="34" t="str">
        <f>IFERROR(__xludf.DUMMYFUNCTION("""COMPUTED_VALUE"""),"Saída")</f>
        <v>Saída</v>
      </c>
      <c r="F51" s="34" t="str">
        <f>IFERROR(__xludf.DUMMYFUNCTION("""COMPUTED_VALUE"""),"Expedição:ex-escolas-exponenciais:")</f>
        <v>Expedição:ex-escolas-exponenciais:</v>
      </c>
      <c r="G51" s="39">
        <f t="array" ref="G51">XLOOKUP(B51,'Página9'!A:A,'Página9'!F:F,"")</f>
        <v>89</v>
      </c>
      <c r="H51" s="39">
        <f t="array" ref="H51">XLOOKUP(B51,'Página9'!A:A,'Página9'!C:C,"")</f>
        <v>15</v>
      </c>
      <c r="I51" s="35" t="str">
        <f t="array" ref="I51">XLOOKUP(B51,'Página9'!A:A,'Página9'!G:G,"")</f>
        <v>OK</v>
      </c>
      <c r="J51" s="25" t="str">
        <f t="shared" si="1"/>
        <v>EXPEDIÇÃO</v>
      </c>
      <c r="K51" s="25" t="str">
        <f>IFERROR(__xludf.DUMMYFUNCTION("""COMPUTED_VALUE"""),"Philipe Araujo Barroso")</f>
        <v>Philipe Araujo Barroso</v>
      </c>
    </row>
    <row r="52">
      <c r="A52" s="37">
        <f>IFERROR(__xludf.DUMMYFUNCTION("""COMPUTED_VALUE"""),45888.0)</f>
        <v>45888</v>
      </c>
      <c r="B52" s="42" t="str">
        <f>IFERROR(__xludf.DUMMYFUNCTION("""COMPUTED_VALUE"""),"MCC046UC0398")</f>
        <v>MCC046UC0398</v>
      </c>
      <c r="C52" s="31" t="str">
        <f>IFERROR(__xludf.DUMMYFUNCTION("""COMPUTED_VALUE"""),"GRAMPO 26/6 COBREADO CX.C/5000 BACCHI")</f>
        <v>GRAMPO 26/6 COBREADO CX.C/5000 BACCHI</v>
      </c>
      <c r="D52" s="39">
        <f>IFERROR(__xludf.DUMMYFUNCTION("""COMPUTED_VALUE"""),4.0)</f>
        <v>4</v>
      </c>
      <c r="E52" s="34" t="str">
        <f>IFERROR(__xludf.DUMMYFUNCTION("""COMPUTED_VALUE"""),"Saída")</f>
        <v>Saída</v>
      </c>
      <c r="F52" s="34" t="str">
        <f>IFERROR(__xludf.DUMMYFUNCTION("""COMPUTED_VALUE"""),"Expedição:ex-escolas-exponenciais:")</f>
        <v>Expedição:ex-escolas-exponenciais:</v>
      </c>
      <c r="G52" s="39">
        <f t="array" ref="G52">XLOOKUP(B52,'Página9'!A:A,'Página9'!F:F,"")</f>
        <v>-13</v>
      </c>
      <c r="H52" s="39">
        <f t="array" ref="H52">XLOOKUP(B52,'Página9'!A:A,'Página9'!C:C,"")</f>
        <v>3</v>
      </c>
      <c r="I52" s="35" t="str">
        <f t="array" ref="I52">XLOOKUP(B52,'Página9'!A:A,'Página9'!G:G,"")</f>
        <v>REPOR ESTOQUE</v>
      </c>
      <c r="J52" s="25" t="str">
        <f t="shared" si="1"/>
        <v>EXPEDIÇÃO</v>
      </c>
      <c r="K52" s="25" t="str">
        <f>IFERROR(__xludf.DUMMYFUNCTION("""COMPUTED_VALUE"""),"Antonio Marcos De Albuquerque")</f>
        <v>Antonio Marcos De Albuquerque</v>
      </c>
    </row>
    <row r="53">
      <c r="A53" s="37">
        <f>IFERROR(__xludf.DUMMYFUNCTION("""COMPUTED_VALUE"""),45889.0)</f>
        <v>45889</v>
      </c>
      <c r="B53" s="42" t="str">
        <f>IFERROR(__xludf.DUMMYFUNCTION("""COMPUTED_VALUE"""),"MCC046UC0639")</f>
        <v>MCC046UC0639</v>
      </c>
      <c r="C53" s="31" t="str">
        <f>IFERROR(__xludf.DUMMYFUNCTION("""COMPUTED_VALUE"""),"PILHA ALCALINA ELGIN PEQ.AA")</f>
        <v>PILHA ALCALINA ELGIN PEQ.AA</v>
      </c>
      <c r="D53" s="39">
        <f>IFERROR(__xludf.DUMMYFUNCTION("""COMPUTED_VALUE"""),1.0)</f>
        <v>1</v>
      </c>
      <c r="E53" s="34" t="str">
        <f>IFERROR(__xludf.DUMMYFUNCTION("""COMPUTED_VALUE"""),"Saída")</f>
        <v>Saída</v>
      </c>
      <c r="F53" s="34" t="str">
        <f>IFERROR(__xludf.DUMMYFUNCTION("""COMPUTED_VALUE"""),"Expedição:ex-escolas-exponenciais:")</f>
        <v>Expedição:ex-escolas-exponenciais:</v>
      </c>
      <c r="G53" s="39">
        <f t="array" ref="G53">XLOOKUP(B53,'Página9'!A:A,'Página9'!F:F,"")</f>
        <v>-5</v>
      </c>
      <c r="H53" s="39">
        <f t="array" ref="H53">XLOOKUP(B53,'Página9'!A:A,'Página9'!C:C,"")</f>
        <v>4</v>
      </c>
      <c r="I53" s="35" t="str">
        <f t="array" ref="I53">XLOOKUP(B53,'Página9'!A:A,'Página9'!G:G,"")</f>
        <v>REPOR ESTOQUE</v>
      </c>
      <c r="J53" s="25" t="str">
        <f t="shared" si="1"/>
        <v>EXPEDIÇÃO</v>
      </c>
      <c r="K53" s="25" t="str">
        <f>IFERROR(__xludf.DUMMYFUNCTION("""COMPUTED_VALUE"""),"Jackson Alves Sales")</f>
        <v>Jackson Alves Sales</v>
      </c>
    </row>
    <row r="54">
      <c r="A54" s="37">
        <f>IFERROR(__xludf.DUMMYFUNCTION("""COMPUTED_VALUE"""),45889.0)</f>
        <v>45889</v>
      </c>
      <c r="B54" s="42" t="str">
        <f>IFERROR(__xludf.DUMMYFUNCTION("""COMPUTED_VALUE"""),"MCC015UC0045")</f>
        <v>MCC015UC0045</v>
      </c>
      <c r="C54" s="31" t="str">
        <f>IFERROR(__xludf.DUMMYFUNCTION("""COMPUTED_VALUE"""),"FITA ADESIVA 69MM X 100M")</f>
        <v>FITA ADESIVA 69MM X 100M</v>
      </c>
      <c r="D54" s="39">
        <f>IFERROR(__xludf.DUMMYFUNCTION("""COMPUTED_VALUE"""),4.0)</f>
        <v>4</v>
      </c>
      <c r="E54" s="34" t="str">
        <f>IFERROR(__xludf.DUMMYFUNCTION("""COMPUTED_VALUE"""),"Saída")</f>
        <v>Saída</v>
      </c>
      <c r="F54" s="34" t="str">
        <f>IFERROR(__xludf.DUMMYFUNCTION("""COMPUTED_VALUE"""),"Recebimento:truck:")</f>
        <v>Recebimento:truck:</v>
      </c>
      <c r="G54" s="39">
        <f t="array" ref="G54">XLOOKUP(B54,'Página9'!A:A,'Página9'!F:F,"")</f>
        <v>287</v>
      </c>
      <c r="H54" s="39">
        <f t="array" ref="H54">XLOOKUP(B54,'Página9'!A:A,'Página9'!C:C,"")</f>
        <v>20</v>
      </c>
      <c r="I54" s="35" t="str">
        <f t="array" ref="I54">XLOOKUP(B54,'Página9'!A:A,'Página9'!G:G,"")</f>
        <v>OK</v>
      </c>
      <c r="J54" s="25" t="str">
        <f t="shared" si="1"/>
        <v>RECEBIMENTO</v>
      </c>
      <c r="K54" s="25" t="str">
        <f>IFERROR(__xludf.DUMMYFUNCTION("""COMPUTED_VALUE"""),"Philipe Araujo Barroso")</f>
        <v>Philipe Araujo Barroso</v>
      </c>
    </row>
    <row r="55">
      <c r="A55" s="37">
        <f>IFERROR(__xludf.DUMMYFUNCTION("""COMPUTED_VALUE"""),45889.0)</f>
        <v>45889</v>
      </c>
      <c r="B55" s="42" t="str">
        <f>IFERROR(__xludf.DUMMYFUNCTION("""COMPUTED_VALUE"""),"MCC015UC0045")</f>
        <v>MCC015UC0045</v>
      </c>
      <c r="C55" s="31" t="str">
        <f>IFERROR(__xludf.DUMMYFUNCTION("""COMPUTED_VALUE"""),"FITA ADESIVA 69MM X 100M")</f>
        <v>FITA ADESIVA 69MM X 100M</v>
      </c>
      <c r="D55" s="39">
        <f>IFERROR(__xludf.DUMMYFUNCTION("""COMPUTED_VALUE"""),2.0)</f>
        <v>2</v>
      </c>
      <c r="E55" s="34" t="str">
        <f>IFERROR(__xludf.DUMMYFUNCTION("""COMPUTED_VALUE"""),"Saída")</f>
        <v>Saída</v>
      </c>
      <c r="F55" s="34" t="str">
        <f>IFERROR(__xludf.DUMMYFUNCTION("""COMPUTED_VALUE"""),"Expedição:ex-escolas-exponenciais:")</f>
        <v>Expedição:ex-escolas-exponenciais:</v>
      </c>
      <c r="G55" s="39">
        <f t="array" ref="G55">XLOOKUP(B55,'Página9'!A:A,'Página9'!F:F,"")</f>
        <v>287</v>
      </c>
      <c r="H55" s="39">
        <f t="array" ref="H55">XLOOKUP(B55,'Página9'!A:A,'Página9'!C:C,"")</f>
        <v>20</v>
      </c>
      <c r="I55" s="35" t="str">
        <f t="array" ref="I55">XLOOKUP(B55,'Página9'!A:A,'Página9'!G:G,"")</f>
        <v>OK</v>
      </c>
      <c r="J55" s="25" t="str">
        <f t="shared" si="1"/>
        <v>EXPEDIÇÃO</v>
      </c>
      <c r="K55" s="25" t="str">
        <f>IFERROR(__xludf.DUMMYFUNCTION("""COMPUTED_VALUE"""),"Pedro Lucas Matias Do Nascimento")</f>
        <v>Pedro Lucas Matias Do Nascimento</v>
      </c>
    </row>
    <row r="56">
      <c r="A56" s="37">
        <f>IFERROR(__xludf.DUMMYFUNCTION("""COMPUTED_VALUE"""),45889.0)</f>
        <v>45889</v>
      </c>
      <c r="B56" s="42" t="str">
        <f>IFERROR(__xludf.DUMMYFUNCTION("""COMPUTED_VALUE"""),"MCC046UC0598")</f>
        <v>MCC046UC0598</v>
      </c>
      <c r="C56" s="31" t="str">
        <f>IFERROR(__xludf.DUMMYFUNCTION("""COMPUTED_VALUE"""),"ETIQUETA ADESIVA COUCHE AZUL - 105X150MM SAS")</f>
        <v>ETIQUETA ADESIVA COUCHE AZUL - 105X150MM SAS</v>
      </c>
      <c r="D56" s="39">
        <f>IFERROR(__xludf.DUMMYFUNCTION("""COMPUTED_VALUE"""),3.0)</f>
        <v>3</v>
      </c>
      <c r="E56" s="34" t="str">
        <f>IFERROR(__xludf.DUMMYFUNCTION("""COMPUTED_VALUE"""),"Saída")</f>
        <v>Saída</v>
      </c>
      <c r="F56" s="34" t="str">
        <f>IFERROR(__xludf.DUMMYFUNCTION("""COMPUTED_VALUE"""),"Recebimento:truck:")</f>
        <v>Recebimento:truck:</v>
      </c>
      <c r="G56" s="39">
        <f t="array" ref="G56">XLOOKUP(B56,'Página9'!A:A,'Página9'!F:F,"")</f>
        <v>40</v>
      </c>
      <c r="H56" s="39">
        <f t="array" ref="H56">XLOOKUP(B56,'Página9'!A:A,'Página9'!C:C,"")</f>
        <v>5</v>
      </c>
      <c r="I56" s="35" t="str">
        <f t="array" ref="I56">XLOOKUP(B56,'Página9'!A:A,'Página9'!G:G,"")</f>
        <v>OK</v>
      </c>
      <c r="J56" s="25" t="str">
        <f t="shared" si="1"/>
        <v>RECEBIMENTO</v>
      </c>
      <c r="K56" s="25" t="str">
        <f>IFERROR(__xludf.DUMMYFUNCTION("""COMPUTED_VALUE"""),"Silvana Da Silva Pereira")</f>
        <v>Silvana Da Silva Pereira</v>
      </c>
    </row>
    <row r="57">
      <c r="A57" s="37">
        <f>IFERROR(__xludf.DUMMYFUNCTION("""COMPUTED_VALUE"""),45889.0)</f>
        <v>45889</v>
      </c>
      <c r="B57" s="42" t="str">
        <f>IFERROR(__xludf.DUMMYFUNCTION("""COMPUTED_VALUE"""),"MCC046UC0082")</f>
        <v>MCC046UC0082</v>
      </c>
      <c r="C57" s="31" t="str">
        <f>IFERROR(__xludf.DUMMYFUNCTION("""COMPUTED_VALUE"""),"PAPEL SULFITE A4 75G 500 FOLHAS")</f>
        <v>PAPEL SULFITE A4 75G 500 FOLHAS</v>
      </c>
      <c r="D57" s="39">
        <f>IFERROR(__xludf.DUMMYFUNCTION("""COMPUTED_VALUE"""),48.0)</f>
        <v>48</v>
      </c>
      <c r="E57" s="34" t="str">
        <f>IFERROR(__xludf.DUMMYFUNCTION("""COMPUTED_VALUE"""),"Saída")</f>
        <v>Saída</v>
      </c>
      <c r="F57" s="34" t="str">
        <f>IFERROR(__xludf.DUMMYFUNCTION("""COMPUTED_VALUE"""),"Estoque:package:")</f>
        <v>Estoque:package:</v>
      </c>
      <c r="G57" s="39">
        <f t="array" ref="G57">XLOOKUP(B57,'Página9'!A:A,'Página9'!F:F,"")</f>
        <v>163</v>
      </c>
      <c r="H57" s="39">
        <f t="array" ref="H57">XLOOKUP(B57,'Página9'!A:A,'Página9'!C:C,"")</f>
        <v>10</v>
      </c>
      <c r="I57" s="35" t="str">
        <f t="array" ref="I57">XLOOKUP(B57,'Página9'!A:A,'Página9'!G:G,"")</f>
        <v>OK</v>
      </c>
      <c r="J57" s="25" t="str">
        <f t="shared" si="1"/>
        <v>ESTOQUE</v>
      </c>
      <c r="K57" s="25" t="str">
        <f>IFERROR(__xludf.DUMMYFUNCTION("""COMPUTED_VALUE"""),"Paulo Henrique Chagas De Oliveira")</f>
        <v>Paulo Henrique Chagas De Oliveira</v>
      </c>
    </row>
    <row r="58">
      <c r="A58" s="37">
        <f>IFERROR(__xludf.DUMMYFUNCTION("""COMPUTED_VALUE"""),45889.0)</f>
        <v>45889</v>
      </c>
      <c r="B58" s="42" t="str">
        <f>IFERROR(__xludf.DUMMYFUNCTION("""COMPUTED_VALUE"""),"MCC015UC0045")</f>
        <v>MCC015UC0045</v>
      </c>
      <c r="C58" s="31" t="str">
        <f>IFERROR(__xludf.DUMMYFUNCTION("""COMPUTED_VALUE"""),"FITA ADESIVA 69MM X 100M")</f>
        <v>FITA ADESIVA 69MM X 100M</v>
      </c>
      <c r="D58" s="39">
        <f>IFERROR(__xludf.DUMMYFUNCTION("""COMPUTED_VALUE"""),2.0)</f>
        <v>2</v>
      </c>
      <c r="E58" s="34" t="str">
        <f>IFERROR(__xludf.DUMMYFUNCTION("""COMPUTED_VALUE"""),"Saída")</f>
        <v>Saída</v>
      </c>
      <c r="F58" s="34" t="str">
        <f>IFERROR(__xludf.DUMMYFUNCTION("""COMPUTED_VALUE"""),"Estoque:package:")</f>
        <v>Estoque:package:</v>
      </c>
      <c r="G58" s="39">
        <f t="array" ref="G58">XLOOKUP(B58,'Página9'!A:A,'Página9'!F:F,"")</f>
        <v>287</v>
      </c>
      <c r="H58" s="39">
        <f t="array" ref="H58">XLOOKUP(B58,'Página9'!A:A,'Página9'!C:C,"")</f>
        <v>20</v>
      </c>
      <c r="I58" s="35" t="str">
        <f t="array" ref="I58">XLOOKUP(B58,'Página9'!A:A,'Página9'!G:G,"")</f>
        <v>OK</v>
      </c>
      <c r="J58" s="25" t="str">
        <f t="shared" si="1"/>
        <v>ESTOQUE</v>
      </c>
      <c r="K58" s="25" t="str">
        <f>IFERROR(__xludf.DUMMYFUNCTION("""COMPUTED_VALUE"""),"Matheus De Almeida Rodrigues")</f>
        <v>Matheus De Almeida Rodrigues</v>
      </c>
    </row>
    <row r="59">
      <c r="A59" s="37">
        <f>IFERROR(__xludf.DUMMYFUNCTION("""COMPUTED_VALUE"""),45889.0)</f>
        <v>45889</v>
      </c>
      <c r="B59" s="42" t="str">
        <f>IFERROR(__xludf.DUMMYFUNCTION("""COMPUTED_VALUE"""),"MCC015UC0008")</f>
        <v>MCC015UC0008</v>
      </c>
      <c r="C59" s="31" t="str">
        <f>IFERROR(__xludf.DUMMYFUNCTION("""COMPUTED_VALUE"""),"FILME STRETCH 500X25")</f>
        <v>FILME STRETCH 500X25</v>
      </c>
      <c r="D59" s="39">
        <f>IFERROR(__xludf.DUMMYFUNCTION("""COMPUTED_VALUE"""),1.0)</f>
        <v>1</v>
      </c>
      <c r="E59" s="34" t="str">
        <f>IFERROR(__xludf.DUMMYFUNCTION("""COMPUTED_VALUE"""),"Saída")</f>
        <v>Saída</v>
      </c>
      <c r="F59" s="34" t="str">
        <f>IFERROR(__xludf.DUMMYFUNCTION("""COMPUTED_VALUE"""),"Recebimento:truck:")</f>
        <v>Recebimento:truck:</v>
      </c>
      <c r="G59" s="39">
        <f t="array" ref="G59">XLOOKUP(B59,'Página9'!A:A,'Página9'!F:F,"")</f>
        <v>-158</v>
      </c>
      <c r="H59" s="39">
        <f t="array" ref="H59">XLOOKUP(B59,'Página9'!A:A,'Página9'!C:C,"")</f>
        <v>40</v>
      </c>
      <c r="I59" s="35" t="str">
        <f t="array" ref="I59">XLOOKUP(B59,'Página9'!A:A,'Página9'!G:G,"")</f>
        <v>REPOR ESTOQUE</v>
      </c>
      <c r="J59" s="25" t="str">
        <f t="shared" si="1"/>
        <v>RECEBIMENTO</v>
      </c>
      <c r="K59" s="25" t="str">
        <f>IFERROR(__xludf.DUMMYFUNCTION("""COMPUTED_VALUE"""),"Jose Edervanio Lima Mateus")</f>
        <v>Jose Edervanio Lima Mateus</v>
      </c>
    </row>
    <row r="60">
      <c r="A60" s="37">
        <f>IFERROR(__xludf.DUMMYFUNCTION("""COMPUTED_VALUE"""),45890.0)</f>
        <v>45890</v>
      </c>
      <c r="B60" s="42" t="str">
        <f>IFERROR(__xludf.DUMMYFUNCTION("""COMPUTED_VALUE"""),"MCC046UC0638")</f>
        <v>MCC046UC0638</v>
      </c>
      <c r="C60" s="31" t="str">
        <f>IFERROR(__xludf.DUMMYFUNCTION("""COMPUTED_VALUE"""),"PILHA ALCALINA ELGIN PALITO AAA")</f>
        <v>PILHA ALCALINA ELGIN PALITO AAA</v>
      </c>
      <c r="D60" s="39">
        <f>IFERROR(__xludf.DUMMYFUNCTION("""COMPUTED_VALUE"""),2.0)</f>
        <v>2</v>
      </c>
      <c r="E60" s="34" t="str">
        <f>IFERROR(__xludf.DUMMYFUNCTION("""COMPUTED_VALUE"""),"Saída")</f>
        <v>Saída</v>
      </c>
      <c r="F60" s="34" t="str">
        <f>IFERROR(__xludf.DUMMYFUNCTION("""COMPUTED_VALUE"""),"Recebimento:truck:")</f>
        <v>Recebimento:truck:</v>
      </c>
      <c r="G60" s="39">
        <f t="array" ref="G60">XLOOKUP(B60,'Página9'!A:A,'Página9'!F:F,"")</f>
        <v>32</v>
      </c>
      <c r="H60" s="39">
        <f t="array" ref="H60">XLOOKUP(B60,'Página9'!A:A,'Página9'!C:C,"")</f>
        <v>4</v>
      </c>
      <c r="I60" s="35" t="str">
        <f t="array" ref="I60">XLOOKUP(B60,'Página9'!A:A,'Página9'!G:G,"")</f>
        <v>OK</v>
      </c>
      <c r="J60" s="25" t="str">
        <f t="shared" si="1"/>
        <v>RECEBIMENTO</v>
      </c>
      <c r="K60" s="25" t="str">
        <f>IFERROR(__xludf.DUMMYFUNCTION("""COMPUTED_VALUE"""),"Paulo Henrique Chagas De Oliveira")</f>
        <v>Paulo Henrique Chagas De Oliveira</v>
      </c>
    </row>
    <row r="61">
      <c r="A61" s="37">
        <f>IFERROR(__xludf.DUMMYFUNCTION("""COMPUTED_VALUE"""),45890.0)</f>
        <v>45890</v>
      </c>
      <c r="B61" s="42" t="str">
        <f>IFERROR(__xludf.DUMMYFUNCTION("""COMPUTED_VALUE"""),"MCC046UC0659")</f>
        <v>MCC046UC0659</v>
      </c>
      <c r="C61" s="31" t="str">
        <f>IFERROR(__xludf.DUMMYFUNCTION("""COMPUTED_VALUE"""),"ETIQUETA 70MM PROFESSOR")</f>
        <v>ETIQUETA 70MM PROFESSOR</v>
      </c>
      <c r="D61" s="39">
        <f>IFERROR(__xludf.DUMMYFUNCTION("""COMPUTED_VALUE"""),6.0)</f>
        <v>6</v>
      </c>
      <c r="E61" s="34" t="str">
        <f>IFERROR(__xludf.DUMMYFUNCTION("""COMPUTED_VALUE"""),"Saída")</f>
        <v>Saída</v>
      </c>
      <c r="F61" s="34" t="str">
        <f>IFERROR(__xludf.DUMMYFUNCTION("""COMPUTED_VALUE"""),"Estoque:package:")</f>
        <v>Estoque:package:</v>
      </c>
      <c r="G61" s="39">
        <f t="array" ref="G61">XLOOKUP(B61,'Página9'!A:A,'Página9'!F:F,"")</f>
        <v>25</v>
      </c>
      <c r="H61" s="39">
        <f t="array" ref="H61">XLOOKUP(B61,'Página9'!A:A,'Página9'!C:C,"")</f>
        <v>5</v>
      </c>
      <c r="I61" s="35" t="str">
        <f t="array" ref="I61">XLOOKUP(B61,'Página9'!A:A,'Página9'!G:G,"")</f>
        <v>OK</v>
      </c>
      <c r="J61" s="25" t="str">
        <f t="shared" si="1"/>
        <v>ESTOQUE</v>
      </c>
      <c r="K61" s="25" t="str">
        <f>IFERROR(__xludf.DUMMYFUNCTION("""COMPUTED_VALUE"""),"Silvana Da Silva Pereira")</f>
        <v>Silvana Da Silva Pereira</v>
      </c>
    </row>
    <row r="62">
      <c r="A62" s="37">
        <f>IFERROR(__xludf.DUMMYFUNCTION("""COMPUTED_VALUE"""),45890.0)</f>
        <v>45890</v>
      </c>
      <c r="B62" s="42" t="str">
        <f>IFERROR(__xludf.DUMMYFUNCTION("""COMPUTED_VALUE"""),"MCC015UC0047")</f>
        <v>MCC015UC0047</v>
      </c>
      <c r="C62" s="31" t="str">
        <f>IFERROR(__xludf.DUMMYFUNCTION("""COMPUTED_VALUE"""),"ETIQUETA CORTESIA")</f>
        <v>ETIQUETA CORTESIA</v>
      </c>
      <c r="D62" s="39">
        <f>IFERROR(__xludf.DUMMYFUNCTION("""COMPUTED_VALUE"""),6.0)</f>
        <v>6</v>
      </c>
      <c r="E62" s="34" t="str">
        <f>IFERROR(__xludf.DUMMYFUNCTION("""COMPUTED_VALUE"""),"Saída")</f>
        <v>Saída</v>
      </c>
      <c r="F62" s="34" t="str">
        <f>IFERROR(__xludf.DUMMYFUNCTION("""COMPUTED_VALUE"""),"Recebimento:truck:")</f>
        <v>Recebimento:truck:</v>
      </c>
      <c r="G62" s="39">
        <f t="array" ref="G62">XLOOKUP(B62,'Página9'!A:A,'Página9'!F:F,"")</f>
        <v>7</v>
      </c>
      <c r="H62" s="39">
        <f t="array" ref="H62">XLOOKUP(B62,'Página9'!A:A,'Página9'!C:C,"")</f>
        <v>5</v>
      </c>
      <c r="I62" s="35" t="str">
        <f t="array" ref="I62">XLOOKUP(B62,'Página9'!A:A,'Página9'!G:G,"")</f>
        <v>OK</v>
      </c>
      <c r="J62" s="25" t="str">
        <f t="shared" si="1"/>
        <v>RECEBIMENTO</v>
      </c>
      <c r="K62" s="25" t="str">
        <f>IFERROR(__xludf.DUMMYFUNCTION("""COMPUTED_VALUE"""),"Silvana Da Silva Pereira")</f>
        <v>Silvana Da Silva Pereira</v>
      </c>
    </row>
    <row r="63">
      <c r="A63" s="37">
        <f>IFERROR(__xludf.DUMMYFUNCTION("""COMPUTED_VALUE"""),45890.0)</f>
        <v>45890</v>
      </c>
      <c r="B63" s="42" t="str">
        <f>IFERROR(__xludf.DUMMYFUNCTION("""COMPUTED_VALUE"""),"MCC046UC0216")</f>
        <v>MCC046UC0216</v>
      </c>
      <c r="C63" s="31" t="str">
        <f>IFERROR(__xludf.DUMMYFUNCTION("""COMPUTED_VALUE"""),"CANETA ESFEROGRAFICA ECONOMIC PRETA BIC")</f>
        <v>CANETA ESFEROGRAFICA ECONOMIC PRETA BIC</v>
      </c>
      <c r="D63" s="39">
        <f>IFERROR(__xludf.DUMMYFUNCTION("""COMPUTED_VALUE"""),8.0)</f>
        <v>8</v>
      </c>
      <c r="E63" s="34" t="str">
        <f>IFERROR(__xludf.DUMMYFUNCTION("""COMPUTED_VALUE"""),"Saída")</f>
        <v>Saída</v>
      </c>
      <c r="F63" s="34" t="str">
        <f>IFERROR(__xludf.DUMMYFUNCTION("""COMPUTED_VALUE"""),"Estoque:package:")</f>
        <v>Estoque:package:</v>
      </c>
      <c r="G63" s="39">
        <f t="array" ref="G63">XLOOKUP(B63,'Página9'!A:A,'Página9'!F:F,"")</f>
        <v>89</v>
      </c>
      <c r="H63" s="39">
        <f t="array" ref="H63">XLOOKUP(B63,'Página9'!A:A,'Página9'!C:C,"")</f>
        <v>15</v>
      </c>
      <c r="I63" s="35" t="str">
        <f t="array" ref="I63">XLOOKUP(B63,'Página9'!A:A,'Página9'!G:G,"")</f>
        <v>OK</v>
      </c>
      <c r="J63" s="25" t="str">
        <f t="shared" si="1"/>
        <v>ESTOQUE</v>
      </c>
      <c r="K63" s="25" t="str">
        <f>IFERROR(__xludf.DUMMYFUNCTION("""COMPUTED_VALUE"""),"Paulo Henrique Chagas De Oliveira")</f>
        <v>Paulo Henrique Chagas De Oliveira</v>
      </c>
    </row>
    <row r="64">
      <c r="A64" s="37">
        <f>IFERROR(__xludf.DUMMYFUNCTION("""COMPUTED_VALUE"""),45890.0)</f>
        <v>45890</v>
      </c>
      <c r="B64" s="42" t="str">
        <f>IFERROR(__xludf.DUMMYFUNCTION("""COMPUTED_VALUE"""),"MCC046UC0216")</f>
        <v>MCC046UC0216</v>
      </c>
      <c r="C64" s="31" t="str">
        <f>IFERROR(__xludf.DUMMYFUNCTION("""COMPUTED_VALUE"""),"CANETA ESFEROGRAFICA ECONOMIC PRETA BIC")</f>
        <v>CANETA ESFEROGRAFICA ECONOMIC PRETA BIC</v>
      </c>
      <c r="D64" s="39">
        <f>IFERROR(__xludf.DUMMYFUNCTION("""COMPUTED_VALUE"""),4.0)</f>
        <v>4</v>
      </c>
      <c r="E64" s="34" t="str">
        <f>IFERROR(__xludf.DUMMYFUNCTION("""COMPUTED_VALUE"""),"Saída")</f>
        <v>Saída</v>
      </c>
      <c r="F64" s="34" t="str">
        <f>IFERROR(__xludf.DUMMYFUNCTION("""COMPUTED_VALUE"""),"Estoque:package:")</f>
        <v>Estoque:package:</v>
      </c>
      <c r="G64" s="39">
        <f t="array" ref="G64">XLOOKUP(B64,'Página9'!A:A,'Página9'!F:F,"")</f>
        <v>89</v>
      </c>
      <c r="H64" s="39">
        <f t="array" ref="H64">XLOOKUP(B64,'Página9'!A:A,'Página9'!C:C,"")</f>
        <v>15</v>
      </c>
      <c r="I64" s="35" t="str">
        <f t="array" ref="I64">XLOOKUP(B64,'Página9'!A:A,'Página9'!G:G,"")</f>
        <v>OK</v>
      </c>
      <c r="J64" s="25" t="str">
        <f t="shared" si="1"/>
        <v>ESTOQUE</v>
      </c>
      <c r="K64" s="25" t="str">
        <f>IFERROR(__xludf.DUMMYFUNCTION("""COMPUTED_VALUE"""),"Silvana Da Silva Pereira")</f>
        <v>Silvana Da Silva Pereira</v>
      </c>
    </row>
    <row r="65">
      <c r="A65" s="37">
        <f>IFERROR(__xludf.DUMMYFUNCTION("""COMPUTED_VALUE"""),45890.0)</f>
        <v>45890</v>
      </c>
      <c r="B65" s="42" t="str">
        <f>IFERROR(__xludf.DUMMYFUNCTION("""COMPUTED_VALUE"""),"MCC046UC0596")</f>
        <v>MCC046UC0596</v>
      </c>
      <c r="C65" s="31" t="str">
        <f>IFERROR(__xludf.DUMMYFUNCTION("""COMPUTED_VALUE"""),"ETIQUETA ADESIVA COUCHE BRANCA   - 105X150MM SAS")</f>
        <v>ETIQUETA ADESIVA COUCHE BRANCA   - 105X150MM SAS</v>
      </c>
      <c r="D65" s="39">
        <f>IFERROR(__xludf.DUMMYFUNCTION("""COMPUTED_VALUE"""),4.0)</f>
        <v>4</v>
      </c>
      <c r="E65" s="34" t="str">
        <f>IFERROR(__xludf.DUMMYFUNCTION("""COMPUTED_VALUE"""),"Saída")</f>
        <v>Saída</v>
      </c>
      <c r="F65" s="34" t="str">
        <f>IFERROR(__xludf.DUMMYFUNCTION("""COMPUTED_VALUE"""),"Recebimento:truck:")</f>
        <v>Recebimento:truck:</v>
      </c>
      <c r="G65" s="39">
        <f t="array" ref="G65">XLOOKUP(B65,'Página9'!A:A,'Página9'!F:F,"")</f>
        <v>157</v>
      </c>
      <c r="H65" s="39">
        <f t="array" ref="H65">XLOOKUP(B65,'Página9'!A:A,'Página9'!C:C,"")</f>
        <v>20</v>
      </c>
      <c r="I65" s="35" t="str">
        <f t="array" ref="I65">XLOOKUP(B65,'Página9'!A:A,'Página9'!G:G,"")</f>
        <v>OK</v>
      </c>
      <c r="J65" s="25" t="str">
        <f t="shared" si="1"/>
        <v>RECEBIMENTO</v>
      </c>
      <c r="K65" s="25" t="str">
        <f>IFERROR(__xludf.DUMMYFUNCTION("""COMPUTED_VALUE"""),"Silvana Da Silva Pereira")</f>
        <v>Silvana Da Silva Pereira</v>
      </c>
    </row>
    <row r="66">
      <c r="A66" s="37">
        <f>IFERROR(__xludf.DUMMYFUNCTION("""COMPUTED_VALUE"""),45890.0)</f>
        <v>45890</v>
      </c>
      <c r="B66" s="42" t="str">
        <f>IFERROR(__xludf.DUMMYFUNCTION("""COMPUTED_VALUE"""),"MCC046UC0668")</f>
        <v>MCC046UC0668</v>
      </c>
      <c r="C66" s="31" t="str">
        <f>IFERROR(__xludf.DUMMYFUNCTION("""COMPUTED_VALUE"""),"ETIQUETA ADESIVA COUCHE CINZA 100X150X1")</f>
        <v>ETIQUETA ADESIVA COUCHE CINZA 100X150X1</v>
      </c>
      <c r="D66" s="39">
        <f>IFERROR(__xludf.DUMMYFUNCTION("""COMPUTED_VALUE"""),4.0)</f>
        <v>4</v>
      </c>
      <c r="E66" s="34" t="str">
        <f>IFERROR(__xludf.DUMMYFUNCTION("""COMPUTED_VALUE"""),"Saída")</f>
        <v>Saída</v>
      </c>
      <c r="F66" s="34" t="str">
        <f>IFERROR(__xludf.DUMMYFUNCTION("""COMPUTED_VALUE"""),"Recebimento:truck:")</f>
        <v>Recebimento:truck:</v>
      </c>
      <c r="G66" s="39">
        <f t="array" ref="G66">XLOOKUP(B66,'Página9'!A:A,'Página9'!F:F,"")</f>
        <v>104</v>
      </c>
      <c r="H66" s="39">
        <f t="array" ref="H66">XLOOKUP(B66,'Página9'!A:A,'Página9'!C:C,"")</f>
        <v>5</v>
      </c>
      <c r="I66" s="35" t="str">
        <f t="array" ref="I66">XLOOKUP(B66,'Página9'!A:A,'Página9'!G:G,"")</f>
        <v>OK</v>
      </c>
      <c r="J66" s="25" t="str">
        <f t="shared" si="1"/>
        <v>RECEBIMENTO</v>
      </c>
      <c r="K66" s="25" t="str">
        <f>IFERROR(__xludf.DUMMYFUNCTION("""COMPUTED_VALUE"""),"Silvana Da Silva Pereira")</f>
        <v>Silvana Da Silva Pereira</v>
      </c>
    </row>
    <row r="67">
      <c r="A67" s="37">
        <f>IFERROR(__xludf.DUMMYFUNCTION("""COMPUTED_VALUE"""),45890.0)</f>
        <v>45890</v>
      </c>
      <c r="B67" s="42" t="str">
        <f>IFERROR(__xludf.DUMMYFUNCTION("""COMPUTED_VALUE"""),"MCC015UC0045")</f>
        <v>MCC015UC0045</v>
      </c>
      <c r="C67" s="31" t="str">
        <f>IFERROR(__xludf.DUMMYFUNCTION("""COMPUTED_VALUE"""),"FITA ADESIVA 69MM X 100M")</f>
        <v>FITA ADESIVA 69MM X 100M</v>
      </c>
      <c r="D67" s="39">
        <f>IFERROR(__xludf.DUMMYFUNCTION("""COMPUTED_VALUE"""),12.0)</f>
        <v>12</v>
      </c>
      <c r="E67" s="34" t="str">
        <f>IFERROR(__xludf.DUMMYFUNCTION("""COMPUTED_VALUE"""),"Saída")</f>
        <v>Saída</v>
      </c>
      <c r="F67" s="34" t="str">
        <f>IFERROR(__xludf.DUMMYFUNCTION("""COMPUTED_VALUE"""),"Recebimento:truck:")</f>
        <v>Recebimento:truck:</v>
      </c>
      <c r="G67" s="39">
        <f t="array" ref="G67">XLOOKUP(B67,'Página9'!A:A,'Página9'!F:F,"")</f>
        <v>287</v>
      </c>
      <c r="H67" s="39">
        <f t="array" ref="H67">XLOOKUP(B67,'Página9'!A:A,'Página9'!C:C,"")</f>
        <v>20</v>
      </c>
      <c r="I67" s="35" t="str">
        <f t="array" ref="I67">XLOOKUP(B67,'Página9'!A:A,'Página9'!G:G,"")</f>
        <v>OK</v>
      </c>
      <c r="J67" s="25" t="str">
        <f t="shared" si="1"/>
        <v>RECEBIMENTO</v>
      </c>
      <c r="K67" s="25" t="str">
        <f>IFERROR(__xludf.DUMMYFUNCTION("""COMPUTED_VALUE"""),"Silvana Da Silva Pereira")</f>
        <v>Silvana Da Silva Pereira</v>
      </c>
    </row>
    <row r="68">
      <c r="A68" s="37">
        <f>IFERROR(__xludf.DUMMYFUNCTION("""COMPUTED_VALUE"""),45890.0)</f>
        <v>45890</v>
      </c>
      <c r="B68" s="42" t="str">
        <f>IFERROR(__xludf.DUMMYFUNCTION("""COMPUTED_VALUE"""),"MCC046UC0597")</f>
        <v>MCC046UC0597</v>
      </c>
      <c r="C68" s="31" t="str">
        <f>IFERROR(__xludf.DUMMYFUNCTION("""COMPUTED_VALUE"""),"ETIQUETA ADESIVA COUCHE ROSA - SAS 105X150MM")</f>
        <v>ETIQUETA ADESIVA COUCHE ROSA - SAS 105X150MM</v>
      </c>
      <c r="D68" s="39">
        <f>IFERROR(__xludf.DUMMYFUNCTION("""COMPUTED_VALUE"""),6.0)</f>
        <v>6</v>
      </c>
      <c r="E68" s="34" t="str">
        <f>IFERROR(__xludf.DUMMYFUNCTION("""COMPUTED_VALUE"""),"Saída")</f>
        <v>Saída</v>
      </c>
      <c r="F68" s="34" t="str">
        <f>IFERROR(__xludf.DUMMYFUNCTION("""COMPUTED_VALUE"""),"CIQ :qualidade:")</f>
        <v>CIQ :qualidade:</v>
      </c>
      <c r="G68" s="39">
        <f t="array" ref="G68">XLOOKUP(B68,'Página9'!A:A,'Página9'!F:F,"")</f>
        <v>64</v>
      </c>
      <c r="H68" s="39">
        <f t="array" ref="H68">XLOOKUP(B68,'Página9'!A:A,'Página9'!C:C,"")</f>
        <v>5</v>
      </c>
      <c r="I68" s="35" t="str">
        <f t="array" ref="I68">XLOOKUP(B68,'Página9'!A:A,'Página9'!G:G,"")</f>
        <v>OK</v>
      </c>
      <c r="J68" s="25" t="str">
        <f t="shared" si="1"/>
        <v>CIQ</v>
      </c>
      <c r="K68" s="25" t="str">
        <f>IFERROR(__xludf.DUMMYFUNCTION("""COMPUTED_VALUE"""),"Silvana Da Silva Pereira")</f>
        <v>Silvana Da Silva Pereira</v>
      </c>
    </row>
    <row r="69">
      <c r="A69" s="37">
        <f>IFERROR(__xludf.DUMMYFUNCTION("""COMPUTED_VALUE"""),45890.0)</f>
        <v>45890</v>
      </c>
      <c r="B69" s="42" t="str">
        <f>IFERROR(__xludf.DUMMYFUNCTION("""COMPUTED_VALUE"""),"MCC046UC0658")</f>
        <v>MCC046UC0658</v>
      </c>
      <c r="C69" s="31" t="str">
        <f>IFERROR(__xludf.DUMMYFUNCTION("""COMPUTED_VALUE"""),"ETIQUETA ADESIVA COUCHE LARANJA 100X150X1")</f>
        <v>ETIQUETA ADESIVA COUCHE LARANJA 100X150X1</v>
      </c>
      <c r="D69" s="39">
        <f>IFERROR(__xludf.DUMMYFUNCTION("""COMPUTED_VALUE"""),4.0)</f>
        <v>4</v>
      </c>
      <c r="E69" s="34" t="str">
        <f>IFERROR(__xludf.DUMMYFUNCTION("""COMPUTED_VALUE"""),"Saída")</f>
        <v>Saída</v>
      </c>
      <c r="F69" s="34" t="str">
        <f>IFERROR(__xludf.DUMMYFUNCTION("""COMPUTED_VALUE"""),"Estoque:package:")</f>
        <v>Estoque:package:</v>
      </c>
      <c r="G69" s="39">
        <f t="array" ref="G69">XLOOKUP(B69,'Página9'!A:A,'Página9'!F:F,"")</f>
        <v>32</v>
      </c>
      <c r="H69" s="39">
        <f t="array" ref="H69">XLOOKUP(B69,'Página9'!A:A,'Página9'!C:C,"")</f>
        <v>5</v>
      </c>
      <c r="I69" s="35" t="str">
        <f t="array" ref="I69">XLOOKUP(B69,'Página9'!A:A,'Página9'!G:G,"")</f>
        <v>OK</v>
      </c>
      <c r="J69" s="25" t="str">
        <f t="shared" si="1"/>
        <v>ESTOQUE</v>
      </c>
      <c r="K69" s="25" t="str">
        <f>IFERROR(__xludf.DUMMYFUNCTION("""COMPUTED_VALUE"""),"Silvana Da Silva Pereira")</f>
        <v>Silvana Da Silva Pereira</v>
      </c>
    </row>
    <row r="70">
      <c r="A70" s="37">
        <f>IFERROR(__xludf.DUMMYFUNCTION("""COMPUTED_VALUE"""),45890.0)</f>
        <v>45890</v>
      </c>
      <c r="B70" s="42" t="str">
        <f>IFERROR(__xludf.DUMMYFUNCTION("""COMPUTED_VALUE"""),"MCC049UC0600")</f>
        <v>MCC049UC0600</v>
      </c>
      <c r="C70" s="31" t="str">
        <f>IFERROR(__xludf.DUMMYFUNCTION("""COMPUTED_VALUE"""),"FITA ADESIVA P/ CACHORRO PERSONALIZADA")</f>
        <v>FITA ADESIVA P/ CACHORRO PERSONALIZADA</v>
      </c>
      <c r="D70" s="39">
        <f>IFERROR(__xludf.DUMMYFUNCTION("""COMPUTED_VALUE"""),6.0)</f>
        <v>6</v>
      </c>
      <c r="E70" s="34" t="str">
        <f>IFERROR(__xludf.DUMMYFUNCTION("""COMPUTED_VALUE"""),"Saída")</f>
        <v>Saída</v>
      </c>
      <c r="F70" s="34" t="str">
        <f>IFERROR(__xludf.DUMMYFUNCTION("""COMPUTED_VALUE"""),"Recebimento:truck:")</f>
        <v>Recebimento:truck:</v>
      </c>
      <c r="G70" s="39">
        <f t="array" ref="G70">XLOOKUP(B70,'Página9'!A:A,'Página9'!F:F,"")</f>
        <v>156</v>
      </c>
      <c r="H70" s="39">
        <f t="array" ref="H70">XLOOKUP(B70,'Página9'!A:A,'Página9'!C:C,"")</f>
        <v>10</v>
      </c>
      <c r="I70" s="35" t="str">
        <f t="array" ref="I70">XLOOKUP(B70,'Página9'!A:A,'Página9'!G:G,"")</f>
        <v>OK</v>
      </c>
      <c r="J70" s="25" t="str">
        <f t="shared" si="1"/>
        <v>RECEBIMENTO</v>
      </c>
      <c r="K70" s="25" t="str">
        <f>IFERROR(__xludf.DUMMYFUNCTION("""COMPUTED_VALUE"""),"Silvana Da Silva Pereira")</f>
        <v>Silvana Da Silva Pereira</v>
      </c>
    </row>
    <row r="71">
      <c r="A71" s="37">
        <f>IFERROR(__xludf.DUMMYFUNCTION("""COMPUTED_VALUE"""),45890.0)</f>
        <v>45890</v>
      </c>
      <c r="B71" s="42" t="str">
        <f>IFERROR(__xludf.DUMMYFUNCTION("""COMPUTED_VALUE"""),"MCC015UC0045")</f>
        <v>MCC015UC0045</v>
      </c>
      <c r="C71" s="31" t="str">
        <f>IFERROR(__xludf.DUMMYFUNCTION("""COMPUTED_VALUE"""),"FITA ADESIVA 69MM X 100M")</f>
        <v>FITA ADESIVA 69MM X 100M</v>
      </c>
      <c r="D71" s="39">
        <f>IFERROR(__xludf.DUMMYFUNCTION("""COMPUTED_VALUE"""),1.0)</f>
        <v>1</v>
      </c>
      <c r="E71" s="34" t="str">
        <f>IFERROR(__xludf.DUMMYFUNCTION("""COMPUTED_VALUE"""),"Saída")</f>
        <v>Saída</v>
      </c>
      <c r="F71" s="34" t="str">
        <f>IFERROR(__xludf.DUMMYFUNCTION("""COMPUTED_VALUE"""),"Recebimento:truck:")</f>
        <v>Recebimento:truck:</v>
      </c>
      <c r="G71" s="39">
        <f t="array" ref="G71">XLOOKUP(B71,'Página9'!A:A,'Página9'!F:F,"")</f>
        <v>287</v>
      </c>
      <c r="H71" s="39">
        <f t="array" ref="H71">XLOOKUP(B71,'Página9'!A:A,'Página9'!C:C,"")</f>
        <v>20</v>
      </c>
      <c r="I71" s="35" t="str">
        <f t="array" ref="I71">XLOOKUP(B71,'Página9'!A:A,'Página9'!G:G,"")</f>
        <v>OK</v>
      </c>
      <c r="J71" s="25" t="str">
        <f t="shared" si="1"/>
        <v>RECEBIMENTO</v>
      </c>
      <c r="K71" s="25" t="str">
        <f>IFERROR(__xludf.DUMMYFUNCTION("""COMPUTED_VALUE"""),"Paulo Henrique Chagas De Oliveira")</f>
        <v>Paulo Henrique Chagas De Oliveira</v>
      </c>
    </row>
    <row r="72">
      <c r="A72" s="37">
        <f>IFERROR(__xludf.DUMMYFUNCTION("""COMPUTED_VALUE"""),45890.0)</f>
        <v>45890</v>
      </c>
      <c r="B72" s="42" t="str">
        <f>IFERROR(__xludf.DUMMYFUNCTION("""COMPUTED_VALUE"""),"MCC049UC0610")</f>
        <v>MCC049UC0610</v>
      </c>
      <c r="C72" s="31" t="str">
        <f>IFERROR(__xludf.DUMMYFUNCTION("""COMPUTED_VALUE"""),"GRAMPO PISTOLA ROCAMA 106/8 CX 5.000 UN")</f>
        <v>GRAMPO PISTOLA ROCAMA 106/8 CX 5.000 UN</v>
      </c>
      <c r="D72" s="39">
        <f>IFERROR(__xludf.DUMMYFUNCTION("""COMPUTED_VALUE"""),1.0)</f>
        <v>1</v>
      </c>
      <c r="E72" s="34" t="str">
        <f>IFERROR(__xludf.DUMMYFUNCTION("""COMPUTED_VALUE"""),"Saída")</f>
        <v>Saída</v>
      </c>
      <c r="F72" s="34" t="str">
        <f>IFERROR(__xludf.DUMMYFUNCTION("""COMPUTED_VALUE"""),"Estoque:package:")</f>
        <v>Estoque:package:</v>
      </c>
      <c r="G72" s="39">
        <f t="array" ref="G72">XLOOKUP(B72,'Página9'!A:A,'Página9'!F:F,"")</f>
        <v>-14</v>
      </c>
      <c r="H72" s="39">
        <f t="array" ref="H72">XLOOKUP(B72,'Página9'!A:A,'Página9'!C:C,"")</f>
        <v>1</v>
      </c>
      <c r="I72" s="35" t="str">
        <f t="array" ref="I72">XLOOKUP(B72,'Página9'!A:A,'Página9'!G:G,"")</f>
        <v>REPOR ESTOQUE</v>
      </c>
      <c r="J72" s="25" t="str">
        <f t="shared" si="1"/>
        <v>ESTOQUE</v>
      </c>
      <c r="K72" s="25" t="str">
        <f>IFERROR(__xludf.DUMMYFUNCTION("""COMPUTED_VALUE"""),"Francisco Samuel Trindade Nascimento")</f>
        <v>Francisco Samuel Trindade Nascimento</v>
      </c>
    </row>
    <row r="73">
      <c r="A73" s="37">
        <f>IFERROR(__xludf.DUMMYFUNCTION("""COMPUTED_VALUE"""),45890.0)</f>
        <v>45890</v>
      </c>
      <c r="B73" s="42" t="str">
        <f>IFERROR(__xludf.DUMMYFUNCTION("""COMPUTED_VALUE"""),"MCC046UC0398")</f>
        <v>MCC046UC0398</v>
      </c>
      <c r="C73" s="31" t="str">
        <f>IFERROR(__xludf.DUMMYFUNCTION("""COMPUTED_VALUE"""),"GRAMPO 26/6 COBREADO CX.C/5000 BACCHI")</f>
        <v>GRAMPO 26/6 COBREADO CX.C/5000 BACCHI</v>
      </c>
      <c r="D73" s="39">
        <f>IFERROR(__xludf.DUMMYFUNCTION("""COMPUTED_VALUE"""),12.0)</f>
        <v>12</v>
      </c>
      <c r="E73" s="34" t="str">
        <f>IFERROR(__xludf.DUMMYFUNCTION("""COMPUTED_VALUE"""),"Saída")</f>
        <v>Saída</v>
      </c>
      <c r="F73" s="34" t="str">
        <f>IFERROR(__xludf.DUMMYFUNCTION("""COMPUTED_VALUE"""),"PMM:livro-voador:")</f>
        <v>PMM:livro-voador:</v>
      </c>
      <c r="G73" s="39">
        <f t="array" ref="G73">XLOOKUP(B73,'Página9'!A:A,'Página9'!F:F,"")</f>
        <v>-13</v>
      </c>
      <c r="H73" s="39">
        <f t="array" ref="H73">XLOOKUP(B73,'Página9'!A:A,'Página9'!C:C,"")</f>
        <v>3</v>
      </c>
      <c r="I73" s="35" t="str">
        <f t="array" ref="I73">XLOOKUP(B73,'Página9'!A:A,'Página9'!G:G,"")</f>
        <v>REPOR ESTOQUE</v>
      </c>
      <c r="J73" s="25" t="str">
        <f t="shared" si="1"/>
        <v>PMM</v>
      </c>
      <c r="K73" s="25" t="str">
        <f>IFERROR(__xludf.DUMMYFUNCTION("""COMPUTED_VALUE"""),"Francisco Samuel Trindade Nascimento")</f>
        <v>Francisco Samuel Trindade Nascimento</v>
      </c>
    </row>
    <row r="74">
      <c r="A74" s="37">
        <f>IFERROR(__xludf.DUMMYFUNCTION("""COMPUTED_VALUE"""),45890.0)</f>
        <v>45890</v>
      </c>
      <c r="B74" s="42" t="str">
        <f>IFERROR(__xludf.DUMMYFUNCTION("""COMPUTED_VALUE"""),"MCC046UC0695")</f>
        <v>MCC046UC0695</v>
      </c>
      <c r="C74" s="31" t="str">
        <f>IFERROR(__xludf.DUMMYFUNCTION("""COMPUTED_VALUE"""),"ETIQUETA COUCHE 98X50X1")</f>
        <v>ETIQUETA COUCHE 98X50X1</v>
      </c>
      <c r="D74" s="39">
        <f>IFERROR(__xludf.DUMMYFUNCTION("""COMPUTED_VALUE"""),1.0)</f>
        <v>1</v>
      </c>
      <c r="E74" s="34" t="str">
        <f>IFERROR(__xludf.DUMMYFUNCTION("""COMPUTED_VALUE"""),"Saída")</f>
        <v>Saída</v>
      </c>
      <c r="F74" s="34" t="str">
        <f>IFERROR(__xludf.DUMMYFUNCTION("""COMPUTED_VALUE"""),"PMM:livro-voador:")</f>
        <v>PMM:livro-voador:</v>
      </c>
      <c r="G74" s="39">
        <f t="array" ref="G74">XLOOKUP(B74,'Página9'!A:A,'Página9'!F:F,"")</f>
        <v>256</v>
      </c>
      <c r="H74" s="39">
        <f t="array" ref="H74">XLOOKUP(B74,'Página9'!A:A,'Página9'!C:C,"")</f>
        <v>20</v>
      </c>
      <c r="I74" s="35" t="str">
        <f t="array" ref="I74">XLOOKUP(B74,'Página9'!A:A,'Página9'!G:G,"")</f>
        <v>OK</v>
      </c>
      <c r="J74" s="25" t="str">
        <f t="shared" si="1"/>
        <v>PMM</v>
      </c>
      <c r="K74" s="25" t="str">
        <f>IFERROR(__xludf.DUMMYFUNCTION("""COMPUTED_VALUE"""),"Fabio Ferreira Pessoa")</f>
        <v>Fabio Ferreira Pessoa</v>
      </c>
    </row>
    <row r="75">
      <c r="A75" s="37">
        <f>IFERROR(__xludf.DUMMYFUNCTION("""COMPUTED_VALUE"""),45890.0)</f>
        <v>45890</v>
      </c>
      <c r="B75" s="42" t="str">
        <f>IFERROR(__xludf.DUMMYFUNCTION("""COMPUTED_VALUE"""),"MCC046UC0587")</f>
        <v>MCC046UC0587</v>
      </c>
      <c r="C75" s="31" t="str">
        <f>IFERROR(__xludf.DUMMYFUNCTION("""COMPUTED_VALUE"""),"TESOURA USO GERAL 21CM MUNDIAL 160-8N")</f>
        <v>TESOURA USO GERAL 21CM MUNDIAL 160-8N</v>
      </c>
      <c r="D75" s="39">
        <f>IFERROR(__xludf.DUMMYFUNCTION("""COMPUTED_VALUE"""),1.0)</f>
        <v>1</v>
      </c>
      <c r="E75" s="34" t="str">
        <f>IFERROR(__xludf.DUMMYFUNCTION("""COMPUTED_VALUE"""),"Saída")</f>
        <v>Saída</v>
      </c>
      <c r="F75" s="34" t="str">
        <f>IFERROR(__xludf.DUMMYFUNCTION("""COMPUTED_VALUE"""),"PMM:livro-voador:")</f>
        <v>PMM:livro-voador:</v>
      </c>
      <c r="G75" s="39">
        <f t="array" ref="G75">XLOOKUP(B75,'Página9'!A:A,'Página9'!F:F,"")</f>
        <v>-1</v>
      </c>
      <c r="H75" s="39">
        <f t="array" ref="H75">XLOOKUP(B75,'Página9'!A:A,'Página9'!C:C,"")</f>
        <v>2</v>
      </c>
      <c r="I75" s="35" t="str">
        <f t="array" ref="I75">XLOOKUP(B75,'Página9'!A:A,'Página9'!G:G,"")</f>
        <v>REPOR ESTOQUE</v>
      </c>
      <c r="J75" s="25" t="str">
        <f t="shared" si="1"/>
        <v>PMM</v>
      </c>
      <c r="K75" s="25" t="str">
        <f>IFERROR(__xludf.DUMMYFUNCTION("""COMPUTED_VALUE"""),"Jose Antoniel Silva Mesquita")</f>
        <v>Jose Antoniel Silva Mesquita</v>
      </c>
    </row>
    <row r="76">
      <c r="A76" s="37">
        <f>IFERROR(__xludf.DUMMYFUNCTION("""COMPUTED_VALUE"""),45891.0)</f>
        <v>45891</v>
      </c>
      <c r="B76" s="42" t="str">
        <f>IFERROR(__xludf.DUMMYFUNCTION("""COMPUTED_VALUE"""),"MCC015UC0045")</f>
        <v>MCC015UC0045</v>
      </c>
      <c r="C76" s="31" t="str">
        <f>IFERROR(__xludf.DUMMYFUNCTION("""COMPUTED_VALUE"""),"FITA ADESIVA 69MM X 100M")</f>
        <v>FITA ADESIVA 69MM X 100M</v>
      </c>
      <c r="D76" s="39">
        <f>IFERROR(__xludf.DUMMYFUNCTION("""COMPUTED_VALUE"""),2.0)</f>
        <v>2</v>
      </c>
      <c r="E76" s="34" t="str">
        <f>IFERROR(__xludf.DUMMYFUNCTION("""COMPUTED_VALUE"""),"Saída")</f>
        <v>Saída</v>
      </c>
      <c r="F76" s="34" t="str">
        <f>IFERROR(__xludf.DUMMYFUNCTION("""COMPUTED_VALUE"""),"Estoque:package:")</f>
        <v>Estoque:package:</v>
      </c>
      <c r="G76" s="39">
        <f t="array" ref="G76">XLOOKUP(B76,'Página9'!A:A,'Página9'!F:F,"")</f>
        <v>287</v>
      </c>
      <c r="H76" s="39">
        <f t="array" ref="H76">XLOOKUP(B76,'Página9'!A:A,'Página9'!C:C,"")</f>
        <v>20</v>
      </c>
      <c r="I76" s="35" t="str">
        <f t="array" ref="I76">XLOOKUP(B76,'Página9'!A:A,'Página9'!G:G,"")</f>
        <v>OK</v>
      </c>
      <c r="J76" s="25" t="str">
        <f t="shared" si="1"/>
        <v>ESTOQUE</v>
      </c>
      <c r="K76" s="25" t="str">
        <f>IFERROR(__xludf.DUMMYFUNCTION("""COMPUTED_VALUE"""),"Francisco Samuel Trindade Nascimento")</f>
        <v>Francisco Samuel Trindade Nascimento</v>
      </c>
    </row>
    <row r="77">
      <c r="A77" s="37">
        <f>IFERROR(__xludf.DUMMYFUNCTION("""COMPUTED_VALUE"""),45891.0)</f>
        <v>45891</v>
      </c>
      <c r="B77" s="42" t="str">
        <f>IFERROR(__xludf.DUMMYFUNCTION("""COMPUTED_VALUE"""),"MCC015UC0045")</f>
        <v>MCC015UC0045</v>
      </c>
      <c r="C77" s="31" t="str">
        <f>IFERROR(__xludf.DUMMYFUNCTION("""COMPUTED_VALUE"""),"FITA ADESIVA 69MM X 100M")</f>
        <v>FITA ADESIVA 69MM X 100M</v>
      </c>
      <c r="D77" s="39">
        <f>IFERROR(__xludf.DUMMYFUNCTION("""COMPUTED_VALUE"""),6.0)</f>
        <v>6</v>
      </c>
      <c r="E77" s="34" t="str">
        <f>IFERROR(__xludf.DUMMYFUNCTION("""COMPUTED_VALUE"""),"Saída")</f>
        <v>Saída</v>
      </c>
      <c r="F77" s="34" t="str">
        <f>IFERROR(__xludf.DUMMYFUNCTION("""COMPUTED_VALUE"""),"Expedição:ex-escolas-exponenciais:")</f>
        <v>Expedição:ex-escolas-exponenciais:</v>
      </c>
      <c r="G77" s="39">
        <f t="array" ref="G77">XLOOKUP(B77,'Página9'!A:A,'Página9'!F:F,"")</f>
        <v>287</v>
      </c>
      <c r="H77" s="39">
        <f t="array" ref="H77">XLOOKUP(B77,'Página9'!A:A,'Página9'!C:C,"")</f>
        <v>20</v>
      </c>
      <c r="I77" s="35" t="str">
        <f t="array" ref="I77">XLOOKUP(B77,'Página9'!A:A,'Página9'!G:G,"")</f>
        <v>OK</v>
      </c>
      <c r="J77" s="25" t="str">
        <f t="shared" si="1"/>
        <v>EXPEDIÇÃO</v>
      </c>
      <c r="K77" s="25" t="str">
        <f>IFERROR(__xludf.DUMMYFUNCTION("""COMPUTED_VALUE"""),"Silvana Da Silva Pereira")</f>
        <v>Silvana Da Silva Pereira</v>
      </c>
    </row>
    <row r="78">
      <c r="A78" s="37">
        <f>IFERROR(__xludf.DUMMYFUNCTION("""COMPUTED_VALUE"""),45891.0)</f>
        <v>45891</v>
      </c>
      <c r="B78" s="42" t="str">
        <f>IFERROR(__xludf.DUMMYFUNCTION("""COMPUTED_VALUE"""),"MCC046UC0638")</f>
        <v>MCC046UC0638</v>
      </c>
      <c r="C78" s="31" t="str">
        <f>IFERROR(__xludf.DUMMYFUNCTION("""COMPUTED_VALUE"""),"PILHA ALCALINA ELGIN PALITO AAA")</f>
        <v>PILHA ALCALINA ELGIN PALITO AAA</v>
      </c>
      <c r="D78" s="39">
        <f>IFERROR(__xludf.DUMMYFUNCTION("""COMPUTED_VALUE"""),4.0)</f>
        <v>4</v>
      </c>
      <c r="E78" s="34" t="str">
        <f>IFERROR(__xludf.DUMMYFUNCTION("""COMPUTED_VALUE"""),"Saída")</f>
        <v>Saída</v>
      </c>
      <c r="F78" s="34" t="str">
        <f>IFERROR(__xludf.DUMMYFUNCTION("""COMPUTED_VALUE"""),"PMM:livro-voador:")</f>
        <v>PMM:livro-voador:</v>
      </c>
      <c r="G78" s="39">
        <f t="array" ref="G78">XLOOKUP(B78,'Página9'!A:A,'Página9'!F:F,"")</f>
        <v>32</v>
      </c>
      <c r="H78" s="39">
        <f t="array" ref="H78">XLOOKUP(B78,'Página9'!A:A,'Página9'!C:C,"")</f>
        <v>4</v>
      </c>
      <c r="I78" s="35" t="str">
        <f t="array" ref="I78">XLOOKUP(B78,'Página9'!A:A,'Página9'!G:G,"")</f>
        <v>OK</v>
      </c>
      <c r="J78" s="25" t="str">
        <f t="shared" si="1"/>
        <v>PMM</v>
      </c>
      <c r="K78" s="25" t="str">
        <f>IFERROR(__xludf.DUMMYFUNCTION("""COMPUTED_VALUE"""),"Diego Araujo Dias")</f>
        <v>Diego Araujo Dias</v>
      </c>
    </row>
    <row r="79">
      <c r="A79" s="37">
        <f>IFERROR(__xludf.DUMMYFUNCTION("""COMPUTED_VALUE"""),45892.0)</f>
        <v>45892</v>
      </c>
      <c r="B79" s="42" t="str">
        <f>IFERROR(__xludf.DUMMYFUNCTION("""COMPUTED_VALUE"""),"MCC046UC0695")</f>
        <v>MCC046UC0695</v>
      </c>
      <c r="C79" s="31" t="str">
        <f>IFERROR(__xludf.DUMMYFUNCTION("""COMPUTED_VALUE"""),"ETIQUETA COUCHE 98X50X1")</f>
        <v>ETIQUETA COUCHE 98X50X1</v>
      </c>
      <c r="D79" s="39">
        <f>IFERROR(__xludf.DUMMYFUNCTION("""COMPUTED_VALUE"""),1.0)</f>
        <v>1</v>
      </c>
      <c r="E79" s="34" t="str">
        <f>IFERROR(__xludf.DUMMYFUNCTION("""COMPUTED_VALUE"""),"Saída")</f>
        <v>Saída</v>
      </c>
      <c r="F79" s="34" t="str">
        <f>IFERROR(__xludf.DUMMYFUNCTION("""COMPUTED_VALUE"""),"Expedição:ex-escolas-exponenciais:")</f>
        <v>Expedição:ex-escolas-exponenciais:</v>
      </c>
      <c r="G79" s="39">
        <f t="array" ref="G79">XLOOKUP(B79,'Página9'!A:A,'Página9'!F:F,"")</f>
        <v>256</v>
      </c>
      <c r="H79" s="39">
        <f t="array" ref="H79">XLOOKUP(B79,'Página9'!A:A,'Página9'!C:C,"")</f>
        <v>20</v>
      </c>
      <c r="I79" s="35" t="str">
        <f t="array" ref="I79">XLOOKUP(B79,'Página9'!A:A,'Página9'!G:G,"")</f>
        <v>OK</v>
      </c>
      <c r="J79" s="25" t="str">
        <f t="shared" si="1"/>
        <v>EXPEDIÇÃO</v>
      </c>
      <c r="K79" s="25" t="str">
        <f>IFERROR(__xludf.DUMMYFUNCTION("""COMPUTED_VALUE"""),"Pedro Lucas Matias Do Nascimento")</f>
        <v>Pedro Lucas Matias Do Nascimento</v>
      </c>
    </row>
    <row r="80">
      <c r="A80" s="37">
        <f>IFERROR(__xludf.DUMMYFUNCTION("""COMPUTED_VALUE"""),45892.0)</f>
        <v>45892</v>
      </c>
      <c r="B80" s="42" t="str">
        <f>IFERROR(__xludf.DUMMYFUNCTION("""COMPUTED_VALUE"""),"MCC015UC0045")</f>
        <v>MCC015UC0045</v>
      </c>
      <c r="C80" s="31" t="str">
        <f>IFERROR(__xludf.DUMMYFUNCTION("""COMPUTED_VALUE"""),"FITA ADESIVA 69MM X 100M")</f>
        <v>FITA ADESIVA 69MM X 100M</v>
      </c>
      <c r="D80" s="39">
        <f>IFERROR(__xludf.DUMMYFUNCTION("""COMPUTED_VALUE"""),1.0)</f>
        <v>1</v>
      </c>
      <c r="E80" s="34" t="str">
        <f>IFERROR(__xludf.DUMMYFUNCTION("""COMPUTED_VALUE"""),"Saída")</f>
        <v>Saída</v>
      </c>
      <c r="F80" s="34" t="str">
        <f>IFERROR(__xludf.DUMMYFUNCTION("""COMPUTED_VALUE"""),"Recebimento:truck:")</f>
        <v>Recebimento:truck:</v>
      </c>
      <c r="G80" s="39">
        <f t="array" ref="G80">XLOOKUP(B80,'Página9'!A:A,'Página9'!F:F,"")</f>
        <v>287</v>
      </c>
      <c r="H80" s="39">
        <f t="array" ref="H80">XLOOKUP(B80,'Página9'!A:A,'Página9'!C:C,"")</f>
        <v>20</v>
      </c>
      <c r="I80" s="35" t="str">
        <f t="array" ref="I80">XLOOKUP(B80,'Página9'!A:A,'Página9'!G:G,"")</f>
        <v>OK</v>
      </c>
      <c r="J80" s="25" t="str">
        <f t="shared" si="1"/>
        <v>RECEBIMENTO</v>
      </c>
      <c r="K80" s="25" t="str">
        <f>IFERROR(__xludf.DUMMYFUNCTION("""COMPUTED_VALUE"""),"Jose Antoniel Silva Mesquita")</f>
        <v>Jose Antoniel Silva Mesquita</v>
      </c>
    </row>
    <row r="81">
      <c r="A81" s="37">
        <f>IFERROR(__xludf.DUMMYFUNCTION("""COMPUTED_VALUE"""),45894.0)</f>
        <v>45894</v>
      </c>
      <c r="B81" s="42" t="str">
        <f>IFERROR(__xludf.DUMMYFUNCTION("""COMPUTED_VALUE"""),"MCC015UC0045")</f>
        <v>MCC015UC0045</v>
      </c>
      <c r="C81" s="31" t="str">
        <f>IFERROR(__xludf.DUMMYFUNCTION("""COMPUTED_VALUE"""),"FITA ADESIVA 69MM X 100M")</f>
        <v>FITA ADESIVA 69MM X 100M</v>
      </c>
      <c r="D81" s="39">
        <f>IFERROR(__xludf.DUMMYFUNCTION("""COMPUTED_VALUE"""),10.0)</f>
        <v>10</v>
      </c>
      <c r="E81" s="34" t="str">
        <f>IFERROR(__xludf.DUMMYFUNCTION("""COMPUTED_VALUE"""),"Saída")</f>
        <v>Saída</v>
      </c>
      <c r="F81" s="34" t="str">
        <f>IFERROR(__xludf.DUMMYFUNCTION("""COMPUTED_VALUE"""),"Recebimento:truck:")</f>
        <v>Recebimento:truck:</v>
      </c>
      <c r="G81" s="39">
        <f t="array" ref="G81">XLOOKUP(B81,'Página9'!A:A,'Página9'!F:F,"")</f>
        <v>287</v>
      </c>
      <c r="H81" s="39">
        <f t="array" ref="H81">XLOOKUP(B81,'Página9'!A:A,'Página9'!C:C,"")</f>
        <v>20</v>
      </c>
      <c r="I81" s="35" t="str">
        <f t="array" ref="I81">XLOOKUP(B81,'Página9'!A:A,'Página9'!G:G,"")</f>
        <v>OK</v>
      </c>
      <c r="J81" s="25" t="str">
        <f t="shared" si="1"/>
        <v>RECEBIMENTO</v>
      </c>
      <c r="K81" s="25" t="str">
        <f>IFERROR(__xludf.DUMMYFUNCTION("""COMPUTED_VALUE"""),"Jose Edervanio Lima Mateus")</f>
        <v>Jose Edervanio Lima Mateus</v>
      </c>
    </row>
    <row r="82">
      <c r="A82" s="37">
        <f>IFERROR(__xludf.DUMMYFUNCTION("""COMPUTED_VALUE"""),45894.0)</f>
        <v>45894</v>
      </c>
      <c r="B82" s="42" t="str">
        <f>IFERROR(__xludf.DUMMYFUNCTION("""COMPUTED_VALUE"""),"MCC015UC0045")</f>
        <v>MCC015UC0045</v>
      </c>
      <c r="C82" s="31" t="str">
        <f>IFERROR(__xludf.DUMMYFUNCTION("""COMPUTED_VALUE"""),"FITA ADESIVA 69MM X 100M")</f>
        <v>FITA ADESIVA 69MM X 100M</v>
      </c>
      <c r="D82" s="39">
        <f>IFERROR(__xludf.DUMMYFUNCTION("""COMPUTED_VALUE"""),10.0)</f>
        <v>10</v>
      </c>
      <c r="E82" s="34" t="str">
        <f>IFERROR(__xludf.DUMMYFUNCTION("""COMPUTED_VALUE"""),"Saída")</f>
        <v>Saída</v>
      </c>
      <c r="F82" s="34" t="str">
        <f>IFERROR(__xludf.DUMMYFUNCTION("""COMPUTED_VALUE"""),"CIQ :qualidade:")</f>
        <v>CIQ :qualidade:</v>
      </c>
      <c r="G82" s="39">
        <f t="array" ref="G82">XLOOKUP(B82,'Página9'!A:A,'Página9'!F:F,"")</f>
        <v>287</v>
      </c>
      <c r="H82" s="39">
        <f t="array" ref="H82">XLOOKUP(B82,'Página9'!A:A,'Página9'!C:C,"")</f>
        <v>20</v>
      </c>
      <c r="I82" s="35" t="str">
        <f t="array" ref="I82">XLOOKUP(B82,'Página9'!A:A,'Página9'!G:G,"")</f>
        <v>OK</v>
      </c>
      <c r="J82" s="25" t="str">
        <f t="shared" si="1"/>
        <v>CIQ</v>
      </c>
      <c r="K82" s="25" t="str">
        <f>IFERROR(__xludf.DUMMYFUNCTION("""COMPUTED_VALUE"""),"Jose Edervanio Lima Mateus")</f>
        <v>Jose Edervanio Lima Mateus</v>
      </c>
    </row>
    <row r="83">
      <c r="A83" s="37">
        <f>IFERROR(__xludf.DUMMYFUNCTION("""COMPUTED_VALUE"""),45894.0)</f>
        <v>45894</v>
      </c>
      <c r="B83" s="42" t="str">
        <f>IFERROR(__xludf.DUMMYFUNCTION("""COMPUTED_VALUE"""),"MCC015UC0008")</f>
        <v>MCC015UC0008</v>
      </c>
      <c r="C83" s="31" t="str">
        <f>IFERROR(__xludf.DUMMYFUNCTION("""COMPUTED_VALUE"""),"FILME STRETCH 500X25")</f>
        <v>FILME STRETCH 500X25</v>
      </c>
      <c r="D83" s="39">
        <f>IFERROR(__xludf.DUMMYFUNCTION("""COMPUTED_VALUE"""),1.0)</f>
        <v>1</v>
      </c>
      <c r="E83" s="34" t="str">
        <f>IFERROR(__xludf.DUMMYFUNCTION("""COMPUTED_VALUE"""),"Saída")</f>
        <v>Saída</v>
      </c>
      <c r="F83" s="34" t="str">
        <f>IFERROR(__xludf.DUMMYFUNCTION("""COMPUTED_VALUE"""),"Recebimento:truck:")</f>
        <v>Recebimento:truck:</v>
      </c>
      <c r="G83" s="39">
        <f t="array" ref="G83">XLOOKUP(B83,'Página9'!A:A,'Página9'!F:F,"")</f>
        <v>-158</v>
      </c>
      <c r="H83" s="39">
        <f t="array" ref="H83">XLOOKUP(B83,'Página9'!A:A,'Página9'!C:C,"")</f>
        <v>40</v>
      </c>
      <c r="I83" s="35" t="str">
        <f t="array" ref="I83">XLOOKUP(B83,'Página9'!A:A,'Página9'!G:G,"")</f>
        <v>REPOR ESTOQUE</v>
      </c>
      <c r="J83" s="25" t="str">
        <f t="shared" si="1"/>
        <v>RECEBIMENTO</v>
      </c>
      <c r="K83" s="25" t="str">
        <f>IFERROR(__xludf.DUMMYFUNCTION("""COMPUTED_VALUE"""),"Pericles Cavalcante De Lima Maciel")</f>
        <v>Pericles Cavalcante De Lima Maciel</v>
      </c>
    </row>
    <row r="84">
      <c r="A84" s="37">
        <f>IFERROR(__xludf.DUMMYFUNCTION("""COMPUTED_VALUE"""),45894.0)</f>
        <v>45894</v>
      </c>
      <c r="B84" s="42" t="str">
        <f>IFERROR(__xludf.DUMMYFUNCTION("""COMPUTED_VALUE"""),"MCC049UC0610")</f>
        <v>MCC049UC0610</v>
      </c>
      <c r="C84" s="44" t="str">
        <f>IFERROR(__xludf.DUMMYFUNCTION("""COMPUTED_VALUE"""),"GRAMPO PISTOLA ROCAMA 106/8 CX 5.000 UN")</f>
        <v>GRAMPO PISTOLA ROCAMA 106/8 CX 5.000 UN</v>
      </c>
      <c r="D84" s="39">
        <f>IFERROR(__xludf.DUMMYFUNCTION("""COMPUTED_VALUE"""),1.0)</f>
        <v>1</v>
      </c>
      <c r="E84" s="34" t="str">
        <f>IFERROR(__xludf.DUMMYFUNCTION("""COMPUTED_VALUE"""),"Saída")</f>
        <v>Saída</v>
      </c>
      <c r="F84" s="34" t="str">
        <f>IFERROR(__xludf.DUMMYFUNCTION("""COMPUTED_VALUE"""),"Recebimento:truck:")</f>
        <v>Recebimento:truck:</v>
      </c>
      <c r="G84" s="39">
        <f t="array" ref="G84">XLOOKUP(B84,'Página9'!A:A,'Página9'!F:F,"")</f>
        <v>-14</v>
      </c>
      <c r="H84" s="39">
        <f t="array" ref="H84">XLOOKUP(B84,'Página9'!A:A,'Página9'!C:C,"")</f>
        <v>1</v>
      </c>
      <c r="I84" s="35" t="str">
        <f t="array" ref="I84">XLOOKUP(B84,'Página9'!A:A,'Página9'!G:G,"")</f>
        <v>REPOR ESTOQUE</v>
      </c>
      <c r="J84" s="25" t="str">
        <f t="shared" si="1"/>
        <v>RECEBIMENTO</v>
      </c>
      <c r="K84" s="25" t="str">
        <f>IFERROR(__xludf.DUMMYFUNCTION("""COMPUTED_VALUE"""),"Fabio Ferreira Pessoa")</f>
        <v>Fabio Ferreira Pessoa</v>
      </c>
    </row>
    <row r="85">
      <c r="A85" s="37">
        <f>IFERROR(__xludf.DUMMYFUNCTION("""COMPUTED_VALUE"""),45894.0)</f>
        <v>45894</v>
      </c>
      <c r="B85" s="42" t="str">
        <f>IFERROR(__xludf.DUMMYFUNCTION("""COMPUTED_VALUE"""),"MCC046UC0082")</f>
        <v>MCC046UC0082</v>
      </c>
      <c r="C85" s="44" t="str">
        <f>IFERROR(__xludf.DUMMYFUNCTION("""COMPUTED_VALUE"""),"PAPEL SULFITE A4 75G 500 FOLHAS")</f>
        <v>PAPEL SULFITE A4 75G 500 FOLHAS</v>
      </c>
      <c r="D85" s="39">
        <f>IFERROR(__xludf.DUMMYFUNCTION("""COMPUTED_VALUE"""),2.0)</f>
        <v>2</v>
      </c>
      <c r="E85" s="34" t="str">
        <f>IFERROR(__xludf.DUMMYFUNCTION("""COMPUTED_VALUE"""),"Saída")</f>
        <v>Saída</v>
      </c>
      <c r="F85" s="34" t="str">
        <f>IFERROR(__xludf.DUMMYFUNCTION("""COMPUTED_VALUE"""),"Recebimento:truck:")</f>
        <v>Recebimento:truck:</v>
      </c>
      <c r="G85" s="39">
        <f t="array" ref="G85">XLOOKUP(B85,'Página9'!A:A,'Página9'!F:F,"")</f>
        <v>163</v>
      </c>
      <c r="H85" s="39">
        <f t="array" ref="H85">XLOOKUP(B85,'Página9'!A:A,'Página9'!C:C,"")</f>
        <v>10</v>
      </c>
      <c r="I85" s="35" t="str">
        <f t="array" ref="I85">XLOOKUP(B85,'Página9'!A:A,'Página9'!G:G,"")</f>
        <v>OK</v>
      </c>
      <c r="J85" s="25" t="str">
        <f t="shared" si="1"/>
        <v>RECEBIMENTO</v>
      </c>
      <c r="K85" s="25" t="str">
        <f>IFERROR(__xludf.DUMMYFUNCTION("""COMPUTED_VALUE"""),"Francisco Edson Oliveira Dos Santos Vieira")</f>
        <v>Francisco Edson Oliveira Dos Santos Vieira</v>
      </c>
    </row>
    <row r="86">
      <c r="A86" s="37">
        <f>IFERROR(__xludf.DUMMYFUNCTION("""COMPUTED_VALUE"""),45896.0)</f>
        <v>45896</v>
      </c>
      <c r="B86" s="42" t="str">
        <f>IFERROR(__xludf.DUMMYFUNCTION("""COMPUTED_VALUE"""),"MCC046UC0639")</f>
        <v>MCC046UC0639</v>
      </c>
      <c r="C86" s="31" t="str">
        <f>IFERROR(__xludf.DUMMYFUNCTION("""COMPUTED_VALUE"""),"PILHA ALCALINA ELGIN PEQ.AA")</f>
        <v>PILHA ALCALINA ELGIN PEQ.AA</v>
      </c>
      <c r="D86" s="39">
        <f>IFERROR(__xludf.DUMMYFUNCTION("""COMPUTED_VALUE"""),1.0)</f>
        <v>1</v>
      </c>
      <c r="E86" s="34" t="str">
        <f>IFERROR(__xludf.DUMMYFUNCTION("""COMPUTED_VALUE"""),"Saída")</f>
        <v>Saída</v>
      </c>
      <c r="F86" s="34" t="str">
        <f>IFERROR(__xludf.DUMMYFUNCTION("""COMPUTED_VALUE"""),"Estoque:package:")</f>
        <v>Estoque:package:</v>
      </c>
      <c r="G86" s="39">
        <f t="array" ref="G86">XLOOKUP(B86,'Página9'!A:A,'Página9'!F:F,"")</f>
        <v>-5</v>
      </c>
      <c r="H86" s="39">
        <f t="array" ref="H86">XLOOKUP(B86,'Página9'!A:A,'Página9'!C:C,"")</f>
        <v>4</v>
      </c>
      <c r="I86" s="35" t="str">
        <f t="array" ref="I86">XLOOKUP(B86,'Página9'!A:A,'Página9'!G:G,"")</f>
        <v>REPOR ESTOQUE</v>
      </c>
      <c r="J86" s="25" t="str">
        <f t="shared" si="1"/>
        <v>ESTOQUE</v>
      </c>
      <c r="K86" s="25" t="str">
        <f>IFERROR(__xludf.DUMMYFUNCTION("""COMPUTED_VALUE"""),"Francisco Edson Oliveira Dos Santos Vieira")</f>
        <v>Francisco Edson Oliveira Dos Santos Vieira</v>
      </c>
    </row>
    <row r="87">
      <c r="A87" s="37">
        <f>IFERROR(__xludf.DUMMYFUNCTION("""COMPUTED_VALUE"""),45896.0)</f>
        <v>45896</v>
      </c>
      <c r="B87" s="42" t="str">
        <f>IFERROR(__xludf.DUMMYFUNCTION("""COMPUTED_VALUE"""),"MCC015UC0045")</f>
        <v>MCC015UC0045</v>
      </c>
      <c r="C87" s="31" t="str">
        <f>IFERROR(__xludf.DUMMYFUNCTION("""COMPUTED_VALUE"""),"FITA ADESIVA 69MM X 100M")</f>
        <v>FITA ADESIVA 69MM X 100M</v>
      </c>
      <c r="D87" s="39">
        <f>IFERROR(__xludf.DUMMYFUNCTION("""COMPUTED_VALUE"""),2.0)</f>
        <v>2</v>
      </c>
      <c r="E87" s="34" t="str">
        <f>IFERROR(__xludf.DUMMYFUNCTION("""COMPUTED_VALUE"""),"Saída")</f>
        <v>Saída</v>
      </c>
      <c r="F87" s="34" t="str">
        <f>IFERROR(__xludf.DUMMYFUNCTION("""COMPUTED_VALUE"""),"Recebimento:truck:")</f>
        <v>Recebimento:truck:</v>
      </c>
      <c r="G87" s="39">
        <f t="array" ref="G87">XLOOKUP(B87,'Página9'!A:A,'Página9'!F:F,"")</f>
        <v>287</v>
      </c>
      <c r="H87" s="39">
        <f t="array" ref="H87">XLOOKUP(B87,'Página9'!A:A,'Página9'!C:C,"")</f>
        <v>20</v>
      </c>
      <c r="I87" s="35" t="str">
        <f t="array" ref="I87">XLOOKUP(B87,'Página9'!A:A,'Página9'!G:G,"")</f>
        <v>OK</v>
      </c>
      <c r="J87" s="25" t="str">
        <f t="shared" si="1"/>
        <v>RECEBIMENTO</v>
      </c>
      <c r="K87" s="25" t="str">
        <f>IFERROR(__xludf.DUMMYFUNCTION("""COMPUTED_VALUE"""),"Marcio Sthefani Bessa De Oliveira")</f>
        <v>Marcio Sthefani Bessa De Oliveira</v>
      </c>
    </row>
    <row r="88">
      <c r="A88" s="37">
        <f>IFERROR(__xludf.DUMMYFUNCTION("""COMPUTED_VALUE"""),45896.0)</f>
        <v>45896</v>
      </c>
      <c r="B88" s="42" t="str">
        <f>IFERROR(__xludf.DUMMYFUNCTION("""COMPUTED_VALUE"""),"MCC046UC0695")</f>
        <v>MCC046UC0695</v>
      </c>
      <c r="C88" s="31" t="str">
        <f>IFERROR(__xludf.DUMMYFUNCTION("""COMPUTED_VALUE"""),"ETIQUETA COUCHE 98X50X1")</f>
        <v>ETIQUETA COUCHE 98X50X1</v>
      </c>
      <c r="D88" s="39">
        <f>IFERROR(__xludf.DUMMYFUNCTION("""COMPUTED_VALUE"""),2.0)</f>
        <v>2</v>
      </c>
      <c r="E88" s="34" t="str">
        <f>IFERROR(__xludf.DUMMYFUNCTION("""COMPUTED_VALUE"""),"Saída")</f>
        <v>Saída</v>
      </c>
      <c r="F88" s="34" t="str">
        <f>IFERROR(__xludf.DUMMYFUNCTION("""COMPUTED_VALUE"""),"Estoque:package:")</f>
        <v>Estoque:package:</v>
      </c>
      <c r="G88" s="39">
        <f t="array" ref="G88">XLOOKUP(B88,'Página9'!A:A,'Página9'!F:F,"")</f>
        <v>256</v>
      </c>
      <c r="H88" s="39">
        <f t="array" ref="H88">XLOOKUP(B88,'Página9'!A:A,'Página9'!C:C,"")</f>
        <v>20</v>
      </c>
      <c r="I88" s="35" t="str">
        <f t="array" ref="I88">XLOOKUP(B88,'Página9'!A:A,'Página9'!G:G,"")</f>
        <v>OK</v>
      </c>
      <c r="J88" s="25" t="str">
        <f t="shared" si="1"/>
        <v>ESTOQUE</v>
      </c>
      <c r="K88" s="25" t="str">
        <f>IFERROR(__xludf.DUMMYFUNCTION("""COMPUTED_VALUE"""),"Allison Breno Da Costa Borges Soares")</f>
        <v>Allison Breno Da Costa Borges Soares</v>
      </c>
    </row>
    <row r="89">
      <c r="A89" s="37">
        <f>IFERROR(__xludf.DUMMYFUNCTION("""COMPUTED_VALUE"""),45898.0)</f>
        <v>45898</v>
      </c>
      <c r="B89" s="42" t="str">
        <f>IFERROR(__xludf.DUMMYFUNCTION("""COMPUTED_VALUE"""),"MCC049UC0603")</f>
        <v>MCC049UC0603</v>
      </c>
      <c r="C89" s="31" t="str">
        <f>IFERROR(__xludf.DUMMYFUNCTION("""COMPUTED_VALUE"""),"PLASTICO PLASTIF. A-4 220/307 C/100 UN PROLAM")</f>
        <v>PLASTICO PLASTIF. A-4 220/307 C/100 UN PROLAM</v>
      </c>
      <c r="D89" s="39">
        <f>IFERROR(__xludf.DUMMYFUNCTION("""COMPUTED_VALUE"""),18.0)</f>
        <v>18</v>
      </c>
      <c r="E89" s="34" t="str">
        <f>IFERROR(__xludf.DUMMYFUNCTION("""COMPUTED_VALUE"""),"Saída")</f>
        <v>Saída</v>
      </c>
      <c r="F89" s="34" t="str">
        <f>IFERROR(__xludf.DUMMYFUNCTION("""COMPUTED_VALUE"""),"Estoque:package:")</f>
        <v>Estoque:package:</v>
      </c>
      <c r="G89" s="39">
        <f t="array" ref="G89">XLOOKUP(B89,'Página9'!A:A,'Página9'!F:F,"")</f>
        <v>-504</v>
      </c>
      <c r="H89" s="39">
        <f t="array" ref="H89">XLOOKUP(B89,'Página9'!A:A,'Página9'!C:C,"")</f>
        <v>150</v>
      </c>
      <c r="I89" s="35" t="str">
        <f t="array" ref="I89">XLOOKUP(B89,'Página9'!A:A,'Página9'!G:G,"")</f>
        <v>REPOR ESTOQUE</v>
      </c>
      <c r="J89" s="25" t="str">
        <f t="shared" si="1"/>
        <v>ESTOQUE</v>
      </c>
      <c r="K89" s="25" t="str">
        <f>IFERROR(__xludf.DUMMYFUNCTION("""COMPUTED_VALUE"""),"Marcio Sthefani Bessa De Oliveira")</f>
        <v>Marcio Sthefani Bessa De Oliveira</v>
      </c>
    </row>
    <row r="90">
      <c r="A90" s="37">
        <f>IFERROR(__xludf.DUMMYFUNCTION("""COMPUTED_VALUE"""),45898.0)</f>
        <v>45898</v>
      </c>
      <c r="B90" s="42" t="str">
        <f>IFERROR(__xludf.DUMMYFUNCTION("""COMPUTED_VALUE"""),"MCC049UC0605")</f>
        <v>MCC049UC0605</v>
      </c>
      <c r="C90" s="31" t="str">
        <f>IFERROR(__xludf.DUMMYFUNCTION("""COMPUTED_VALUE"""),"FITA DE DEMARCAÇAO VERMELHA")</f>
        <v>FITA DE DEMARCAÇAO VERMELHA</v>
      </c>
      <c r="D90" s="39">
        <f>IFERROR(__xludf.DUMMYFUNCTION("""COMPUTED_VALUE"""),3.0)</f>
        <v>3</v>
      </c>
      <c r="E90" s="34" t="str">
        <f>IFERROR(__xludf.DUMMYFUNCTION("""COMPUTED_VALUE"""),"Saída")</f>
        <v>Saída</v>
      </c>
      <c r="F90" s="34" t="str">
        <f>IFERROR(__xludf.DUMMYFUNCTION("""COMPUTED_VALUE"""),"Recebimento:truck:")</f>
        <v>Recebimento:truck:</v>
      </c>
      <c r="G90" s="39">
        <f t="array" ref="G90">XLOOKUP(B90,'Página9'!A:A,'Página9'!F:F,"")</f>
        <v>6</v>
      </c>
      <c r="H90" s="39">
        <f t="array" ref="H90">XLOOKUP(B90,'Página9'!A:A,'Página9'!C:C,"")</f>
        <v>3</v>
      </c>
      <c r="I90" s="35" t="str">
        <f t="array" ref="I90">XLOOKUP(B90,'Página9'!A:A,'Página9'!G:G,"")</f>
        <v>OK</v>
      </c>
      <c r="J90" s="25" t="str">
        <f t="shared" si="1"/>
        <v>RECEBIMENTO</v>
      </c>
      <c r="K90" s="25" t="str">
        <f>IFERROR(__xludf.DUMMYFUNCTION("""COMPUTED_VALUE"""),"Philipe Araujo Barroso")</f>
        <v>Philipe Araujo Barroso</v>
      </c>
    </row>
    <row r="91">
      <c r="A91" s="37">
        <f>IFERROR(__xludf.DUMMYFUNCTION("""COMPUTED_VALUE"""),45898.0)</f>
        <v>45898</v>
      </c>
      <c r="B91" s="42" t="str">
        <f>IFERROR(__xludf.DUMMYFUNCTION("""COMPUTED_VALUE"""),"MCC049UC0603")</f>
        <v>MCC049UC0603</v>
      </c>
      <c r="C91" s="31" t="str">
        <f>IFERROR(__xludf.DUMMYFUNCTION("""COMPUTED_VALUE"""),"PLASTICO PLASTIF. A-4 220/307 C/100 UN PROLAM")</f>
        <v>PLASTICO PLASTIF. A-4 220/307 C/100 UN PROLAM</v>
      </c>
      <c r="D91" s="39">
        <f>IFERROR(__xludf.DUMMYFUNCTION("""COMPUTED_VALUE"""),100.0)</f>
        <v>100</v>
      </c>
      <c r="E91" s="34" t="str">
        <f>IFERROR(__xludf.DUMMYFUNCTION("""COMPUTED_VALUE"""),"Saída")</f>
        <v>Saída</v>
      </c>
      <c r="F91" s="34" t="str">
        <f>IFERROR(__xludf.DUMMYFUNCTION("""COMPUTED_VALUE"""),"PMM:livro-voador:")</f>
        <v>PMM:livro-voador:</v>
      </c>
      <c r="G91" s="39">
        <f t="array" ref="G91">XLOOKUP(B91,'Página9'!A:A,'Página9'!F:F,"")</f>
        <v>-504</v>
      </c>
      <c r="H91" s="39">
        <f t="array" ref="H91">XLOOKUP(B91,'Página9'!A:A,'Página9'!C:C,"")</f>
        <v>150</v>
      </c>
      <c r="I91" s="35" t="str">
        <f t="array" ref="I91">XLOOKUP(B91,'Página9'!A:A,'Página9'!G:G,"")</f>
        <v>REPOR ESTOQUE</v>
      </c>
      <c r="J91" s="25" t="str">
        <f t="shared" si="1"/>
        <v>PMM</v>
      </c>
      <c r="K91" s="25" t="str">
        <f>IFERROR(__xludf.DUMMYFUNCTION("""COMPUTED_VALUE"""),"Jackson Alves Sales")</f>
        <v>Jackson Alves Sales</v>
      </c>
    </row>
    <row r="92">
      <c r="A92" s="37">
        <f>IFERROR(__xludf.DUMMYFUNCTION("""COMPUTED_VALUE"""),45901.0)</f>
        <v>45901</v>
      </c>
      <c r="B92" s="42" t="str">
        <f>IFERROR(__xludf.DUMMYFUNCTION("""COMPUTED_VALUE"""),"MCC046UC0687")</f>
        <v>MCC046UC0687</v>
      </c>
      <c r="C92" s="31" t="str">
        <f>IFERROR(__xludf.DUMMYFUNCTION("""COMPUTED_VALUE"""),"ETIQUETA COUCHE - 100X100X 1")</f>
        <v>ETIQUETA COUCHE - 100X100X 1</v>
      </c>
      <c r="D92" s="39">
        <f>IFERROR(__xludf.DUMMYFUNCTION("""COMPUTED_VALUE"""),1.0)</f>
        <v>1</v>
      </c>
      <c r="E92" s="34" t="str">
        <f>IFERROR(__xludf.DUMMYFUNCTION("""COMPUTED_VALUE"""),"Saída")</f>
        <v>Saída</v>
      </c>
      <c r="F92" s="34" t="str">
        <f>IFERROR(__xludf.DUMMYFUNCTION("""COMPUTED_VALUE"""),"PMM:livro-voador:")</f>
        <v>PMM:livro-voador:</v>
      </c>
      <c r="G92" s="39">
        <f t="array" ref="G92">XLOOKUP(B92,'Página9'!A:A,'Página9'!F:F,"")</f>
        <v>335</v>
      </c>
      <c r="H92" s="39">
        <f t="array" ref="H92">XLOOKUP(B92,'Página9'!A:A,'Página9'!C:C,"")</f>
        <v>20</v>
      </c>
      <c r="I92" s="35" t="str">
        <f t="array" ref="I92">XLOOKUP(B92,'Página9'!A:A,'Página9'!G:G,"")</f>
        <v>OK</v>
      </c>
      <c r="J92" s="25" t="str">
        <f t="shared" si="1"/>
        <v>PMM</v>
      </c>
      <c r="K92" s="25" t="str">
        <f>IFERROR(__xludf.DUMMYFUNCTION("""COMPUTED_VALUE"""),"Suellen Aguiar Da Silva")</f>
        <v>Suellen Aguiar Da Silva</v>
      </c>
    </row>
    <row r="93">
      <c r="A93" s="37">
        <f>IFERROR(__xludf.DUMMYFUNCTION("""COMPUTED_VALUE"""),45901.0)</f>
        <v>45901</v>
      </c>
      <c r="B93" s="42" t="str">
        <f>IFERROR(__xludf.DUMMYFUNCTION("""COMPUTED_VALUE"""),"MCC046UC0082")</f>
        <v>MCC046UC0082</v>
      </c>
      <c r="C93" s="31" t="str">
        <f>IFERROR(__xludf.DUMMYFUNCTION("""COMPUTED_VALUE"""),"PAPEL SULFITE A4 75G 500 FOLHAS")</f>
        <v>PAPEL SULFITE A4 75G 500 FOLHAS</v>
      </c>
      <c r="D93" s="39">
        <f>IFERROR(__xludf.DUMMYFUNCTION("""COMPUTED_VALUE"""),1.0)</f>
        <v>1</v>
      </c>
      <c r="E93" s="34" t="str">
        <f>IFERROR(__xludf.DUMMYFUNCTION("""COMPUTED_VALUE"""),"Saída")</f>
        <v>Saída</v>
      </c>
      <c r="F93" s="34" t="str">
        <f>IFERROR(__xludf.DUMMYFUNCTION("""COMPUTED_VALUE"""),"Recebimento:truck:")</f>
        <v>Recebimento:truck:</v>
      </c>
      <c r="G93" s="39">
        <f t="array" ref="G93">XLOOKUP(B93,'Página9'!A:A,'Página9'!F:F,"")</f>
        <v>163</v>
      </c>
      <c r="H93" s="39">
        <f t="array" ref="H93">XLOOKUP(B93,'Página9'!A:A,'Página9'!C:C,"")</f>
        <v>10</v>
      </c>
      <c r="I93" s="35" t="str">
        <f t="array" ref="I93">XLOOKUP(B93,'Página9'!A:A,'Página9'!G:G,"")</f>
        <v>OK</v>
      </c>
      <c r="J93" s="25" t="str">
        <f t="shared" si="1"/>
        <v>RECEBIMENTO</v>
      </c>
      <c r="K93" s="25" t="str">
        <f>IFERROR(__xludf.DUMMYFUNCTION("""COMPUTED_VALUE"""),"Suellen Aguiar Da Silva")</f>
        <v>Suellen Aguiar Da Silva</v>
      </c>
    </row>
    <row r="94">
      <c r="A94" s="37">
        <f>IFERROR(__xludf.DUMMYFUNCTION("""COMPUTED_VALUE"""),45901.0)</f>
        <v>45901</v>
      </c>
      <c r="B94" s="42" t="str">
        <f>IFERROR(__xludf.DUMMYFUNCTION("""COMPUTED_VALUE"""),"EMC015MO0001")</f>
        <v>EMC015MO0001</v>
      </c>
      <c r="C94" s="31" t="str">
        <f>IFERROR(__xludf.DUMMYFUNCTION("""COMPUTED_VALUE"""),"RIBBON CERA PRETO 110MMX300M")</f>
        <v>RIBBON CERA PRETO 110MMX300M</v>
      </c>
      <c r="D94" s="39">
        <f>IFERROR(__xludf.DUMMYFUNCTION("""COMPUTED_VALUE"""),1.0)</f>
        <v>1</v>
      </c>
      <c r="E94" s="34" t="str">
        <f>IFERROR(__xludf.DUMMYFUNCTION("""COMPUTED_VALUE"""),"Saída")</f>
        <v>Saída</v>
      </c>
      <c r="F94" s="34" t="str">
        <f>IFERROR(__xludf.DUMMYFUNCTION("""COMPUTED_VALUE"""),"Expedição:ex-escolas-exponenciais:")</f>
        <v>Expedição:ex-escolas-exponenciais:</v>
      </c>
      <c r="G94" s="39">
        <f t="array" ref="G94">XLOOKUP(B94,'Página9'!A:A,'Página9'!F:F,"")</f>
        <v>390</v>
      </c>
      <c r="H94" s="39">
        <f t="array" ref="H94">XLOOKUP(B94,'Página9'!A:A,'Página9'!C:C,"")</f>
        <v>5</v>
      </c>
      <c r="I94" s="35" t="str">
        <f t="array" ref="I94">XLOOKUP(B94,'Página9'!A:A,'Página9'!G:G,"")</f>
        <v>OK</v>
      </c>
      <c r="J94" s="25" t="str">
        <f t="shared" si="1"/>
        <v>EXPEDIÇÃO</v>
      </c>
      <c r="K94" s="25" t="str">
        <f>IFERROR(__xludf.DUMMYFUNCTION("""COMPUTED_VALUE"""),"Suellen Aguiar Da Silva")</f>
        <v>Suellen Aguiar Da Silva</v>
      </c>
    </row>
    <row r="95">
      <c r="A95" s="37">
        <f>IFERROR(__xludf.DUMMYFUNCTION("""COMPUTED_VALUE"""),45902.0)</f>
        <v>45902</v>
      </c>
      <c r="B95" s="42" t="str">
        <f>IFERROR(__xludf.DUMMYFUNCTION("""COMPUTED_VALUE"""),"MCC015UC0008")</f>
        <v>MCC015UC0008</v>
      </c>
      <c r="C95" s="31" t="str">
        <f>IFERROR(__xludf.DUMMYFUNCTION("""COMPUTED_VALUE"""),"FILME STRETCH 500X25")</f>
        <v>FILME STRETCH 500X25</v>
      </c>
      <c r="D95" s="39">
        <f>IFERROR(__xludf.DUMMYFUNCTION("""COMPUTED_VALUE"""),4.0)</f>
        <v>4</v>
      </c>
      <c r="E95" s="34" t="str">
        <f>IFERROR(__xludf.DUMMYFUNCTION("""COMPUTED_VALUE"""),"Saída")</f>
        <v>Saída</v>
      </c>
      <c r="F95" s="34" t="str">
        <f>IFERROR(__xludf.DUMMYFUNCTION("""COMPUTED_VALUE"""),"Recebimento:truck:")</f>
        <v>Recebimento:truck:</v>
      </c>
      <c r="G95" s="39">
        <f t="array" ref="G95">XLOOKUP(B95,'Página9'!A:A,'Página9'!F:F,"")</f>
        <v>-158</v>
      </c>
      <c r="H95" s="39">
        <f t="array" ref="H95">XLOOKUP(B95,'Página9'!A:A,'Página9'!C:C,"")</f>
        <v>40</v>
      </c>
      <c r="I95" s="35" t="str">
        <f t="array" ref="I95">XLOOKUP(B95,'Página9'!A:A,'Página9'!G:G,"")</f>
        <v>REPOR ESTOQUE</v>
      </c>
      <c r="J95" s="25" t="str">
        <f t="shared" si="1"/>
        <v>RECEBIMENTO</v>
      </c>
      <c r="K95" s="25" t="str">
        <f>IFERROR(__xludf.DUMMYFUNCTION("""COMPUTED_VALUE"""),"Francisco Samuel Trindade Nascimento")</f>
        <v>Francisco Samuel Trindade Nascimento</v>
      </c>
    </row>
    <row r="96">
      <c r="A96" s="37">
        <f>IFERROR(__xludf.DUMMYFUNCTION("""COMPUTED_VALUE"""),45902.0)</f>
        <v>45902</v>
      </c>
      <c r="B96" s="42" t="str">
        <f>IFERROR(__xludf.DUMMYFUNCTION("""COMPUTED_VALUE"""),"MCC046UC0526")</f>
        <v>MCC046UC0526</v>
      </c>
      <c r="C96" s="31" t="str">
        <f>IFERROR(__xludf.DUMMYFUNCTION("""COMPUTED_VALUE"""),"CANETA PINCEL ATOMICO PRETA PILOT 1100")</f>
        <v>CANETA PINCEL ATOMICO PRETA PILOT 1100</v>
      </c>
      <c r="D96" s="39">
        <f>IFERROR(__xludf.DUMMYFUNCTION("""COMPUTED_VALUE"""),2.0)</f>
        <v>2</v>
      </c>
      <c r="E96" s="34" t="str">
        <f>IFERROR(__xludf.DUMMYFUNCTION("""COMPUTED_VALUE"""),"Saída")</f>
        <v>Saída</v>
      </c>
      <c r="F96" s="34" t="str">
        <f>IFERROR(__xludf.DUMMYFUNCTION("""COMPUTED_VALUE"""),"Recebimento:truck:")</f>
        <v>Recebimento:truck:</v>
      </c>
      <c r="G96" s="39">
        <f t="array" ref="G96">XLOOKUP(B96,'Página9'!A:A,'Página9'!F:F,"")</f>
        <v>1</v>
      </c>
      <c r="H96" s="39">
        <f t="array" ref="H96">XLOOKUP(B96,'Página9'!A:A,'Página9'!C:C,"")</f>
        <v>3</v>
      </c>
      <c r="I96" s="35" t="str">
        <f t="array" ref="I96">XLOOKUP(B96,'Página9'!A:A,'Página9'!G:G,"")</f>
        <v>REPOR ESTOQUE</v>
      </c>
      <c r="J96" s="25" t="str">
        <f t="shared" si="1"/>
        <v>RECEBIMENTO</v>
      </c>
      <c r="K96" s="25" t="str">
        <f>IFERROR(__xludf.DUMMYFUNCTION("""COMPUTED_VALUE"""),"Paulo Henrique Chagas De Oliveira")</f>
        <v>Paulo Henrique Chagas De Oliveira</v>
      </c>
    </row>
    <row r="97">
      <c r="A97" s="37">
        <f>IFERROR(__xludf.DUMMYFUNCTION("""COMPUTED_VALUE"""),45902.0)</f>
        <v>45902</v>
      </c>
      <c r="B97" s="42" t="str">
        <f>IFERROR(__xludf.DUMMYFUNCTION("""COMPUTED_VALUE"""),"MCC015UC0045")</f>
        <v>MCC015UC0045</v>
      </c>
      <c r="C97" s="31" t="str">
        <f>IFERROR(__xludf.DUMMYFUNCTION("""COMPUTED_VALUE"""),"FITA ADESIVA 69MM X 100M")</f>
        <v>FITA ADESIVA 69MM X 100M</v>
      </c>
      <c r="D97" s="39">
        <f>IFERROR(__xludf.DUMMYFUNCTION("""COMPUTED_VALUE"""),4.0)</f>
        <v>4</v>
      </c>
      <c r="E97" s="34" t="str">
        <f>IFERROR(__xludf.DUMMYFUNCTION("""COMPUTED_VALUE"""),"Saída")</f>
        <v>Saída</v>
      </c>
      <c r="F97" s="34" t="str">
        <f>IFERROR(__xludf.DUMMYFUNCTION("""COMPUTED_VALUE"""),"Recebimento:truck:")</f>
        <v>Recebimento:truck:</v>
      </c>
      <c r="G97" s="39">
        <f t="array" ref="G97">XLOOKUP(B97,'Página9'!A:A,'Página9'!F:F,"")</f>
        <v>287</v>
      </c>
      <c r="H97" s="39">
        <f t="array" ref="H97">XLOOKUP(B97,'Página9'!A:A,'Página9'!C:C,"")</f>
        <v>20</v>
      </c>
      <c r="I97" s="35" t="str">
        <f t="array" ref="I97">XLOOKUP(B97,'Página9'!A:A,'Página9'!G:G,"")</f>
        <v>OK</v>
      </c>
      <c r="J97" s="25" t="str">
        <f t="shared" si="1"/>
        <v>RECEBIMENTO</v>
      </c>
      <c r="K97" s="25" t="str">
        <f>IFERROR(__xludf.DUMMYFUNCTION("""COMPUTED_VALUE"""),"Pericles Cavalcante De Lima Maciel")</f>
        <v>Pericles Cavalcante De Lima Maciel</v>
      </c>
    </row>
    <row r="98">
      <c r="A98" s="37">
        <f>IFERROR(__xludf.DUMMYFUNCTION("""COMPUTED_VALUE"""),45903.0)</f>
        <v>45903</v>
      </c>
      <c r="B98" s="42" t="str">
        <f>IFERROR(__xludf.DUMMYFUNCTION("""COMPUTED_VALUE"""),"MCC015UC0045")</f>
        <v>MCC015UC0045</v>
      </c>
      <c r="C98" s="31" t="str">
        <f>IFERROR(__xludf.DUMMYFUNCTION("""COMPUTED_VALUE"""),"FITA ADESIVA 69MM X 100M")</f>
        <v>FITA ADESIVA 69MM X 100M</v>
      </c>
      <c r="D98" s="39">
        <f>IFERROR(__xludf.DUMMYFUNCTION("""COMPUTED_VALUE"""),4.0)</f>
        <v>4</v>
      </c>
      <c r="E98" s="34" t="str">
        <f>IFERROR(__xludf.DUMMYFUNCTION("""COMPUTED_VALUE"""),"Saída")</f>
        <v>Saída</v>
      </c>
      <c r="F98" s="34" t="str">
        <f>IFERROR(__xludf.DUMMYFUNCTION("""COMPUTED_VALUE"""),"Estoque:package:")</f>
        <v>Estoque:package:</v>
      </c>
      <c r="G98" s="39">
        <f t="array" ref="G98">XLOOKUP(B98,'Página9'!A:A,'Página9'!F:F,"")</f>
        <v>287</v>
      </c>
      <c r="H98" s="39">
        <f t="array" ref="H98">XLOOKUP(B98,'Página9'!A:A,'Página9'!C:C,"")</f>
        <v>20</v>
      </c>
      <c r="I98" s="35" t="str">
        <f t="array" ref="I98">XLOOKUP(B98,'Página9'!A:A,'Página9'!G:G,"")</f>
        <v>OK</v>
      </c>
      <c r="J98" s="25" t="str">
        <f t="shared" si="1"/>
        <v>ESTOQUE</v>
      </c>
      <c r="K98" s="25" t="str">
        <f>IFERROR(__xludf.DUMMYFUNCTION("""COMPUTED_VALUE"""),"Paulo Henrique Chagas De Oliveira")</f>
        <v>Paulo Henrique Chagas De Oliveira</v>
      </c>
    </row>
    <row r="99">
      <c r="A99" s="37">
        <f>IFERROR(__xludf.DUMMYFUNCTION("""COMPUTED_VALUE"""),45903.0)</f>
        <v>45903</v>
      </c>
      <c r="B99" s="42" t="str">
        <f>IFERROR(__xludf.DUMMYFUNCTION("""COMPUTED_VALUE"""),"MCC046UC0093")</f>
        <v>MCC046UC0093</v>
      </c>
      <c r="C99" s="31" t="str">
        <f>IFERROR(__xludf.DUMMYFUNCTION("""COMPUTED_VALUE"""),"REGUA ACRILICA 30CM")</f>
        <v>REGUA ACRILICA 30CM</v>
      </c>
      <c r="D99" s="39">
        <f>IFERROR(__xludf.DUMMYFUNCTION("""COMPUTED_VALUE"""),1.0)</f>
        <v>1</v>
      </c>
      <c r="E99" s="34" t="str">
        <f>IFERROR(__xludf.DUMMYFUNCTION("""COMPUTED_VALUE"""),"Saída")</f>
        <v>Saída</v>
      </c>
      <c r="F99" s="34" t="str">
        <f>IFERROR(__xludf.DUMMYFUNCTION("""COMPUTED_VALUE"""),"Expedição:ex-escolas-exponenciais:")</f>
        <v>Expedição:ex-escolas-exponenciais:</v>
      </c>
      <c r="G99" s="39">
        <f t="array" ref="G99">XLOOKUP(B99,'Página9'!A:A,'Página9'!F:F,"")</f>
        <v>16</v>
      </c>
      <c r="H99" s="39">
        <f t="array" ref="H99">XLOOKUP(B99,'Página9'!A:A,'Página9'!C:C,"")</f>
        <v>5</v>
      </c>
      <c r="I99" s="35" t="str">
        <f t="array" ref="I99">XLOOKUP(B99,'Página9'!A:A,'Página9'!G:G,"")</f>
        <v>OK</v>
      </c>
      <c r="J99" s="25" t="str">
        <f t="shared" si="1"/>
        <v>EXPEDIÇÃO</v>
      </c>
      <c r="K99" s="25" t="str">
        <f>IFERROR(__xludf.DUMMYFUNCTION("""COMPUTED_VALUE"""),"Matheus De Almeida Rodrigues")</f>
        <v>Matheus De Almeida Rodrigues</v>
      </c>
    </row>
    <row r="100">
      <c r="A100" s="37">
        <f>IFERROR(__xludf.DUMMYFUNCTION("""COMPUTED_VALUE"""),45903.0)</f>
        <v>45903</v>
      </c>
      <c r="B100" s="42" t="str">
        <f>IFERROR(__xludf.DUMMYFUNCTION("""COMPUTED_VALUE"""),"MCC015UC0008")</f>
        <v>MCC015UC0008</v>
      </c>
      <c r="C100" s="31" t="str">
        <f>IFERROR(__xludf.DUMMYFUNCTION("""COMPUTED_VALUE"""),"FILME STRETCH 500X25")</f>
        <v>FILME STRETCH 500X25</v>
      </c>
      <c r="D100" s="39">
        <f>IFERROR(__xludf.DUMMYFUNCTION("""COMPUTED_VALUE"""),8.0)</f>
        <v>8</v>
      </c>
      <c r="E100" s="34" t="str">
        <f>IFERROR(__xludf.DUMMYFUNCTION("""COMPUTED_VALUE"""),"Saída")</f>
        <v>Saída</v>
      </c>
      <c r="F100" s="34" t="str">
        <f>IFERROR(__xludf.DUMMYFUNCTION("""COMPUTED_VALUE"""),"Recebimento:truck:")</f>
        <v>Recebimento:truck:</v>
      </c>
      <c r="G100" s="39">
        <f t="array" ref="G100">XLOOKUP(B100,'Página9'!A:A,'Página9'!F:F,"")</f>
        <v>-158</v>
      </c>
      <c r="H100" s="39">
        <f t="array" ref="H100">XLOOKUP(B100,'Página9'!A:A,'Página9'!C:C,"")</f>
        <v>40</v>
      </c>
      <c r="I100" s="35" t="str">
        <f t="array" ref="I100">XLOOKUP(B100,'Página9'!A:A,'Página9'!G:G,"")</f>
        <v>REPOR ESTOQUE</v>
      </c>
      <c r="J100" s="25" t="str">
        <f t="shared" si="1"/>
        <v>RECEBIMENTO</v>
      </c>
      <c r="K100" s="25" t="str">
        <f>IFERROR(__xludf.DUMMYFUNCTION("""COMPUTED_VALUE"""),"Francisco Samuel Trindade Nascimento")</f>
        <v>Francisco Samuel Trindade Nascimento</v>
      </c>
    </row>
    <row r="101">
      <c r="A101" s="37">
        <f>IFERROR(__xludf.DUMMYFUNCTION("""COMPUTED_VALUE"""),45903.0)</f>
        <v>45903</v>
      </c>
      <c r="B101" s="42" t="str">
        <f>IFERROR(__xludf.DUMMYFUNCTION("""COMPUTED_VALUE"""),"MCC049UC0288")</f>
        <v>MCC049UC0288</v>
      </c>
      <c r="C101" s="31" t="str">
        <f>IFERROR(__xludf.DUMMYFUNCTION("""COMPUTED_VALUE"""),"FITILHO POLIPROPILENO P/EMBALAGEM")</f>
        <v>FITILHO POLIPROPILENO P/EMBALAGEM</v>
      </c>
      <c r="D101" s="39">
        <f>IFERROR(__xludf.DUMMYFUNCTION("""COMPUTED_VALUE"""),1.0)</f>
        <v>1</v>
      </c>
      <c r="E101" s="34" t="str">
        <f>IFERROR(__xludf.DUMMYFUNCTION("""COMPUTED_VALUE"""),"Saída")</f>
        <v>Saída</v>
      </c>
      <c r="F101" s="34" t="str">
        <f>IFERROR(__xludf.DUMMYFUNCTION("""COMPUTED_VALUE"""),"PMM:livro-voador:")</f>
        <v>PMM:livro-voador:</v>
      </c>
      <c r="G101" s="39">
        <f t="array" ref="G101">XLOOKUP(B101,'Página9'!A:A,'Página9'!F:F,"")</f>
        <v>-24</v>
      </c>
      <c r="H101" s="39">
        <f t="array" ref="H101">XLOOKUP(B101,'Página9'!A:A,'Página9'!C:C,"")</f>
        <v>2</v>
      </c>
      <c r="I101" s="35" t="str">
        <f t="array" ref="I101">XLOOKUP(B101,'Página9'!A:A,'Página9'!G:G,"")</f>
        <v>REPOR ESTOQUE</v>
      </c>
      <c r="J101" s="25" t="str">
        <f t="shared" si="1"/>
        <v>PMM</v>
      </c>
      <c r="K101" s="25" t="str">
        <f>IFERROR(__xludf.DUMMYFUNCTION("""COMPUTED_VALUE"""),"Gabriel De Sousa Freitas")</f>
        <v>Gabriel De Sousa Freitas</v>
      </c>
    </row>
    <row r="102">
      <c r="A102" s="37">
        <f>IFERROR(__xludf.DUMMYFUNCTION("""COMPUTED_VALUE"""),45903.0)</f>
        <v>45903</v>
      </c>
      <c r="B102" s="42" t="str">
        <f>IFERROR(__xludf.DUMMYFUNCTION("""COMPUTED_VALUE"""),"MCC015UC0033")</f>
        <v>MCC015UC0033</v>
      </c>
      <c r="C102" s="31" t="str">
        <f>IFERROR(__xludf.DUMMYFUNCTION("""COMPUTED_VALUE"""),"FITA DE ARQUEAR PET VERDE 16MM X 0,8MM C/ 13KG")</f>
        <v>FITA DE ARQUEAR PET VERDE 16MM X 0,8MM C/ 13KG</v>
      </c>
      <c r="D102" s="39">
        <f>IFERROR(__xludf.DUMMYFUNCTION("""COMPUTED_VALUE"""),1.0)</f>
        <v>1</v>
      </c>
      <c r="E102" s="34" t="str">
        <f>IFERROR(__xludf.DUMMYFUNCTION("""COMPUTED_VALUE"""),"Saída")</f>
        <v>Saída</v>
      </c>
      <c r="F102" s="34" t="str">
        <f>IFERROR(__xludf.DUMMYFUNCTION("""COMPUTED_VALUE"""),"Recebimento:truck:")</f>
        <v>Recebimento:truck:</v>
      </c>
      <c r="G102" s="39">
        <f t="array" ref="G102">XLOOKUP(B102,'Página9'!A:A,'Página9'!F:F,"")</f>
        <v>4</v>
      </c>
      <c r="H102" s="39">
        <f t="array" ref="H102">XLOOKUP(B102,'Página9'!A:A,'Página9'!C:C,"")</f>
        <v>3</v>
      </c>
      <c r="I102" s="35" t="str">
        <f t="array" ref="I102">XLOOKUP(B102,'Página9'!A:A,'Página9'!G:G,"")</f>
        <v>OK</v>
      </c>
      <c r="J102" s="25" t="str">
        <f t="shared" si="1"/>
        <v>RECEBIMENTO</v>
      </c>
      <c r="K102" s="25" t="str">
        <f>IFERROR(__xludf.DUMMYFUNCTION("""COMPUTED_VALUE"""),"Marcio Sthefani Bessa De Oliveira")</f>
        <v>Marcio Sthefani Bessa De Oliveira</v>
      </c>
    </row>
    <row r="103">
      <c r="A103" s="37">
        <f>IFERROR(__xludf.DUMMYFUNCTION("""COMPUTED_VALUE"""),45903.0)</f>
        <v>45903</v>
      </c>
      <c r="B103" s="42" t="str">
        <f>IFERROR(__xludf.DUMMYFUNCTION("""COMPUTED_VALUE"""),"MCC015UC0045")</f>
        <v>MCC015UC0045</v>
      </c>
      <c r="C103" s="31" t="str">
        <f>IFERROR(__xludf.DUMMYFUNCTION("""COMPUTED_VALUE"""),"FITA ADESIVA 69MM X 100M")</f>
        <v>FITA ADESIVA 69MM X 100M</v>
      </c>
      <c r="D103" s="39">
        <f>IFERROR(__xludf.DUMMYFUNCTION("""COMPUTED_VALUE"""),2.0)</f>
        <v>2</v>
      </c>
      <c r="E103" s="34" t="str">
        <f>IFERROR(__xludf.DUMMYFUNCTION("""COMPUTED_VALUE"""),"Saída")</f>
        <v>Saída</v>
      </c>
      <c r="F103" s="34" t="str">
        <f>IFERROR(__xludf.DUMMYFUNCTION("""COMPUTED_VALUE"""),"Estoque:package:")</f>
        <v>Estoque:package:</v>
      </c>
      <c r="G103" s="39">
        <f t="array" ref="G103">XLOOKUP(B103,'Página9'!A:A,'Página9'!F:F,"")</f>
        <v>287</v>
      </c>
      <c r="H103" s="39">
        <f t="array" ref="H103">XLOOKUP(B103,'Página9'!A:A,'Página9'!C:C,"")</f>
        <v>20</v>
      </c>
      <c r="I103" s="35" t="str">
        <f t="array" ref="I103">XLOOKUP(B103,'Página9'!A:A,'Página9'!G:G,"")</f>
        <v>OK</v>
      </c>
      <c r="J103" s="25" t="str">
        <f t="shared" si="1"/>
        <v>ESTOQUE</v>
      </c>
      <c r="K103" s="25" t="str">
        <f>IFERROR(__xludf.DUMMYFUNCTION("""COMPUTED_VALUE"""),"Matheus De Almeida Rodrigues")</f>
        <v>Matheus De Almeida Rodrigues</v>
      </c>
    </row>
    <row r="104">
      <c r="A104" s="37">
        <f>IFERROR(__xludf.DUMMYFUNCTION("""COMPUTED_VALUE"""),45904.0)</f>
        <v>45904</v>
      </c>
      <c r="B104" s="42" t="str">
        <f>IFERROR(__xludf.DUMMYFUNCTION("""COMPUTED_VALUE"""),"MCC015UC0008")</f>
        <v>MCC015UC0008</v>
      </c>
      <c r="C104" s="31" t="str">
        <f>IFERROR(__xludf.DUMMYFUNCTION("""COMPUTED_VALUE"""),"FILME STRETCH 500X25")</f>
        <v>FILME STRETCH 500X25</v>
      </c>
      <c r="D104" s="39">
        <f>IFERROR(__xludf.DUMMYFUNCTION("""COMPUTED_VALUE"""),2.0)</f>
        <v>2</v>
      </c>
      <c r="E104" s="34" t="str">
        <f>IFERROR(__xludf.DUMMYFUNCTION("""COMPUTED_VALUE"""),"Saída")</f>
        <v>Saída</v>
      </c>
      <c r="F104" s="34" t="str">
        <f>IFERROR(__xludf.DUMMYFUNCTION("""COMPUTED_VALUE"""),"PMM:livro-voador:")</f>
        <v>PMM:livro-voador:</v>
      </c>
      <c r="G104" s="39">
        <f t="array" ref="G104">XLOOKUP(B104,'Página9'!A:A,'Página9'!F:F,"")</f>
        <v>-158</v>
      </c>
      <c r="H104" s="39">
        <f t="array" ref="H104">XLOOKUP(B104,'Página9'!A:A,'Página9'!C:C,"")</f>
        <v>40</v>
      </c>
      <c r="I104" s="35" t="str">
        <f t="array" ref="I104">XLOOKUP(B104,'Página9'!A:A,'Página9'!G:G,"")</f>
        <v>REPOR ESTOQUE</v>
      </c>
      <c r="J104" s="25" t="str">
        <f t="shared" si="1"/>
        <v>PMM</v>
      </c>
      <c r="K104" s="25" t="str">
        <f>IFERROR(__xludf.DUMMYFUNCTION("""COMPUTED_VALUE"""),"Yago Rocha Fernandes")</f>
        <v>Yago Rocha Fernandes</v>
      </c>
    </row>
    <row r="105">
      <c r="A105" s="37">
        <f>IFERROR(__xludf.DUMMYFUNCTION("""COMPUTED_VALUE"""),45904.0)</f>
        <v>45904</v>
      </c>
      <c r="B105" s="42" t="str">
        <f>IFERROR(__xludf.DUMMYFUNCTION("""COMPUTED_VALUE"""),"MCC015UC0038")</f>
        <v>MCC015UC0038</v>
      </c>
      <c r="C105" s="31" t="str">
        <f>IFERROR(__xludf.DUMMYFUNCTION("""COMPUTED_VALUE"""),"BOBINA SHRINK 500MM")</f>
        <v>BOBINA SHRINK 500MM</v>
      </c>
      <c r="D105" s="39">
        <f>IFERROR(__xludf.DUMMYFUNCTION("""COMPUTED_VALUE"""),1.0)</f>
        <v>1</v>
      </c>
      <c r="E105" s="34" t="str">
        <f>IFERROR(__xludf.DUMMYFUNCTION("""COMPUTED_VALUE"""),"Saída")</f>
        <v>Saída</v>
      </c>
      <c r="F105" s="34" t="str">
        <f>IFERROR(__xludf.DUMMYFUNCTION("""COMPUTED_VALUE"""),"PMM:livro-voador:")</f>
        <v>PMM:livro-voador:</v>
      </c>
      <c r="G105" s="39">
        <f t="array" ref="G105">XLOOKUP(B105,'Página9'!A:A,'Página9'!F:F,"")</f>
        <v>13</v>
      </c>
      <c r="H105" s="39">
        <f t="array" ref="H105">XLOOKUP(B105,'Página9'!A:A,'Página9'!C:C,"")</f>
        <v>3</v>
      </c>
      <c r="I105" s="35" t="str">
        <f t="array" ref="I105">XLOOKUP(B105,'Página9'!A:A,'Página9'!G:G,"")</f>
        <v>OK</v>
      </c>
      <c r="J105" s="25" t="str">
        <f t="shared" si="1"/>
        <v>PMM</v>
      </c>
      <c r="K105" s="25" t="str">
        <f>IFERROR(__xludf.DUMMYFUNCTION("""COMPUTED_VALUE"""),"Paulo Henrique Chagas De Oliveira")</f>
        <v>Paulo Henrique Chagas De Oliveira</v>
      </c>
    </row>
    <row r="106">
      <c r="A106" s="37">
        <f>IFERROR(__xludf.DUMMYFUNCTION("""COMPUTED_VALUE"""),45904.0)</f>
        <v>45904</v>
      </c>
      <c r="B106" s="42" t="str">
        <f>IFERROR(__xludf.DUMMYFUNCTION("""COMPUTED_VALUE"""),"MCC046UC0687")</f>
        <v>MCC046UC0687</v>
      </c>
      <c r="C106" s="31" t="str">
        <f>IFERROR(__xludf.DUMMYFUNCTION("""COMPUTED_VALUE"""),"ETIQUETA COUCHE - 100X100X 1")</f>
        <v>ETIQUETA COUCHE - 100X100X 1</v>
      </c>
      <c r="D106" s="39">
        <f>IFERROR(__xludf.DUMMYFUNCTION("""COMPUTED_VALUE"""),6.0)</f>
        <v>6</v>
      </c>
      <c r="E106" s="34" t="str">
        <f>IFERROR(__xludf.DUMMYFUNCTION("""COMPUTED_VALUE"""),"Saída")</f>
        <v>Saída</v>
      </c>
      <c r="F106" s="34" t="str">
        <f>IFERROR(__xludf.DUMMYFUNCTION("""COMPUTED_VALUE"""),"PMM:livro-voador:")</f>
        <v>PMM:livro-voador:</v>
      </c>
      <c r="G106" s="39">
        <f t="array" ref="G106">XLOOKUP(B106,'Página9'!A:A,'Página9'!F:F,"")</f>
        <v>335</v>
      </c>
      <c r="H106" s="39">
        <f t="array" ref="H106">XLOOKUP(B106,'Página9'!A:A,'Página9'!C:C,"")</f>
        <v>20</v>
      </c>
      <c r="I106" s="35" t="str">
        <f t="array" ref="I106">XLOOKUP(B106,'Página9'!A:A,'Página9'!G:G,"")</f>
        <v>OK</v>
      </c>
      <c r="J106" s="25" t="str">
        <f t="shared" si="1"/>
        <v>PMM</v>
      </c>
      <c r="K106" s="25" t="str">
        <f>IFERROR(__xludf.DUMMYFUNCTION("""COMPUTED_VALUE"""),"Paulo Henrique Chagas De Oliveira")</f>
        <v>Paulo Henrique Chagas De Oliveira</v>
      </c>
    </row>
    <row r="107">
      <c r="A107" s="37">
        <f>IFERROR(__xludf.DUMMYFUNCTION("""COMPUTED_VALUE"""),45904.0)</f>
        <v>45904</v>
      </c>
      <c r="B107" s="42" t="str">
        <f>IFERROR(__xludf.DUMMYFUNCTION("""COMPUTED_VALUE"""),"MCC046UC0082")</f>
        <v>MCC046UC0082</v>
      </c>
      <c r="C107" s="31" t="str">
        <f>IFERROR(__xludf.DUMMYFUNCTION("""COMPUTED_VALUE"""),"PAPEL SULFITE A4 75G 500 FOLHAS")</f>
        <v>PAPEL SULFITE A4 75G 500 FOLHAS</v>
      </c>
      <c r="D107" s="39">
        <f>IFERROR(__xludf.DUMMYFUNCTION("""COMPUTED_VALUE"""),1.0)</f>
        <v>1</v>
      </c>
      <c r="E107" s="34" t="str">
        <f>IFERROR(__xludf.DUMMYFUNCTION("""COMPUTED_VALUE"""),"Saída")</f>
        <v>Saída</v>
      </c>
      <c r="F107" s="34" t="str">
        <f>IFERROR(__xludf.DUMMYFUNCTION("""COMPUTED_VALUE"""),"Recebimento:truck:")</f>
        <v>Recebimento:truck:</v>
      </c>
      <c r="G107" s="39">
        <f t="array" ref="G107">XLOOKUP(B107,'Página9'!A:A,'Página9'!F:F,"")</f>
        <v>163</v>
      </c>
      <c r="H107" s="39">
        <f t="array" ref="H107">XLOOKUP(B107,'Página9'!A:A,'Página9'!C:C,"")</f>
        <v>10</v>
      </c>
      <c r="I107" s="35" t="str">
        <f t="array" ref="I107">XLOOKUP(B107,'Página9'!A:A,'Página9'!G:G,"")</f>
        <v>OK</v>
      </c>
      <c r="J107" s="25" t="str">
        <f t="shared" si="1"/>
        <v>RECEBIMENTO</v>
      </c>
      <c r="K107" s="25" t="str">
        <f>IFERROR(__xludf.DUMMYFUNCTION("""COMPUTED_VALUE"""),"Paulo Henrique Chagas De Oliveira")</f>
        <v>Paulo Henrique Chagas De Oliveira</v>
      </c>
    </row>
    <row r="108">
      <c r="A108" s="37">
        <f>IFERROR(__xludf.DUMMYFUNCTION("""COMPUTED_VALUE"""),45904.0)</f>
        <v>45904</v>
      </c>
      <c r="B108" s="42" t="str">
        <f>IFERROR(__xludf.DUMMYFUNCTION("""COMPUTED_VALUE"""),"MCC015UC0045")</f>
        <v>MCC015UC0045</v>
      </c>
      <c r="C108" s="31" t="str">
        <f>IFERROR(__xludf.DUMMYFUNCTION("""COMPUTED_VALUE"""),"FITA ADESIVA 69MM X 100M")</f>
        <v>FITA ADESIVA 69MM X 100M</v>
      </c>
      <c r="D108" s="39">
        <f>IFERROR(__xludf.DUMMYFUNCTION("""COMPUTED_VALUE"""),6.0)</f>
        <v>6</v>
      </c>
      <c r="E108" s="34" t="str">
        <f>IFERROR(__xludf.DUMMYFUNCTION("""COMPUTED_VALUE"""),"Saída")</f>
        <v>Saída</v>
      </c>
      <c r="F108" s="34" t="str">
        <f>IFERROR(__xludf.DUMMYFUNCTION("""COMPUTED_VALUE"""),"Recebimento:truck:")</f>
        <v>Recebimento:truck:</v>
      </c>
      <c r="G108" s="39">
        <f t="array" ref="G108">XLOOKUP(B108,'Página9'!A:A,'Página9'!F:F,"")</f>
        <v>287</v>
      </c>
      <c r="H108" s="39">
        <f t="array" ref="H108">XLOOKUP(B108,'Página9'!A:A,'Página9'!C:C,"")</f>
        <v>20</v>
      </c>
      <c r="I108" s="35" t="str">
        <f t="array" ref="I108">XLOOKUP(B108,'Página9'!A:A,'Página9'!G:G,"")</f>
        <v>OK</v>
      </c>
      <c r="J108" s="25" t="str">
        <f t="shared" si="1"/>
        <v>RECEBIMENTO</v>
      </c>
      <c r="K108" s="25" t="str">
        <f>IFERROR(__xludf.DUMMYFUNCTION("""COMPUTED_VALUE"""),"Yago Rocha Fernandes")</f>
        <v>Yago Rocha Fernandes</v>
      </c>
    </row>
    <row r="109">
      <c r="A109" s="37">
        <f>IFERROR(__xludf.DUMMYFUNCTION("""COMPUTED_VALUE"""),45904.0)</f>
        <v>45904</v>
      </c>
      <c r="B109" s="42" t="str">
        <f>IFERROR(__xludf.DUMMYFUNCTION("""COMPUTED_VALUE"""),"MCC046UC0687")</f>
        <v>MCC046UC0687</v>
      </c>
      <c r="C109" s="31" t="str">
        <f>IFERROR(__xludf.DUMMYFUNCTION("""COMPUTED_VALUE"""),"ETIQUETA COUCHE - 100X100X 1")</f>
        <v>ETIQUETA COUCHE - 100X100X 1</v>
      </c>
      <c r="D109" s="39">
        <f>IFERROR(__xludf.DUMMYFUNCTION("""COMPUTED_VALUE"""),4.0)</f>
        <v>4</v>
      </c>
      <c r="E109" s="34" t="str">
        <f>IFERROR(__xludf.DUMMYFUNCTION("""COMPUTED_VALUE"""),"Saída")</f>
        <v>Saída</v>
      </c>
      <c r="F109" s="34" t="str">
        <f>IFERROR(__xludf.DUMMYFUNCTION("""COMPUTED_VALUE"""),"Estoque:package:")</f>
        <v>Estoque:package:</v>
      </c>
      <c r="G109" s="39">
        <f t="array" ref="G109">XLOOKUP(B109,'Página9'!A:A,'Página9'!F:F,"")</f>
        <v>335</v>
      </c>
      <c r="H109" s="39">
        <f t="array" ref="H109">XLOOKUP(B109,'Página9'!A:A,'Página9'!C:C,"")</f>
        <v>20</v>
      </c>
      <c r="I109" s="35" t="str">
        <f t="array" ref="I109">XLOOKUP(B109,'Página9'!A:A,'Página9'!G:G,"")</f>
        <v>OK</v>
      </c>
      <c r="J109" s="25" t="str">
        <f t="shared" si="1"/>
        <v>ESTOQUE</v>
      </c>
      <c r="K109" s="25" t="str">
        <f>IFERROR(__xludf.DUMMYFUNCTION("""COMPUTED_VALUE"""),"Paulo Henrique Chagas De Oliveira")</f>
        <v>Paulo Henrique Chagas De Oliveira</v>
      </c>
    </row>
    <row r="110">
      <c r="A110" s="37">
        <f>IFERROR(__xludf.DUMMYFUNCTION("""COMPUTED_VALUE"""),45904.0)</f>
        <v>45904</v>
      </c>
      <c r="B110" s="42" t="str">
        <f>IFERROR(__xludf.DUMMYFUNCTION("""COMPUTED_VALUE"""),"MCC015UC0008")</f>
        <v>MCC015UC0008</v>
      </c>
      <c r="C110" s="31" t="str">
        <f>IFERROR(__xludf.DUMMYFUNCTION("""COMPUTED_VALUE"""),"FILME STRETCH 500X25")</f>
        <v>FILME STRETCH 500X25</v>
      </c>
      <c r="D110" s="39">
        <f>IFERROR(__xludf.DUMMYFUNCTION("""COMPUTED_VALUE"""),1.0)</f>
        <v>1</v>
      </c>
      <c r="E110" s="34" t="str">
        <f>IFERROR(__xludf.DUMMYFUNCTION("""COMPUTED_VALUE"""),"Saída")</f>
        <v>Saída</v>
      </c>
      <c r="F110" s="34" t="str">
        <f>IFERROR(__xludf.DUMMYFUNCTION("""COMPUTED_VALUE"""),"Estoque:package:")</f>
        <v>Estoque:package:</v>
      </c>
      <c r="G110" s="39">
        <f t="array" ref="G110">XLOOKUP(B110,'Página9'!A:A,'Página9'!F:F,"")</f>
        <v>-158</v>
      </c>
      <c r="H110" s="39">
        <f t="array" ref="H110">XLOOKUP(B110,'Página9'!A:A,'Página9'!C:C,"")</f>
        <v>40</v>
      </c>
      <c r="I110" s="35" t="str">
        <f t="array" ref="I110">XLOOKUP(B110,'Página9'!A:A,'Página9'!G:G,"")</f>
        <v>REPOR ESTOQUE</v>
      </c>
      <c r="J110" s="25" t="str">
        <f t="shared" si="1"/>
        <v>ESTOQUE</v>
      </c>
      <c r="K110" s="25" t="str">
        <f>IFERROR(__xludf.DUMMYFUNCTION("""COMPUTED_VALUE"""),"Marcio Sthefani Bessa De Oliveira")</f>
        <v>Marcio Sthefani Bessa De Oliveira</v>
      </c>
    </row>
    <row r="111">
      <c r="A111" s="37">
        <f>IFERROR(__xludf.DUMMYFUNCTION("""COMPUTED_VALUE"""),45904.0)</f>
        <v>45904</v>
      </c>
      <c r="B111" s="42" t="str">
        <f>IFERROR(__xludf.DUMMYFUNCTION("""COMPUTED_VALUE"""),"MCC046UC0549")</f>
        <v>MCC046UC0549</v>
      </c>
      <c r="C111" s="31" t="str">
        <f>IFERROR(__xludf.DUMMYFUNCTION("""COMPUTED_VALUE"""),"PRANCHETA OFICIO MDF PRENDEDOR METAL ACRIMET 105")</f>
        <v>PRANCHETA OFICIO MDF PRENDEDOR METAL ACRIMET 105</v>
      </c>
      <c r="D111" s="39">
        <f>IFERROR(__xludf.DUMMYFUNCTION("""COMPUTED_VALUE"""),2.0)</f>
        <v>2</v>
      </c>
      <c r="E111" s="34" t="str">
        <f>IFERROR(__xludf.DUMMYFUNCTION("""COMPUTED_VALUE"""),"Saída")</f>
        <v>Saída</v>
      </c>
      <c r="F111" s="34" t="str">
        <f>IFERROR(__xludf.DUMMYFUNCTION("""COMPUTED_VALUE"""),"Expedição:ex-escolas-exponenciais:")</f>
        <v>Expedição:ex-escolas-exponenciais:</v>
      </c>
      <c r="G111" s="39">
        <f t="array" ref="G111">XLOOKUP(B111,'Página9'!A:A,'Página9'!F:F,"")</f>
        <v>-2</v>
      </c>
      <c r="H111" s="39">
        <f t="array" ref="H111">XLOOKUP(B111,'Página9'!A:A,'Página9'!C:C,"")</f>
        <v>5</v>
      </c>
      <c r="I111" s="35" t="str">
        <f t="array" ref="I111">XLOOKUP(B111,'Página9'!A:A,'Página9'!G:G,"")</f>
        <v>REPOR ESTOQUE</v>
      </c>
      <c r="J111" s="25" t="str">
        <f t="shared" si="1"/>
        <v>EXPEDIÇÃO</v>
      </c>
      <c r="K111" s="25" t="str">
        <f>IFERROR(__xludf.DUMMYFUNCTION("""COMPUTED_VALUE"""),"Yago Rocha Fernandes")</f>
        <v>Yago Rocha Fernandes</v>
      </c>
    </row>
    <row r="112">
      <c r="A112" s="37">
        <f>IFERROR(__xludf.DUMMYFUNCTION("""COMPUTED_VALUE"""),45905.0)</f>
        <v>45905</v>
      </c>
      <c r="B112" s="42" t="str">
        <f>IFERROR(__xludf.DUMMYFUNCTION("""COMPUTED_VALUE"""),"MCC046UC0660")</f>
        <v>MCC046UC0660</v>
      </c>
      <c r="C112" s="31" t="str">
        <f>IFERROR(__xludf.DUMMYFUNCTION("""COMPUTED_VALUE"""),"ETIQUETA 70MM COORDENACAO")</f>
        <v>ETIQUETA 70MM COORDENACAO</v>
      </c>
      <c r="D112" s="39">
        <f>IFERROR(__xludf.DUMMYFUNCTION("""COMPUTED_VALUE"""),8.0)</f>
        <v>8</v>
      </c>
      <c r="E112" s="34" t="str">
        <f>IFERROR(__xludf.DUMMYFUNCTION("""COMPUTED_VALUE"""),"Saída")</f>
        <v>Saída</v>
      </c>
      <c r="F112" s="34" t="str">
        <f>IFERROR(__xludf.DUMMYFUNCTION("""COMPUTED_VALUE"""),"Expedição:ex-escolas-exponenciais:")</f>
        <v>Expedição:ex-escolas-exponenciais:</v>
      </c>
      <c r="G112" s="39">
        <f t="array" ref="G112">XLOOKUP(B112,'Página9'!A:A,'Página9'!F:F,"")</f>
        <v>35</v>
      </c>
      <c r="H112" s="39">
        <f t="array" ref="H112">XLOOKUP(B112,'Página9'!A:A,'Página9'!C:C,"")</f>
        <v>5</v>
      </c>
      <c r="I112" s="35" t="str">
        <f t="array" ref="I112">XLOOKUP(B112,'Página9'!A:A,'Página9'!G:G,"")</f>
        <v>OK</v>
      </c>
      <c r="J112" s="25" t="str">
        <f t="shared" si="1"/>
        <v>EXPEDIÇÃO</v>
      </c>
      <c r="K112" s="25" t="str">
        <f>IFERROR(__xludf.DUMMYFUNCTION("""COMPUTED_VALUE"""),"Silvana Da Silva Pereira")</f>
        <v>Silvana Da Silva Pereira</v>
      </c>
    </row>
    <row r="113">
      <c r="A113" s="37">
        <f>IFERROR(__xludf.DUMMYFUNCTION("""COMPUTED_VALUE"""),45905.0)</f>
        <v>45905</v>
      </c>
      <c r="B113" s="42" t="str">
        <f>IFERROR(__xludf.DUMMYFUNCTION("""COMPUTED_VALUE"""),"MCC046UC0596")</f>
        <v>MCC046UC0596</v>
      </c>
      <c r="C113" s="31" t="str">
        <f>IFERROR(__xludf.DUMMYFUNCTION("""COMPUTED_VALUE"""),"ETIQUETA ADESIVA COUCHE BRANCA   - 105X150MM SAS")</f>
        <v>ETIQUETA ADESIVA COUCHE BRANCA   - 105X150MM SAS</v>
      </c>
      <c r="D113" s="39">
        <f>IFERROR(__xludf.DUMMYFUNCTION("""COMPUTED_VALUE"""),6.0)</f>
        <v>6</v>
      </c>
      <c r="E113" s="34" t="str">
        <f>IFERROR(__xludf.DUMMYFUNCTION("""COMPUTED_VALUE"""),"Saída")</f>
        <v>Saída</v>
      </c>
      <c r="F113" s="34" t="str">
        <f>IFERROR(__xludf.DUMMYFUNCTION("""COMPUTED_VALUE"""),"Expedição:ex-escolas-exponenciais:")</f>
        <v>Expedição:ex-escolas-exponenciais:</v>
      </c>
      <c r="G113" s="39">
        <f t="array" ref="G113">XLOOKUP(B113,'Página9'!A:A,'Página9'!F:F,"")</f>
        <v>157</v>
      </c>
      <c r="H113" s="39">
        <f t="array" ref="H113">XLOOKUP(B113,'Página9'!A:A,'Página9'!C:C,"")</f>
        <v>20</v>
      </c>
      <c r="I113" s="35" t="str">
        <f t="array" ref="I113">XLOOKUP(B113,'Página9'!A:A,'Página9'!G:G,"")</f>
        <v>OK</v>
      </c>
      <c r="J113" s="25" t="str">
        <f t="shared" si="1"/>
        <v>EXPEDIÇÃO</v>
      </c>
      <c r="K113" s="25" t="str">
        <f>IFERROR(__xludf.DUMMYFUNCTION("""COMPUTED_VALUE"""),"Silvana Da Silva Pereira")</f>
        <v>Silvana Da Silva Pereira</v>
      </c>
    </row>
    <row r="114">
      <c r="A114" s="37">
        <f>IFERROR(__xludf.DUMMYFUNCTION("""COMPUTED_VALUE"""),45905.0)</f>
        <v>45905</v>
      </c>
      <c r="B114" s="42" t="str">
        <f>IFERROR(__xludf.DUMMYFUNCTION("""COMPUTED_VALUE"""),"MCC046UC0658")</f>
        <v>MCC046UC0658</v>
      </c>
      <c r="C114" s="31" t="str">
        <f>IFERROR(__xludf.DUMMYFUNCTION("""COMPUTED_VALUE"""),"ETIQUETA ADESIVA COUCHE LARANJA 100X150X1")</f>
        <v>ETIQUETA ADESIVA COUCHE LARANJA 100X150X1</v>
      </c>
      <c r="D114" s="39">
        <f>IFERROR(__xludf.DUMMYFUNCTION("""COMPUTED_VALUE"""),4.0)</f>
        <v>4</v>
      </c>
      <c r="E114" s="34" t="str">
        <f>IFERROR(__xludf.DUMMYFUNCTION("""COMPUTED_VALUE"""),"Saída")</f>
        <v>Saída</v>
      </c>
      <c r="F114" s="34" t="str">
        <f>IFERROR(__xludf.DUMMYFUNCTION("""COMPUTED_VALUE"""),"Expedição:ex-escolas-exponenciais:")</f>
        <v>Expedição:ex-escolas-exponenciais:</v>
      </c>
      <c r="G114" s="39">
        <f t="array" ref="G114">XLOOKUP(B114,'Página9'!A:A,'Página9'!F:F,"")</f>
        <v>32</v>
      </c>
      <c r="H114" s="39">
        <f t="array" ref="H114">XLOOKUP(B114,'Página9'!A:A,'Página9'!C:C,"")</f>
        <v>5</v>
      </c>
      <c r="I114" s="35" t="str">
        <f t="array" ref="I114">XLOOKUP(B114,'Página9'!A:A,'Página9'!G:G,"")</f>
        <v>OK</v>
      </c>
      <c r="J114" s="25" t="str">
        <f t="shared" si="1"/>
        <v>EXPEDIÇÃO</v>
      </c>
      <c r="K114" s="25" t="str">
        <f>IFERROR(__xludf.DUMMYFUNCTION("""COMPUTED_VALUE"""),"Silvana Da Silva Pereira")</f>
        <v>Silvana Da Silva Pereira</v>
      </c>
    </row>
    <row r="115">
      <c r="A115" s="37">
        <f>IFERROR(__xludf.DUMMYFUNCTION("""COMPUTED_VALUE"""),45905.0)</f>
        <v>45905</v>
      </c>
      <c r="B115" s="42" t="str">
        <f>IFERROR(__xludf.DUMMYFUNCTION("""COMPUTED_VALUE"""),"MCC046UC0597")</f>
        <v>MCC046UC0597</v>
      </c>
      <c r="C115" s="31" t="str">
        <f>IFERROR(__xludf.DUMMYFUNCTION("""COMPUTED_VALUE"""),"ETIQUETA ADESIVA COUCHE ROSA - SAS 105X150MM")</f>
        <v>ETIQUETA ADESIVA COUCHE ROSA - SAS 105X150MM</v>
      </c>
      <c r="D115" s="39">
        <f>IFERROR(__xludf.DUMMYFUNCTION("""COMPUTED_VALUE"""),4.0)</f>
        <v>4</v>
      </c>
      <c r="E115" s="34" t="str">
        <f>IFERROR(__xludf.DUMMYFUNCTION("""COMPUTED_VALUE"""),"Saída")</f>
        <v>Saída</v>
      </c>
      <c r="F115" s="34" t="str">
        <f>IFERROR(__xludf.DUMMYFUNCTION("""COMPUTED_VALUE"""),"Expedição:ex-escolas-exponenciais:")</f>
        <v>Expedição:ex-escolas-exponenciais:</v>
      </c>
      <c r="G115" s="39">
        <f t="array" ref="G115">XLOOKUP(B115,'Página9'!A:A,'Página9'!F:F,"")</f>
        <v>64</v>
      </c>
      <c r="H115" s="39">
        <f t="array" ref="H115">XLOOKUP(B115,'Página9'!A:A,'Página9'!C:C,"")</f>
        <v>5</v>
      </c>
      <c r="I115" s="35" t="str">
        <f t="array" ref="I115">XLOOKUP(B115,'Página9'!A:A,'Página9'!G:G,"")</f>
        <v>OK</v>
      </c>
      <c r="J115" s="25" t="str">
        <f t="shared" si="1"/>
        <v>EXPEDIÇÃO</v>
      </c>
      <c r="K115" s="25" t="str">
        <f>IFERROR(__xludf.DUMMYFUNCTION("""COMPUTED_VALUE"""),"Silvana Da Silva Pereira")</f>
        <v>Silvana Da Silva Pereira</v>
      </c>
    </row>
    <row r="116">
      <c r="A116" s="37">
        <f>IFERROR(__xludf.DUMMYFUNCTION("""COMPUTED_VALUE"""),45905.0)</f>
        <v>45905</v>
      </c>
      <c r="B116" s="42" t="str">
        <f>IFERROR(__xludf.DUMMYFUNCTION("""COMPUTED_VALUE"""),"MCC046UC0598")</f>
        <v>MCC046UC0598</v>
      </c>
      <c r="C116" s="31" t="str">
        <f>IFERROR(__xludf.DUMMYFUNCTION("""COMPUTED_VALUE"""),"ETIQUETA ADESIVA COUCHE AZUL - 105X150MM SAS")</f>
        <v>ETIQUETA ADESIVA COUCHE AZUL - 105X150MM SAS</v>
      </c>
      <c r="D116" s="39">
        <f>IFERROR(__xludf.DUMMYFUNCTION("""COMPUTED_VALUE"""),4.0)</f>
        <v>4</v>
      </c>
      <c r="E116" s="34" t="str">
        <f>IFERROR(__xludf.DUMMYFUNCTION("""COMPUTED_VALUE"""),"Saída")</f>
        <v>Saída</v>
      </c>
      <c r="F116" s="34" t="str">
        <f>IFERROR(__xludf.DUMMYFUNCTION("""COMPUTED_VALUE"""),"Expedição:ex-escolas-exponenciais:")</f>
        <v>Expedição:ex-escolas-exponenciais:</v>
      </c>
      <c r="G116" s="39">
        <f t="array" ref="G116">XLOOKUP(B116,'Página9'!A:A,'Página9'!F:F,"")</f>
        <v>40</v>
      </c>
      <c r="H116" s="39">
        <f t="array" ref="H116">XLOOKUP(B116,'Página9'!A:A,'Página9'!C:C,"")</f>
        <v>5</v>
      </c>
      <c r="I116" s="35" t="str">
        <f t="array" ref="I116">XLOOKUP(B116,'Página9'!A:A,'Página9'!G:G,"")</f>
        <v>OK</v>
      </c>
      <c r="J116" s="25" t="str">
        <f t="shared" si="1"/>
        <v>EXPEDIÇÃO</v>
      </c>
      <c r="K116" s="25" t="str">
        <f>IFERROR(__xludf.DUMMYFUNCTION("""COMPUTED_VALUE"""),"Silvana Da Silva Pereira")</f>
        <v>Silvana Da Silva Pereira</v>
      </c>
    </row>
    <row r="117">
      <c r="A117" s="37">
        <f>IFERROR(__xludf.DUMMYFUNCTION("""COMPUTED_VALUE"""),45905.0)</f>
        <v>45905</v>
      </c>
      <c r="B117" s="42" t="str">
        <f>IFERROR(__xludf.DUMMYFUNCTION("""COMPUTED_VALUE"""),"MCC046UC0542")</f>
        <v>MCC046UC0542</v>
      </c>
      <c r="C117" s="31" t="str">
        <f>IFERROR(__xludf.DUMMYFUNCTION("""COMPUTED_VALUE"""),"POST-IT 657 76X102MM 100FLS AMARELO 3M")</f>
        <v>POST-IT 657 76X102MM 100FLS AMARELO 3M</v>
      </c>
      <c r="D117" s="39">
        <f>IFERROR(__xludf.DUMMYFUNCTION("""COMPUTED_VALUE"""),2.0)</f>
        <v>2</v>
      </c>
      <c r="E117" s="34" t="str">
        <f>IFERROR(__xludf.DUMMYFUNCTION("""COMPUTED_VALUE"""),"Saída")</f>
        <v>Saída</v>
      </c>
      <c r="F117" s="34" t="str">
        <f>IFERROR(__xludf.DUMMYFUNCTION("""COMPUTED_VALUE"""),"Expedição:ex-escolas-exponenciais:")</f>
        <v>Expedição:ex-escolas-exponenciais:</v>
      </c>
      <c r="G117" s="39">
        <f t="array" ref="G117">XLOOKUP(B117,'Página9'!A:A,'Página9'!F:F,"")</f>
        <v>17</v>
      </c>
      <c r="H117" s="39">
        <f t="array" ref="H117">XLOOKUP(B117,'Página9'!A:A,'Página9'!C:C,"")</f>
        <v>2</v>
      </c>
      <c r="I117" s="35" t="str">
        <f t="array" ref="I117">XLOOKUP(B117,'Página9'!A:A,'Página9'!G:G,"")</f>
        <v>OK</v>
      </c>
      <c r="J117" s="25" t="str">
        <f t="shared" si="1"/>
        <v>EXPEDIÇÃO</v>
      </c>
      <c r="K117" s="25" t="str">
        <f>IFERROR(__xludf.DUMMYFUNCTION("""COMPUTED_VALUE"""),"Lisandra Marchi Da Silva")</f>
        <v>Lisandra Marchi Da Silva</v>
      </c>
    </row>
    <row r="118">
      <c r="A118" s="37">
        <f>IFERROR(__xludf.DUMMYFUNCTION("""COMPUTED_VALUE"""),45905.0)</f>
        <v>45905</v>
      </c>
      <c r="B118" s="42" t="str">
        <f>IFERROR(__xludf.DUMMYFUNCTION("""COMPUTED_VALUE"""),"MCC046UC0082")</f>
        <v>MCC046UC0082</v>
      </c>
      <c r="C118" s="31" t="str">
        <f>IFERROR(__xludf.DUMMYFUNCTION("""COMPUTED_VALUE"""),"PAPEL SULFITE A4 75G 500 FOLHAS")</f>
        <v>PAPEL SULFITE A4 75G 500 FOLHAS</v>
      </c>
      <c r="D118" s="39">
        <f>IFERROR(__xludf.DUMMYFUNCTION("""COMPUTED_VALUE"""),1.0)</f>
        <v>1</v>
      </c>
      <c r="E118" s="34" t="str">
        <f>IFERROR(__xludf.DUMMYFUNCTION("""COMPUTED_VALUE"""),"Saída")</f>
        <v>Saída</v>
      </c>
      <c r="F118" s="34" t="str">
        <f>IFERROR(__xludf.DUMMYFUNCTION("""COMPUTED_VALUE"""),"Estoque:package:")</f>
        <v>Estoque:package:</v>
      </c>
      <c r="G118" s="39">
        <f t="array" ref="G118">XLOOKUP(B118,'Página9'!A:A,'Página9'!F:F,"")</f>
        <v>163</v>
      </c>
      <c r="H118" s="39">
        <f t="array" ref="H118">XLOOKUP(B118,'Página9'!A:A,'Página9'!C:C,"")</f>
        <v>10</v>
      </c>
      <c r="I118" s="35" t="str">
        <f t="array" ref="I118">XLOOKUP(B118,'Página9'!A:A,'Página9'!G:G,"")</f>
        <v>OK</v>
      </c>
      <c r="J118" s="25" t="str">
        <f t="shared" si="1"/>
        <v>ESTOQUE</v>
      </c>
      <c r="K118" s="25" t="str">
        <f>IFERROR(__xludf.DUMMYFUNCTION("""COMPUTED_VALUE"""),"Paulo Henrique Chagas De Oliveira")</f>
        <v>Paulo Henrique Chagas De Oliveira</v>
      </c>
    </row>
    <row r="119">
      <c r="A119" s="37">
        <f>IFERROR(__xludf.DUMMYFUNCTION("""COMPUTED_VALUE"""),45908.0)</f>
        <v>45908</v>
      </c>
      <c r="B119" s="42" t="str">
        <f>IFERROR(__xludf.DUMMYFUNCTION("""COMPUTED_VALUE"""),"MCC015UC0045")</f>
        <v>MCC015UC0045</v>
      </c>
      <c r="C119" s="31" t="str">
        <f>IFERROR(__xludf.DUMMYFUNCTION("""COMPUTED_VALUE"""),"FITA ADESIVA 69MM X 100M")</f>
        <v>FITA ADESIVA 69MM X 100M</v>
      </c>
      <c r="D119" s="39">
        <f>IFERROR(__xludf.DUMMYFUNCTION("""COMPUTED_VALUE"""),2.0)</f>
        <v>2</v>
      </c>
      <c r="E119" s="34" t="str">
        <f>IFERROR(__xludf.DUMMYFUNCTION("""COMPUTED_VALUE"""),"Saída")</f>
        <v>Saída</v>
      </c>
      <c r="F119" s="34" t="str">
        <f>IFERROR(__xludf.DUMMYFUNCTION("""COMPUTED_VALUE"""),"Recebimento:truck:")</f>
        <v>Recebimento:truck:</v>
      </c>
      <c r="G119" s="39">
        <f t="array" ref="G119">XLOOKUP(B119,'Página9'!A:A,'Página9'!F:F,"")</f>
        <v>287</v>
      </c>
      <c r="H119" s="39">
        <f t="array" ref="H119">XLOOKUP(B119,'Página9'!A:A,'Página9'!C:C,"")</f>
        <v>20</v>
      </c>
      <c r="I119" s="35" t="str">
        <f t="array" ref="I119">XLOOKUP(B119,'Página9'!A:A,'Página9'!G:G,"")</f>
        <v>OK</v>
      </c>
      <c r="J119" s="25" t="str">
        <f t="shared" si="1"/>
        <v>RECEBIMENTO</v>
      </c>
      <c r="K119" s="25" t="str">
        <f>IFERROR(__xludf.DUMMYFUNCTION("""COMPUTED_VALUE"""),"Allison Breno Da Costa Borges Soares")</f>
        <v>Allison Breno Da Costa Borges Soares</v>
      </c>
    </row>
    <row r="120">
      <c r="A120" s="37">
        <f>IFERROR(__xludf.DUMMYFUNCTION("""COMPUTED_VALUE"""),45908.0)</f>
        <v>45908</v>
      </c>
      <c r="B120" s="42" t="str">
        <f>IFERROR(__xludf.DUMMYFUNCTION("""COMPUTED_VALUE"""),"MCC015UC0008")</f>
        <v>MCC015UC0008</v>
      </c>
      <c r="C120" s="31" t="str">
        <f>IFERROR(__xludf.DUMMYFUNCTION("""COMPUTED_VALUE"""),"FILME STRETCH 500X25")</f>
        <v>FILME STRETCH 500X25</v>
      </c>
      <c r="D120" s="39">
        <f>IFERROR(__xludf.DUMMYFUNCTION("""COMPUTED_VALUE"""),2.0)</f>
        <v>2</v>
      </c>
      <c r="E120" s="34" t="str">
        <f>IFERROR(__xludf.DUMMYFUNCTION("""COMPUTED_VALUE"""),"Saída")</f>
        <v>Saída</v>
      </c>
      <c r="F120" s="34" t="str">
        <f>IFERROR(__xludf.DUMMYFUNCTION("""COMPUTED_VALUE"""),"Recebimento:truck:")</f>
        <v>Recebimento:truck:</v>
      </c>
      <c r="G120" s="39">
        <f t="array" ref="G120">XLOOKUP(B120,'Página9'!A:A,'Página9'!F:F,"")</f>
        <v>-158</v>
      </c>
      <c r="H120" s="39">
        <f t="array" ref="H120">XLOOKUP(B120,'Página9'!A:A,'Página9'!C:C,"")</f>
        <v>40</v>
      </c>
      <c r="I120" s="35" t="str">
        <f t="array" ref="I120">XLOOKUP(B120,'Página9'!A:A,'Página9'!G:G,"")</f>
        <v>REPOR ESTOQUE</v>
      </c>
      <c r="J120" s="25" t="str">
        <f t="shared" si="1"/>
        <v>RECEBIMENTO</v>
      </c>
      <c r="K120" s="25" t="str">
        <f>IFERROR(__xludf.DUMMYFUNCTION("""COMPUTED_VALUE"""),"Pericles Cavalcante De Lima Maciel")</f>
        <v>Pericles Cavalcante De Lima Maciel</v>
      </c>
    </row>
    <row r="121">
      <c r="A121" s="37">
        <f>IFERROR(__xludf.DUMMYFUNCTION("""COMPUTED_VALUE"""),45908.0)</f>
        <v>45908</v>
      </c>
      <c r="B121" s="42" t="str">
        <f>IFERROR(__xludf.DUMMYFUNCTION("""COMPUTED_VALUE"""),"MCC046UC0695")</f>
        <v>MCC046UC0695</v>
      </c>
      <c r="C121" s="31" t="str">
        <f>IFERROR(__xludf.DUMMYFUNCTION("""COMPUTED_VALUE"""),"ETIQUETA COUCHE 98X50X1")</f>
        <v>ETIQUETA COUCHE 98X50X1</v>
      </c>
      <c r="D121" s="39">
        <f>IFERROR(__xludf.DUMMYFUNCTION("""COMPUTED_VALUE"""),4.0)</f>
        <v>4</v>
      </c>
      <c r="E121" s="34" t="str">
        <f>IFERROR(__xludf.DUMMYFUNCTION("""COMPUTED_VALUE"""),"Saída")</f>
        <v>Saída</v>
      </c>
      <c r="F121" s="34" t="str">
        <f>IFERROR(__xludf.DUMMYFUNCTION("""COMPUTED_VALUE"""),"Expedição:ex-escolas-exponenciais:")</f>
        <v>Expedição:ex-escolas-exponenciais:</v>
      </c>
      <c r="G121" s="39">
        <f t="array" ref="G121">XLOOKUP(B121,'Página9'!A:A,'Página9'!F:F,"")</f>
        <v>256</v>
      </c>
      <c r="H121" s="39">
        <f t="array" ref="H121">XLOOKUP(B121,'Página9'!A:A,'Página9'!C:C,"")</f>
        <v>20</v>
      </c>
      <c r="I121" s="35" t="str">
        <f t="array" ref="I121">XLOOKUP(B121,'Página9'!A:A,'Página9'!G:G,"")</f>
        <v>OK</v>
      </c>
      <c r="J121" s="25" t="str">
        <f t="shared" si="1"/>
        <v>EXPEDIÇÃO</v>
      </c>
      <c r="K121" s="25" t="str">
        <f>IFERROR(__xludf.DUMMYFUNCTION("""COMPUTED_VALUE"""),"Allison Breno Da Costa Borges Soares")</f>
        <v>Allison Breno Da Costa Borges Soares</v>
      </c>
    </row>
    <row r="122">
      <c r="A122" s="37">
        <f>IFERROR(__xludf.DUMMYFUNCTION("""COMPUTED_VALUE"""),45908.0)</f>
        <v>45908</v>
      </c>
      <c r="B122" s="42" t="str">
        <f>IFERROR(__xludf.DUMMYFUNCTION("""COMPUTED_VALUE"""),"MCC046UC0387")</f>
        <v>MCC046UC0387</v>
      </c>
      <c r="C122" s="31" t="str">
        <f>IFERROR(__xludf.DUMMYFUNCTION("""COMPUTED_VALUE"""),"GRAMPEADOR PLUS LINE CIS PRETO 26/6 P/20")</f>
        <v>GRAMPEADOR PLUS LINE CIS PRETO 26/6 P/20</v>
      </c>
      <c r="D122" s="39">
        <f>IFERROR(__xludf.DUMMYFUNCTION("""COMPUTED_VALUE"""),1.0)</f>
        <v>1</v>
      </c>
      <c r="E122" s="34" t="str">
        <f>IFERROR(__xludf.DUMMYFUNCTION("""COMPUTED_VALUE"""),"Saída")</f>
        <v>Saída</v>
      </c>
      <c r="F122" s="34" t="str">
        <f>IFERROR(__xludf.DUMMYFUNCTION("""COMPUTED_VALUE"""),"Recebimento:truck:")</f>
        <v>Recebimento:truck:</v>
      </c>
      <c r="G122" s="39">
        <f t="array" ref="G122">XLOOKUP(B122,'Página9'!A:A,'Página9'!F:F,"")</f>
        <v>0</v>
      </c>
      <c r="H122" s="39">
        <f t="array" ref="H122">XLOOKUP(B122,'Página9'!A:A,'Página9'!C:C,"")</f>
        <v>1</v>
      </c>
      <c r="I122" s="35" t="str">
        <f t="array" ref="I122">XLOOKUP(B122,'Página9'!A:A,'Página9'!G:G,"")</f>
        <v>REPOR ESTOQUE</v>
      </c>
      <c r="J122" s="25" t="str">
        <f t="shared" si="1"/>
        <v>RECEBIMENTO</v>
      </c>
      <c r="K122" s="25" t="str">
        <f>IFERROR(__xludf.DUMMYFUNCTION("""COMPUTED_VALUE"""),"Suellen Aguiar Da Silva")</f>
        <v>Suellen Aguiar Da Silva</v>
      </c>
    </row>
    <row r="123">
      <c r="A123" s="37">
        <f>IFERROR(__xludf.DUMMYFUNCTION("""COMPUTED_VALUE"""),45908.0)</f>
        <v>45908</v>
      </c>
      <c r="B123" s="42" t="str">
        <f>IFERROR(__xludf.DUMMYFUNCTION("""COMPUTED_VALUE"""),"MCC046UC0679")</f>
        <v>MCC046UC0679</v>
      </c>
      <c r="C123" s="31" t="str">
        <f>IFERROR(__xludf.DUMMYFUNCTION("""COMPUTED_VALUE"""),"EXTRATOR DE GRAMPO")</f>
        <v>EXTRATOR DE GRAMPO</v>
      </c>
      <c r="D123" s="39">
        <f>IFERROR(__xludf.DUMMYFUNCTION("""COMPUTED_VALUE"""),1.0)</f>
        <v>1</v>
      </c>
      <c r="E123" s="34" t="str">
        <f>IFERROR(__xludf.DUMMYFUNCTION("""COMPUTED_VALUE"""),"Saída")</f>
        <v>Saída</v>
      </c>
      <c r="F123" s="34" t="str">
        <f>IFERROR(__xludf.DUMMYFUNCTION("""COMPUTED_VALUE"""),"PMM:livro-voador:")</f>
        <v>PMM:livro-voador:</v>
      </c>
      <c r="G123" s="39">
        <f t="array" ref="G123">XLOOKUP(B123,'Página9'!A:A,'Página9'!F:F,"")</f>
        <v>13</v>
      </c>
      <c r="H123" s="39">
        <f t="array" ref="H123">XLOOKUP(B123,'Página9'!A:A,'Página9'!C:C,"")</f>
        <v>3</v>
      </c>
      <c r="I123" s="35" t="str">
        <f t="array" ref="I123">XLOOKUP(B123,'Página9'!A:A,'Página9'!G:G,"")</f>
        <v>OK</v>
      </c>
      <c r="J123" s="25" t="str">
        <f t="shared" si="1"/>
        <v>PMM</v>
      </c>
      <c r="K123" s="25" t="str">
        <f>IFERROR(__xludf.DUMMYFUNCTION("""COMPUTED_VALUE"""),"Suellen Aguiar Da Silva")</f>
        <v>Suellen Aguiar Da Silva</v>
      </c>
    </row>
    <row r="124">
      <c r="A124" s="37">
        <f>IFERROR(__xludf.DUMMYFUNCTION("""COMPUTED_VALUE"""),45908.0)</f>
        <v>45908</v>
      </c>
      <c r="B124" s="42" t="str">
        <f>IFERROR(__xludf.DUMMYFUNCTION("""COMPUTED_VALUE"""),"MCC046UC0082")</f>
        <v>MCC046UC0082</v>
      </c>
      <c r="C124" s="31" t="str">
        <f>IFERROR(__xludf.DUMMYFUNCTION("""COMPUTED_VALUE"""),"PAPEL SULFITE A4 75G 500 FOLHAS")</f>
        <v>PAPEL SULFITE A4 75G 500 FOLHAS</v>
      </c>
      <c r="D124" s="39">
        <f>IFERROR(__xludf.DUMMYFUNCTION("""COMPUTED_VALUE"""),4.0)</f>
        <v>4</v>
      </c>
      <c r="E124" s="34" t="str">
        <f>IFERROR(__xludf.DUMMYFUNCTION("""COMPUTED_VALUE"""),"Saída")</f>
        <v>Saída</v>
      </c>
      <c r="F124" s="34" t="str">
        <f>IFERROR(__xludf.DUMMYFUNCTION("""COMPUTED_VALUE"""),"Recebimento:truck:")</f>
        <v>Recebimento:truck:</v>
      </c>
      <c r="G124" s="43">
        <f t="array" ref="G124">XLOOKUP(B124,'Página9'!A:A,'Página9'!F:F,"")</f>
        <v>163</v>
      </c>
      <c r="H124" s="43">
        <f t="array" ref="H124">XLOOKUP(B124,'Página9'!A:A,'Página9'!C:C,"")</f>
        <v>10</v>
      </c>
      <c r="I124" s="35" t="str">
        <f t="array" ref="I124">XLOOKUP(B124,'Página9'!A:A,'Página9'!G:G,"")</f>
        <v>OK</v>
      </c>
      <c r="J124" s="25" t="str">
        <f t="shared" si="1"/>
        <v>RECEBIMENTO</v>
      </c>
      <c r="K124" s="25" t="str">
        <f>IFERROR(__xludf.DUMMYFUNCTION("""COMPUTED_VALUE"""),"Marcio Sthefani Bessa De Oliveira")</f>
        <v>Marcio Sthefani Bessa De Oliveira</v>
      </c>
    </row>
    <row r="125">
      <c r="A125" s="37">
        <f>IFERROR(__xludf.DUMMYFUNCTION("""COMPUTED_VALUE"""),45908.0)</f>
        <v>45908</v>
      </c>
      <c r="B125" s="42" t="str">
        <f>IFERROR(__xludf.DUMMYFUNCTION("""COMPUTED_VALUE"""),"MCC015UC0008")</f>
        <v>MCC015UC0008</v>
      </c>
      <c r="C125" s="31" t="str">
        <f>IFERROR(__xludf.DUMMYFUNCTION("""COMPUTED_VALUE"""),"FILME STRETCH 500X25")</f>
        <v>FILME STRETCH 500X25</v>
      </c>
      <c r="D125" s="39">
        <f>IFERROR(__xludf.DUMMYFUNCTION("""COMPUTED_VALUE"""),2.0)</f>
        <v>2</v>
      </c>
      <c r="E125" s="34" t="str">
        <f>IFERROR(__xludf.DUMMYFUNCTION("""COMPUTED_VALUE"""),"Saída")</f>
        <v>Saída</v>
      </c>
      <c r="F125" s="34" t="str">
        <f>IFERROR(__xludf.DUMMYFUNCTION("""COMPUTED_VALUE"""),"Expedição:ex-escolas-exponenciais:")</f>
        <v>Expedição:ex-escolas-exponenciais:</v>
      </c>
      <c r="G125" s="39">
        <f t="array" ref="G125">XLOOKUP(B125,'Página9'!A:A,'Página9'!F:F,"")</f>
        <v>-158</v>
      </c>
      <c r="H125" s="39">
        <f t="array" ref="H125">XLOOKUP(B125,'Página9'!A:A,'Página9'!C:C,"")</f>
        <v>40</v>
      </c>
      <c r="I125" s="35" t="str">
        <f t="array" ref="I125">XLOOKUP(B125,'Página9'!A:A,'Página9'!G:G,"")</f>
        <v>REPOR ESTOQUE</v>
      </c>
      <c r="J125" s="25" t="str">
        <f t="shared" si="1"/>
        <v>EXPEDIÇÃO</v>
      </c>
      <c r="K125" s="25" t="str">
        <f>IFERROR(__xludf.DUMMYFUNCTION("""COMPUTED_VALUE"""),"Marcio Sthefani Bessa De Oliveira")</f>
        <v>Marcio Sthefani Bessa De Oliveira</v>
      </c>
    </row>
    <row r="126">
      <c r="A126" s="37">
        <f>IFERROR(__xludf.DUMMYFUNCTION("""COMPUTED_VALUE"""),45909.0)</f>
        <v>45909</v>
      </c>
      <c r="B126" s="42" t="str">
        <f>IFERROR(__xludf.DUMMYFUNCTION("""COMPUTED_VALUE"""),"MCC015UC0008")</f>
        <v>MCC015UC0008</v>
      </c>
      <c r="C126" s="31" t="str">
        <f>IFERROR(__xludf.DUMMYFUNCTION("""COMPUTED_VALUE"""),"FILME STRETCH 500X25")</f>
        <v>FILME STRETCH 500X25</v>
      </c>
      <c r="D126" s="39">
        <f>IFERROR(__xludf.DUMMYFUNCTION("""COMPUTED_VALUE"""),2.0)</f>
        <v>2</v>
      </c>
      <c r="E126" s="34" t="str">
        <f>IFERROR(__xludf.DUMMYFUNCTION("""COMPUTED_VALUE"""),"Saída")</f>
        <v>Saída</v>
      </c>
      <c r="F126" s="34" t="str">
        <f>IFERROR(__xludf.DUMMYFUNCTION("""COMPUTED_VALUE"""),"PMM:livro-voador:")</f>
        <v>PMM:livro-voador:</v>
      </c>
      <c r="G126" s="43">
        <f t="array" ref="G126">XLOOKUP(B126,'Página9'!A:A,'Página9'!F:F,"")</f>
        <v>-158</v>
      </c>
      <c r="H126" s="43">
        <f t="array" ref="H126">XLOOKUP(B126,'Página9'!A:A,'Página9'!C:C,"")</f>
        <v>40</v>
      </c>
      <c r="I126" s="35" t="str">
        <f t="array" ref="I126">XLOOKUP(B126,'Página9'!A:A,'Página9'!G:G,"")</f>
        <v>REPOR ESTOQUE</v>
      </c>
      <c r="J126" s="25" t="str">
        <f t="shared" si="1"/>
        <v>PMM</v>
      </c>
      <c r="K126" s="25" t="str">
        <f>IFERROR(__xludf.DUMMYFUNCTION("""COMPUTED_VALUE"""),"Pericles Cavalcante De Lima Maciel")</f>
        <v>Pericles Cavalcante De Lima Maciel</v>
      </c>
    </row>
    <row r="127">
      <c r="A127" s="37">
        <f>IFERROR(__xludf.DUMMYFUNCTION("""COMPUTED_VALUE"""),45909.0)</f>
        <v>45909</v>
      </c>
      <c r="B127" s="42" t="str">
        <f>IFERROR(__xludf.DUMMYFUNCTION("""COMPUTED_VALUE"""),"MCC046UC0597")</f>
        <v>MCC046UC0597</v>
      </c>
      <c r="C127" s="31" t="str">
        <f>IFERROR(__xludf.DUMMYFUNCTION("""COMPUTED_VALUE"""),"ETIQUETA ADESIVA COUCHE ROSA - SAS 105X150MM")</f>
        <v>ETIQUETA ADESIVA COUCHE ROSA - SAS 105X150MM</v>
      </c>
      <c r="D127" s="39">
        <f>IFERROR(__xludf.DUMMYFUNCTION("""COMPUTED_VALUE"""),2.0)</f>
        <v>2</v>
      </c>
      <c r="E127" s="34" t="str">
        <f>IFERROR(__xludf.DUMMYFUNCTION("""COMPUTED_VALUE"""),"Saída")</f>
        <v>Saída</v>
      </c>
      <c r="F127" s="34" t="str">
        <f>IFERROR(__xludf.DUMMYFUNCTION("""COMPUTED_VALUE"""),"PMM:livro-voador:")</f>
        <v>PMM:livro-voador:</v>
      </c>
      <c r="G127" s="39">
        <f t="array" ref="G127">XLOOKUP(B127,'Página9'!A:A,'Página9'!F:F,"")</f>
        <v>64</v>
      </c>
      <c r="H127" s="39">
        <f t="array" ref="H127">XLOOKUP(B127,'Página9'!A:A,'Página9'!C:C,"")</f>
        <v>5</v>
      </c>
      <c r="I127" s="35" t="str">
        <f t="array" ref="I127">XLOOKUP(B127,'Página9'!A:A,'Página9'!G:G,"")</f>
        <v>OK</v>
      </c>
      <c r="J127" s="25" t="str">
        <f t="shared" si="1"/>
        <v>PMM</v>
      </c>
      <c r="K127" s="25" t="str">
        <f>IFERROR(__xludf.DUMMYFUNCTION("""COMPUTED_VALUE"""),"Jose Antoniel Silva Mesquita")</f>
        <v>Jose Antoniel Silva Mesquita</v>
      </c>
    </row>
    <row r="128">
      <c r="A128" s="37">
        <f>IFERROR(__xludf.DUMMYFUNCTION("""COMPUTED_VALUE"""),45909.0)</f>
        <v>45909</v>
      </c>
      <c r="B128" s="42" t="str">
        <f>IFERROR(__xludf.DUMMYFUNCTION("""COMPUTED_VALUE"""),"MCC015UC0045")</f>
        <v>MCC015UC0045</v>
      </c>
      <c r="C128" s="31" t="str">
        <f>IFERROR(__xludf.DUMMYFUNCTION("""COMPUTED_VALUE"""),"FITA ADESIVA 69MM X 100M")</f>
        <v>FITA ADESIVA 69MM X 100M</v>
      </c>
      <c r="D128" s="39">
        <f>IFERROR(__xludf.DUMMYFUNCTION("""COMPUTED_VALUE"""),4.0)</f>
        <v>4</v>
      </c>
      <c r="E128" s="34" t="str">
        <f>IFERROR(__xludf.DUMMYFUNCTION("""COMPUTED_VALUE"""),"Saída")</f>
        <v>Saída</v>
      </c>
      <c r="F128" s="34" t="str">
        <f>IFERROR(__xludf.DUMMYFUNCTION("""COMPUTED_VALUE"""),"PMM:livro-voador:")</f>
        <v>PMM:livro-voador:</v>
      </c>
      <c r="G128" s="39">
        <f t="array" ref="G128">XLOOKUP(B128,'Página9'!A:A,'Página9'!F:F,"")</f>
        <v>287</v>
      </c>
      <c r="H128" s="39">
        <f t="array" ref="H128">XLOOKUP(B128,'Página9'!A:A,'Página9'!C:C,"")</f>
        <v>20</v>
      </c>
      <c r="I128" s="35" t="str">
        <f t="array" ref="I128">XLOOKUP(B128,'Página9'!A:A,'Página9'!G:G,"")</f>
        <v>OK</v>
      </c>
      <c r="J128" s="25" t="str">
        <f t="shared" si="1"/>
        <v>PMM</v>
      </c>
      <c r="K128" s="25" t="str">
        <f>IFERROR(__xludf.DUMMYFUNCTION("""COMPUTED_VALUE"""),"Allison Breno Da Costa Borges Soares")</f>
        <v>Allison Breno Da Costa Borges Soares</v>
      </c>
    </row>
    <row r="129">
      <c r="A129" s="37">
        <f>IFERROR(__xludf.DUMMYFUNCTION("""COMPUTED_VALUE"""),45909.0)</f>
        <v>45909</v>
      </c>
      <c r="B129" s="42" t="str">
        <f>IFERROR(__xludf.DUMMYFUNCTION("""COMPUTED_VALUE"""),"MCC015UC0008")</f>
        <v>MCC015UC0008</v>
      </c>
      <c r="C129" s="31" t="str">
        <f>IFERROR(__xludf.DUMMYFUNCTION("""COMPUTED_VALUE"""),"FILME STRETCH 500X25")</f>
        <v>FILME STRETCH 500X25</v>
      </c>
      <c r="D129" s="39">
        <f>IFERROR(__xludf.DUMMYFUNCTION("""COMPUTED_VALUE"""),2.0)</f>
        <v>2</v>
      </c>
      <c r="E129" s="34" t="str">
        <f>IFERROR(__xludf.DUMMYFUNCTION("""COMPUTED_VALUE"""),"Saída")</f>
        <v>Saída</v>
      </c>
      <c r="F129" s="34" t="str">
        <f>IFERROR(__xludf.DUMMYFUNCTION("""COMPUTED_VALUE"""),"Recebimento:truck:")</f>
        <v>Recebimento:truck:</v>
      </c>
      <c r="G129" s="39">
        <f t="array" ref="G129">XLOOKUP(B129,'Página9'!A:A,'Página9'!F:F,"")</f>
        <v>-158</v>
      </c>
      <c r="H129" s="39">
        <f t="array" ref="H129">XLOOKUP(B129,'Página9'!A:A,'Página9'!C:C,"")</f>
        <v>40</v>
      </c>
      <c r="I129" s="35" t="str">
        <f t="array" ref="I129">XLOOKUP(B129,'Página9'!A:A,'Página9'!G:G,"")</f>
        <v>REPOR ESTOQUE</v>
      </c>
      <c r="J129" s="25" t="str">
        <f t="shared" si="1"/>
        <v>RECEBIMENTO</v>
      </c>
      <c r="K129" s="25" t="str">
        <f>IFERROR(__xludf.DUMMYFUNCTION("""COMPUTED_VALUE"""),"Pericles Cavalcante De Lima Maciel")</f>
        <v>Pericles Cavalcante De Lima Maciel</v>
      </c>
    </row>
    <row r="130">
      <c r="A130" s="37">
        <f>IFERROR(__xludf.DUMMYFUNCTION("""COMPUTED_VALUE"""),45909.0)</f>
        <v>45909</v>
      </c>
      <c r="B130" s="42" t="str">
        <f>IFERROR(__xludf.DUMMYFUNCTION("""COMPUTED_VALUE"""),"MCC046UC0695")</f>
        <v>MCC046UC0695</v>
      </c>
      <c r="C130" s="31" t="str">
        <f>IFERROR(__xludf.DUMMYFUNCTION("""COMPUTED_VALUE"""),"ETIQUETA COUCHE 98X50X1")</f>
        <v>ETIQUETA COUCHE 98X50X1</v>
      </c>
      <c r="D130" s="39">
        <f>IFERROR(__xludf.DUMMYFUNCTION("""COMPUTED_VALUE"""),4.0)</f>
        <v>4</v>
      </c>
      <c r="E130" s="34" t="str">
        <f>IFERROR(__xludf.DUMMYFUNCTION("""COMPUTED_VALUE"""),"Saída")</f>
        <v>Saída</v>
      </c>
      <c r="F130" s="34" t="str">
        <f>IFERROR(__xludf.DUMMYFUNCTION("""COMPUTED_VALUE"""),"CIQ :qualidade:")</f>
        <v>CIQ :qualidade:</v>
      </c>
      <c r="G130" s="39">
        <f t="array" ref="G130">XLOOKUP(B130,'Página9'!A:A,'Página9'!F:F,"")</f>
        <v>256</v>
      </c>
      <c r="H130" s="39">
        <f t="array" ref="H130">XLOOKUP(B130,'Página9'!A:A,'Página9'!C:C,"")</f>
        <v>20</v>
      </c>
      <c r="I130" s="35" t="str">
        <f t="array" ref="I130">XLOOKUP(B130,'Página9'!A:A,'Página9'!G:G,"")</f>
        <v>OK</v>
      </c>
      <c r="J130" s="25" t="str">
        <f t="shared" si="1"/>
        <v>CIQ</v>
      </c>
      <c r="K130" s="25" t="str">
        <f>IFERROR(__xludf.DUMMYFUNCTION("""COMPUTED_VALUE"""),"Allison Breno Da Costa Borges Soares")</f>
        <v>Allison Breno Da Costa Borges Soares</v>
      </c>
    </row>
    <row r="131">
      <c r="A131" s="37">
        <f>IFERROR(__xludf.DUMMYFUNCTION("""COMPUTED_VALUE"""),45909.0)</f>
        <v>45909</v>
      </c>
      <c r="B131" s="42" t="str">
        <f>IFERROR(__xludf.DUMMYFUNCTION("""COMPUTED_VALUE"""),"MCC015UC0045")</f>
        <v>MCC015UC0045</v>
      </c>
      <c r="C131" s="31" t="str">
        <f>IFERROR(__xludf.DUMMYFUNCTION("""COMPUTED_VALUE"""),"FITA ADESIVA 69MM X 100M")</f>
        <v>FITA ADESIVA 69MM X 100M</v>
      </c>
      <c r="D131" s="39">
        <f>IFERROR(__xludf.DUMMYFUNCTION("""COMPUTED_VALUE"""),1.0)</f>
        <v>1</v>
      </c>
      <c r="E131" s="34" t="str">
        <f>IFERROR(__xludf.DUMMYFUNCTION("""COMPUTED_VALUE"""),"Saída")</f>
        <v>Saída</v>
      </c>
      <c r="F131" s="34" t="str">
        <f>IFERROR(__xludf.DUMMYFUNCTION("""COMPUTED_VALUE"""),"CIQ :qualidade:")</f>
        <v>CIQ :qualidade:</v>
      </c>
      <c r="G131" s="39">
        <f t="array" ref="G131">XLOOKUP(B131,'Página9'!A:A,'Página9'!F:F,"")</f>
        <v>287</v>
      </c>
      <c r="H131" s="39">
        <f t="array" ref="H131">XLOOKUP(B131,'Página9'!A:A,'Página9'!C:C,"")</f>
        <v>20</v>
      </c>
      <c r="I131" s="35" t="str">
        <f t="array" ref="I131">XLOOKUP(B131,'Página9'!A:A,'Página9'!G:G,"")</f>
        <v>OK</v>
      </c>
      <c r="J131" s="25" t="str">
        <f t="shared" si="1"/>
        <v>CIQ</v>
      </c>
      <c r="K131" s="25" t="str">
        <f>IFERROR(__xludf.DUMMYFUNCTION("""COMPUTED_VALUE"""),"Pedro Lucas Matias Do Nascimento")</f>
        <v>Pedro Lucas Matias Do Nascimento</v>
      </c>
    </row>
    <row r="132">
      <c r="A132" s="37">
        <f>IFERROR(__xludf.DUMMYFUNCTION("""COMPUTED_VALUE"""),45910.0)</f>
        <v>45910</v>
      </c>
      <c r="B132" s="42" t="str">
        <f>IFERROR(__xludf.DUMMYFUNCTION("""COMPUTED_VALUE"""),"MCC046UC0387")</f>
        <v>MCC046UC0387</v>
      </c>
      <c r="C132" s="31" t="str">
        <f>IFERROR(__xludf.DUMMYFUNCTION("""COMPUTED_VALUE"""),"GRAMPEADOR PLUS LINE CIS PRETO 26/6 P/20")</f>
        <v>GRAMPEADOR PLUS LINE CIS PRETO 26/6 P/20</v>
      </c>
      <c r="D132" s="39">
        <f>IFERROR(__xludf.DUMMYFUNCTION("""COMPUTED_VALUE"""),1.0)</f>
        <v>1</v>
      </c>
      <c r="E132" s="34" t="str">
        <f>IFERROR(__xludf.DUMMYFUNCTION("""COMPUTED_VALUE"""),"Saída")</f>
        <v>Saída</v>
      </c>
      <c r="F132" s="34" t="str">
        <f>IFERROR(__xludf.DUMMYFUNCTION("""COMPUTED_VALUE"""),"Estoque:package:")</f>
        <v>Estoque:package:</v>
      </c>
      <c r="G132" s="39">
        <f t="array" ref="G132">XLOOKUP(B132,'Página9'!A:A,'Página9'!F:F,"")</f>
        <v>0</v>
      </c>
      <c r="H132" s="39">
        <f t="array" ref="H132">XLOOKUP(B132,'Página9'!A:A,'Página9'!C:C,"")</f>
        <v>1</v>
      </c>
      <c r="I132" s="35" t="str">
        <f t="array" ref="I132">XLOOKUP(B132,'Página9'!A:A,'Página9'!G:G,"")</f>
        <v>REPOR ESTOQUE</v>
      </c>
      <c r="J132" s="25" t="str">
        <f t="shared" si="1"/>
        <v>ESTOQUE</v>
      </c>
      <c r="K132" s="25" t="str">
        <f>IFERROR(__xludf.DUMMYFUNCTION("""COMPUTED_VALUE"""),"Antonio Marcos De Albuquerque")</f>
        <v>Antonio Marcos De Albuquerque</v>
      </c>
    </row>
    <row r="133">
      <c r="A133" s="37">
        <f>IFERROR(__xludf.DUMMYFUNCTION("""COMPUTED_VALUE"""),45910.0)</f>
        <v>45910</v>
      </c>
      <c r="B133" s="42" t="str">
        <f>IFERROR(__xludf.DUMMYFUNCTION("""COMPUTED_VALUE"""),"MCC015UC0033")</f>
        <v>MCC015UC0033</v>
      </c>
      <c r="C133" s="31" t="str">
        <f>IFERROR(__xludf.DUMMYFUNCTION("""COMPUTED_VALUE"""),"FITA DE ARQUEAR PET VERDE 16MM X 0,8MM C/ 13KG")</f>
        <v>FITA DE ARQUEAR PET VERDE 16MM X 0,8MM C/ 13KG</v>
      </c>
      <c r="D133" s="39">
        <f>IFERROR(__xludf.DUMMYFUNCTION("""COMPUTED_VALUE"""),1.0)</f>
        <v>1</v>
      </c>
      <c r="E133" s="34" t="str">
        <f>IFERROR(__xludf.DUMMYFUNCTION("""COMPUTED_VALUE"""),"Saída")</f>
        <v>Saída</v>
      </c>
      <c r="F133" s="34" t="str">
        <f>IFERROR(__xludf.DUMMYFUNCTION("""COMPUTED_VALUE"""),"Recebimento:truck:")</f>
        <v>Recebimento:truck:</v>
      </c>
      <c r="G133" s="39">
        <f t="array" ref="G133">XLOOKUP(B133,'Página9'!A:A,'Página9'!F:F,"")</f>
        <v>4</v>
      </c>
      <c r="H133" s="39">
        <f t="array" ref="H133">XLOOKUP(B133,'Página9'!A:A,'Página9'!C:C,"")</f>
        <v>3</v>
      </c>
      <c r="I133" s="35" t="str">
        <f t="array" ref="I133">XLOOKUP(B133,'Página9'!A:A,'Página9'!G:G,"")</f>
        <v>OK</v>
      </c>
      <c r="J133" s="25" t="str">
        <f t="shared" si="1"/>
        <v>RECEBIMENTO</v>
      </c>
      <c r="K133" s="25" t="str">
        <f>IFERROR(__xludf.DUMMYFUNCTION("""COMPUTED_VALUE"""),"Allison Breno Da Costa Borges Soares")</f>
        <v>Allison Breno Da Costa Borges Soares</v>
      </c>
    </row>
    <row r="134">
      <c r="A134" s="37">
        <f>IFERROR(__xludf.DUMMYFUNCTION("""COMPUTED_VALUE"""),45910.0)</f>
        <v>45910</v>
      </c>
      <c r="B134" s="42" t="str">
        <f>IFERROR(__xludf.DUMMYFUNCTION("""COMPUTED_VALUE"""),"MCC046UC0542")</f>
        <v>MCC046UC0542</v>
      </c>
      <c r="C134" s="31" t="str">
        <f>IFERROR(__xludf.DUMMYFUNCTION("""COMPUTED_VALUE"""),"POST-IT 657 76X102MM 100FLS AMARELO 3M")</f>
        <v>POST-IT 657 76X102MM 100FLS AMARELO 3M</v>
      </c>
      <c r="D134" s="39">
        <f>IFERROR(__xludf.DUMMYFUNCTION("""COMPUTED_VALUE"""),1.0)</f>
        <v>1</v>
      </c>
      <c r="E134" s="34" t="str">
        <f>IFERROR(__xludf.DUMMYFUNCTION("""COMPUTED_VALUE"""),"Saída")</f>
        <v>Saída</v>
      </c>
      <c r="F134" s="34" t="str">
        <f>IFERROR(__xludf.DUMMYFUNCTION("""COMPUTED_VALUE"""),"Recebimento:truck:")</f>
        <v>Recebimento:truck:</v>
      </c>
      <c r="G134" s="39">
        <f t="array" ref="G134">XLOOKUP(B134,'Página9'!A:A,'Página9'!F:F,"")</f>
        <v>17</v>
      </c>
      <c r="H134" s="39">
        <f t="array" ref="H134">XLOOKUP(B134,'Página9'!A:A,'Página9'!C:C,"")</f>
        <v>2</v>
      </c>
      <c r="I134" s="35" t="str">
        <f t="array" ref="I134">XLOOKUP(B134,'Página9'!A:A,'Página9'!G:G,"")</f>
        <v>OK</v>
      </c>
      <c r="J134" s="25" t="str">
        <f t="shared" si="1"/>
        <v>RECEBIMENTO</v>
      </c>
      <c r="K134" s="25" t="str">
        <f>IFERROR(__xludf.DUMMYFUNCTION("""COMPUTED_VALUE"""),"Jose Edervanio Lima Mateus")</f>
        <v>Jose Edervanio Lima Mateus</v>
      </c>
    </row>
    <row r="135">
      <c r="A135" s="37">
        <f>IFERROR(__xludf.DUMMYFUNCTION("""COMPUTED_VALUE"""),45910.0)</f>
        <v>45910</v>
      </c>
      <c r="B135" s="42" t="str">
        <f>IFERROR(__xludf.DUMMYFUNCTION("""COMPUTED_VALUE"""),"MCC046UC0215")</f>
        <v>MCC046UC0215</v>
      </c>
      <c r="C135" s="31" t="str">
        <f>IFERROR(__xludf.DUMMYFUNCTION("""COMPUTED_VALUE"""),"CANETA ESFEROGRAFICA ECONOMIC AZUL BIC")</f>
        <v>CANETA ESFEROGRAFICA ECONOMIC AZUL BIC</v>
      </c>
      <c r="D135" s="39">
        <f>IFERROR(__xludf.DUMMYFUNCTION("""COMPUTED_VALUE"""),1.0)</f>
        <v>1</v>
      </c>
      <c r="E135" s="34" t="str">
        <f>IFERROR(__xludf.DUMMYFUNCTION("""COMPUTED_VALUE"""),"Saída")</f>
        <v>Saída</v>
      </c>
      <c r="F135" s="34" t="str">
        <f>IFERROR(__xludf.DUMMYFUNCTION("""COMPUTED_VALUE"""),"PMM:livro-voador:")</f>
        <v>PMM:livro-voador:</v>
      </c>
      <c r="G135" s="39">
        <f t="array" ref="G135">XLOOKUP(B135,'Página9'!A:A,'Página9'!F:F,"")</f>
        <v>-20</v>
      </c>
      <c r="H135" s="39">
        <f t="array" ref="H135">XLOOKUP(B135,'Página9'!A:A,'Página9'!C:C,"")</f>
        <v>15</v>
      </c>
      <c r="I135" s="35" t="str">
        <f t="array" ref="I135">XLOOKUP(B135,'Página9'!A:A,'Página9'!G:G,"")</f>
        <v>REPOR ESTOQUE</v>
      </c>
      <c r="J135" s="25" t="str">
        <f t="shared" si="1"/>
        <v>PMM</v>
      </c>
      <c r="K135" s="25" t="str">
        <f>IFERROR(__xludf.DUMMYFUNCTION("""COMPUTED_VALUE"""),"Jose Edervanio Lima Mateus")</f>
        <v>Jose Edervanio Lima Mateus</v>
      </c>
    </row>
    <row r="136">
      <c r="A136" s="37">
        <f>IFERROR(__xludf.DUMMYFUNCTION("""COMPUTED_VALUE"""),45910.0)</f>
        <v>45910</v>
      </c>
      <c r="B136" s="42" t="str">
        <f>IFERROR(__xludf.DUMMYFUNCTION("""COMPUTED_VALUE"""),"MCC046UC0216")</f>
        <v>MCC046UC0216</v>
      </c>
      <c r="C136" s="31" t="str">
        <f>IFERROR(__xludf.DUMMYFUNCTION("""COMPUTED_VALUE"""),"CANETA ESFEROGRAFICA ECONOMIC PRETA BIC")</f>
        <v>CANETA ESFEROGRAFICA ECONOMIC PRETA BIC</v>
      </c>
      <c r="D136" s="39">
        <f>IFERROR(__xludf.DUMMYFUNCTION("""COMPUTED_VALUE"""),1.0)</f>
        <v>1</v>
      </c>
      <c r="E136" s="34" t="str">
        <f>IFERROR(__xludf.DUMMYFUNCTION("""COMPUTED_VALUE"""),"Saída")</f>
        <v>Saída</v>
      </c>
      <c r="F136" s="34" t="str">
        <f>IFERROR(__xludf.DUMMYFUNCTION("""COMPUTED_VALUE"""),"PMM:livro-voador:")</f>
        <v>PMM:livro-voador:</v>
      </c>
      <c r="G136" s="39">
        <f t="array" ref="G136">XLOOKUP(B136,'Página9'!A:A,'Página9'!F:F,"")</f>
        <v>89</v>
      </c>
      <c r="H136" s="39">
        <f t="array" ref="H136">XLOOKUP(B136,'Página9'!A:A,'Página9'!C:C,"")</f>
        <v>15</v>
      </c>
      <c r="I136" s="35" t="str">
        <f t="array" ref="I136">XLOOKUP(B136,'Página9'!A:A,'Página9'!G:G,"")</f>
        <v>OK</v>
      </c>
      <c r="J136" s="25" t="str">
        <f t="shared" si="1"/>
        <v>PMM</v>
      </c>
      <c r="K136" s="25" t="str">
        <f>IFERROR(__xludf.DUMMYFUNCTION("""COMPUTED_VALUE"""),"Jose Edervanio Lima Mateus")</f>
        <v>Jose Edervanio Lima Mateus</v>
      </c>
    </row>
    <row r="137">
      <c r="A137" s="37">
        <f>IFERROR(__xludf.DUMMYFUNCTION("""COMPUTED_VALUE"""),45910.0)</f>
        <v>45910</v>
      </c>
      <c r="B137" s="42" t="str">
        <f>IFERROR(__xludf.DUMMYFUNCTION("""COMPUTED_VALUE"""),"MCC046UC0679")</f>
        <v>MCC046UC0679</v>
      </c>
      <c r="C137" s="31" t="str">
        <f>IFERROR(__xludf.DUMMYFUNCTION("""COMPUTED_VALUE"""),"EXTRATOR DE GRAMPO")</f>
        <v>EXTRATOR DE GRAMPO</v>
      </c>
      <c r="D137" s="39">
        <f>IFERROR(__xludf.DUMMYFUNCTION("""COMPUTED_VALUE"""),1.0)</f>
        <v>1</v>
      </c>
      <c r="E137" s="34" t="str">
        <f>IFERROR(__xludf.DUMMYFUNCTION("""COMPUTED_VALUE"""),"Saída")</f>
        <v>Saída</v>
      </c>
      <c r="F137" s="34" t="str">
        <f>IFERROR(__xludf.DUMMYFUNCTION("""COMPUTED_VALUE"""),"Recebimento:truck:")</f>
        <v>Recebimento:truck:</v>
      </c>
      <c r="G137" s="39">
        <f t="array" ref="G137">XLOOKUP(B137,'Página9'!A:A,'Página9'!F:F,"")</f>
        <v>13</v>
      </c>
      <c r="H137" s="39">
        <f t="array" ref="H137">XLOOKUP(B137,'Página9'!A:A,'Página9'!C:C,"")</f>
        <v>3</v>
      </c>
      <c r="I137" s="35" t="str">
        <f t="array" ref="I137">XLOOKUP(B137,'Página9'!A:A,'Página9'!G:G,"")</f>
        <v>OK</v>
      </c>
      <c r="J137" s="25" t="str">
        <f t="shared" si="1"/>
        <v>RECEBIMENTO</v>
      </c>
      <c r="K137" s="25" t="str">
        <f>IFERROR(__xludf.DUMMYFUNCTION("""COMPUTED_VALUE"""),"Jose Edervanio Lima Mateus")</f>
        <v>Jose Edervanio Lima Mateus</v>
      </c>
    </row>
    <row r="138">
      <c r="A138" s="37">
        <f>IFERROR(__xludf.DUMMYFUNCTION("""COMPUTED_VALUE"""),45910.0)</f>
        <v>45910</v>
      </c>
      <c r="B138" s="42" t="str">
        <f>IFERROR(__xludf.DUMMYFUNCTION("""COMPUTED_VALUE"""),"MCC046UC0360")</f>
        <v>MCC046UC0360</v>
      </c>
      <c r="C138" s="31" t="str">
        <f>IFERROR(__xludf.DUMMYFUNCTION("""COMPUTED_VALUE"""),"FITA ADESIVA DUPLA FACE 12mm X 20m 4910 VHB 3M")</f>
        <v>FITA ADESIVA DUPLA FACE 12mm X 20m 4910 VHB 3M</v>
      </c>
      <c r="D138" s="39">
        <f>IFERROR(__xludf.DUMMYFUNCTION("""COMPUTED_VALUE"""),1.0)</f>
        <v>1</v>
      </c>
      <c r="E138" s="34" t="str">
        <f>IFERROR(__xludf.DUMMYFUNCTION("""COMPUTED_VALUE"""),"Saída")</f>
        <v>Saída</v>
      </c>
      <c r="F138" s="34" t="str">
        <f>IFERROR(__xludf.DUMMYFUNCTION("""COMPUTED_VALUE"""),"Estoque:package:")</f>
        <v>Estoque:package:</v>
      </c>
      <c r="G138" s="39">
        <f t="array" ref="G138">XLOOKUP(B138,'Página9'!A:A,'Página9'!F:F,"")</f>
        <v>-124</v>
      </c>
      <c r="H138" s="39">
        <f t="array" ref="H138">XLOOKUP(B138,'Página9'!A:A,'Página9'!C:C,"")</f>
        <v>1</v>
      </c>
      <c r="I138" s="35" t="str">
        <f t="array" ref="I138">XLOOKUP(B138,'Página9'!A:A,'Página9'!G:G,"")</f>
        <v>REPOR ESTOQUE</v>
      </c>
      <c r="J138" s="25" t="str">
        <f t="shared" si="1"/>
        <v>ESTOQUE</v>
      </c>
      <c r="K138" s="25" t="str">
        <f>IFERROR(__xludf.DUMMYFUNCTION("""COMPUTED_VALUE"""),"Jose Edervanio Lima Mateus")</f>
        <v>Jose Edervanio Lima Mateus</v>
      </c>
    </row>
    <row r="139">
      <c r="A139" s="37">
        <f>IFERROR(__xludf.DUMMYFUNCTION("""COMPUTED_VALUE"""),45910.0)</f>
        <v>45910</v>
      </c>
      <c r="B139" s="42" t="str">
        <f>IFERROR(__xludf.DUMMYFUNCTION("""COMPUTED_VALUE"""),"MCC046UC0387")</f>
        <v>MCC046UC0387</v>
      </c>
      <c r="C139" s="31" t="str">
        <f>IFERROR(__xludf.DUMMYFUNCTION("""COMPUTED_VALUE"""),"GRAMPEADOR PLUS LINE CIS PRETO 26/6 P/20")</f>
        <v>GRAMPEADOR PLUS LINE CIS PRETO 26/6 P/20</v>
      </c>
      <c r="D139" s="39">
        <f>IFERROR(__xludf.DUMMYFUNCTION("""COMPUTED_VALUE"""),1.0)</f>
        <v>1</v>
      </c>
      <c r="E139" s="34" t="str">
        <f>IFERROR(__xludf.DUMMYFUNCTION("""COMPUTED_VALUE"""),"Saída")</f>
        <v>Saída</v>
      </c>
      <c r="F139" s="34" t="str">
        <f>IFERROR(__xludf.DUMMYFUNCTION("""COMPUTED_VALUE"""),"Estoque:package:")</f>
        <v>Estoque:package:</v>
      </c>
      <c r="G139" s="39">
        <f t="array" ref="G139">XLOOKUP(B139,'Página9'!A:A,'Página9'!F:F,"")</f>
        <v>0</v>
      </c>
      <c r="H139" s="39">
        <f t="array" ref="H139">XLOOKUP(B139,'Página9'!A:A,'Página9'!C:C,"")</f>
        <v>1</v>
      </c>
      <c r="I139" s="35" t="str">
        <f t="array" ref="I139">XLOOKUP(B139,'Página9'!A:A,'Página9'!G:G,"")</f>
        <v>REPOR ESTOQUE</v>
      </c>
      <c r="J139" s="25" t="str">
        <f t="shared" si="1"/>
        <v>ESTOQUE</v>
      </c>
      <c r="K139" s="25" t="str">
        <f>IFERROR(__xludf.DUMMYFUNCTION("""COMPUTED_VALUE"""),"Jose Edervanio Lima Mateus")</f>
        <v>Jose Edervanio Lima Mateus</v>
      </c>
    </row>
    <row r="140">
      <c r="A140" s="37">
        <f>IFERROR(__xludf.DUMMYFUNCTION("""COMPUTED_VALUE"""),45910.0)</f>
        <v>45910</v>
      </c>
      <c r="B140" s="42" t="str">
        <f>IFERROR(__xludf.DUMMYFUNCTION("""COMPUTED_VALUE"""),"MCC046UC0520")</f>
        <v>MCC046UC0520</v>
      </c>
      <c r="C140" s="31" t="str">
        <f>IFERROR(__xludf.DUMMYFUNCTION("""COMPUTED_VALUE"""),"MARCA TEXTO LARANJA LUMICOLOR 200-SL PILOT")</f>
        <v>MARCA TEXTO LARANJA LUMICOLOR 200-SL PILOT</v>
      </c>
      <c r="D140" s="39">
        <f>IFERROR(__xludf.DUMMYFUNCTION("""COMPUTED_VALUE"""),1.0)</f>
        <v>1</v>
      </c>
      <c r="E140" s="34" t="str">
        <f>IFERROR(__xludf.DUMMYFUNCTION("""COMPUTED_VALUE"""),"Saída")</f>
        <v>Saída</v>
      </c>
      <c r="F140" s="34" t="str">
        <f>IFERROR(__xludf.DUMMYFUNCTION("""COMPUTED_VALUE"""),"Recebimento:truck:")</f>
        <v>Recebimento:truck:</v>
      </c>
      <c r="G140" s="39">
        <f t="array" ref="G140">XLOOKUP(B140,'Página9'!A:A,'Página9'!F:F,"")</f>
        <v>20</v>
      </c>
      <c r="H140" s="39">
        <f t="array" ref="H140">XLOOKUP(B140,'Página9'!A:A,'Página9'!C:C,"")</f>
        <v>3</v>
      </c>
      <c r="I140" s="35" t="str">
        <f t="array" ref="I140">XLOOKUP(B140,'Página9'!A:A,'Página9'!G:G,"")</f>
        <v>OK</v>
      </c>
      <c r="J140" s="25" t="str">
        <f t="shared" si="1"/>
        <v>RECEBIMENTO</v>
      </c>
      <c r="K140" s="25" t="str">
        <f>IFERROR(__xludf.DUMMYFUNCTION("""COMPUTED_VALUE"""),"Jose Edervanio Lima Mateus")</f>
        <v>Jose Edervanio Lima Mateus</v>
      </c>
    </row>
    <row r="141">
      <c r="A141" s="37">
        <f>IFERROR(__xludf.DUMMYFUNCTION("""COMPUTED_VALUE"""),45910.0)</f>
        <v>45910</v>
      </c>
      <c r="B141" s="42" t="str">
        <f>IFERROR(__xludf.DUMMYFUNCTION("""COMPUTED_VALUE"""),"MCC046UC0398")</f>
        <v>MCC046UC0398</v>
      </c>
      <c r="C141" s="31" t="str">
        <f>IFERROR(__xludf.DUMMYFUNCTION("""COMPUTED_VALUE"""),"GRAMPO 26/6 COBREADO CX.C/5000 BACCHI")</f>
        <v>GRAMPO 26/6 COBREADO CX.C/5000 BACCHI</v>
      </c>
      <c r="D141" s="39">
        <f>IFERROR(__xludf.DUMMYFUNCTION("""COMPUTED_VALUE"""),1.0)</f>
        <v>1</v>
      </c>
      <c r="E141" s="34" t="str">
        <f>IFERROR(__xludf.DUMMYFUNCTION("""COMPUTED_VALUE"""),"Saída")</f>
        <v>Saída</v>
      </c>
      <c r="F141" s="34" t="str">
        <f>IFERROR(__xludf.DUMMYFUNCTION("""COMPUTED_VALUE"""),"Recebimento:truck:")</f>
        <v>Recebimento:truck:</v>
      </c>
      <c r="G141" s="39">
        <f t="array" ref="G141">XLOOKUP(B141,'Página9'!A:A,'Página9'!F:F,"")</f>
        <v>-13</v>
      </c>
      <c r="H141" s="39">
        <f t="array" ref="H141">XLOOKUP(B141,'Página9'!A:A,'Página9'!C:C,"")</f>
        <v>3</v>
      </c>
      <c r="I141" s="35" t="str">
        <f t="array" ref="I141">XLOOKUP(B141,'Página9'!A:A,'Página9'!G:G,"")</f>
        <v>REPOR ESTOQUE</v>
      </c>
      <c r="J141" s="25" t="str">
        <f t="shared" si="1"/>
        <v>RECEBIMENTO</v>
      </c>
      <c r="K141" s="25" t="str">
        <f>IFERROR(__xludf.DUMMYFUNCTION("""COMPUTED_VALUE"""),"Jose Edervanio Lima Mateus")</f>
        <v>Jose Edervanio Lima Mateus</v>
      </c>
    </row>
    <row r="142">
      <c r="A142" s="37">
        <f>IFERROR(__xludf.DUMMYFUNCTION("""COMPUTED_VALUE"""),45910.0)</f>
        <v>45910</v>
      </c>
      <c r="B142" s="42" t="str">
        <f>IFERROR(__xludf.DUMMYFUNCTION("""COMPUTED_VALUE"""),"MCC015UC0045")</f>
        <v>MCC015UC0045</v>
      </c>
      <c r="C142" s="31" t="str">
        <f>IFERROR(__xludf.DUMMYFUNCTION("""COMPUTED_VALUE"""),"FITA ADESIVA 69MM X 100M")</f>
        <v>FITA ADESIVA 69MM X 100M</v>
      </c>
      <c r="D142" s="39">
        <f>IFERROR(__xludf.DUMMYFUNCTION("""COMPUTED_VALUE"""),4.0)</f>
        <v>4</v>
      </c>
      <c r="E142" s="34" t="str">
        <f>IFERROR(__xludf.DUMMYFUNCTION("""COMPUTED_VALUE"""),"Saída")</f>
        <v>Saída</v>
      </c>
      <c r="F142" s="34" t="str">
        <f>IFERROR(__xludf.DUMMYFUNCTION("""COMPUTED_VALUE"""),"Recebimento:truck:")</f>
        <v>Recebimento:truck:</v>
      </c>
      <c r="G142" s="39">
        <f t="array" ref="G142">XLOOKUP(B142,'Página9'!A:A,'Página9'!F:F,"")</f>
        <v>287</v>
      </c>
      <c r="H142" s="39">
        <f t="array" ref="H142">XLOOKUP(B142,'Página9'!A:A,'Página9'!C:C,"")</f>
        <v>20</v>
      </c>
      <c r="I142" s="35" t="str">
        <f t="array" ref="I142">XLOOKUP(B142,'Página9'!A:A,'Página9'!G:G,"")</f>
        <v>OK</v>
      </c>
      <c r="J142" s="25" t="str">
        <f t="shared" si="1"/>
        <v>RECEBIMENTO</v>
      </c>
      <c r="K142" s="25" t="str">
        <f>IFERROR(__xludf.DUMMYFUNCTION("""COMPUTED_VALUE"""),"Paulo Henrique Chagas De Oliveira")</f>
        <v>Paulo Henrique Chagas De Oliveira</v>
      </c>
    </row>
    <row r="143">
      <c r="A143" s="37">
        <f>IFERROR(__xludf.DUMMYFUNCTION("""COMPUTED_VALUE"""),45912.0)</f>
        <v>45912</v>
      </c>
      <c r="B143" s="42" t="str">
        <f>IFERROR(__xludf.DUMMYFUNCTION("""COMPUTED_VALUE"""),"MCC015UC0045")</f>
        <v>MCC015UC0045</v>
      </c>
      <c r="C143" s="31" t="str">
        <f>IFERROR(__xludf.DUMMYFUNCTION("""COMPUTED_VALUE"""),"FITA ADESIVA 69MM X 100M")</f>
        <v>FITA ADESIVA 69MM X 100M</v>
      </c>
      <c r="D143" s="39">
        <f>IFERROR(__xludf.DUMMYFUNCTION("""COMPUTED_VALUE"""),10.0)</f>
        <v>10</v>
      </c>
      <c r="E143" s="34" t="str">
        <f>IFERROR(__xludf.DUMMYFUNCTION("""COMPUTED_VALUE"""),"Saída")</f>
        <v>Saída</v>
      </c>
      <c r="F143" s="34" t="str">
        <f>IFERROR(__xludf.DUMMYFUNCTION("""COMPUTED_VALUE"""),"Recebimento:truck:")</f>
        <v>Recebimento:truck:</v>
      </c>
      <c r="G143" s="39">
        <f t="array" ref="G143">XLOOKUP(B143,'Página9'!A:A,'Página9'!F:F,"")</f>
        <v>287</v>
      </c>
      <c r="H143" s="39">
        <f t="array" ref="H143">XLOOKUP(B143,'Página9'!A:A,'Página9'!C:C,"")</f>
        <v>20</v>
      </c>
      <c r="I143" s="35" t="str">
        <f t="array" ref="I143">XLOOKUP(B143,'Página9'!A:A,'Página9'!G:G,"")</f>
        <v>OK</v>
      </c>
      <c r="J143" s="25" t="str">
        <f t="shared" si="1"/>
        <v>RECEBIMENTO</v>
      </c>
      <c r="K143" s="25" t="str">
        <f>IFERROR(__xludf.DUMMYFUNCTION("""COMPUTED_VALUE"""),"Silvana Da Silva Pereira")</f>
        <v>Silvana Da Silva Pereira</v>
      </c>
    </row>
    <row r="144">
      <c r="A144" s="37">
        <f>IFERROR(__xludf.DUMMYFUNCTION("""COMPUTED_VALUE"""),45912.0)</f>
        <v>45912</v>
      </c>
      <c r="B144" s="42" t="str">
        <f>IFERROR(__xludf.DUMMYFUNCTION("""COMPUTED_VALUE"""),"MCC046UC0215")</f>
        <v>MCC046UC0215</v>
      </c>
      <c r="C144" s="31" t="str">
        <f>IFERROR(__xludf.DUMMYFUNCTION("""COMPUTED_VALUE"""),"CANETA ESFEROGRAFICA ECONOMIC AZUL BIC")</f>
        <v>CANETA ESFEROGRAFICA ECONOMIC AZUL BIC</v>
      </c>
      <c r="D144" s="39">
        <f>IFERROR(__xludf.DUMMYFUNCTION("""COMPUTED_VALUE"""),5.0)</f>
        <v>5</v>
      </c>
      <c r="E144" s="34" t="str">
        <f>IFERROR(__xludf.DUMMYFUNCTION("""COMPUTED_VALUE"""),"Saída")</f>
        <v>Saída</v>
      </c>
      <c r="F144" s="34" t="str">
        <f>IFERROR(__xludf.DUMMYFUNCTION("""COMPUTED_VALUE"""),"Recebimento:truck:")</f>
        <v>Recebimento:truck:</v>
      </c>
      <c r="G144" s="39">
        <f t="array" ref="G144">XLOOKUP(B144,'Página9'!A:A,'Página9'!F:F,"")</f>
        <v>-20</v>
      </c>
      <c r="H144" s="39">
        <f t="array" ref="H144">XLOOKUP(B144,'Página9'!A:A,'Página9'!C:C,"")</f>
        <v>15</v>
      </c>
      <c r="I144" s="35" t="str">
        <f t="array" ref="I144">XLOOKUP(B144,'Página9'!A:A,'Página9'!G:G,"")</f>
        <v>REPOR ESTOQUE</v>
      </c>
      <c r="J144" s="25" t="str">
        <f t="shared" si="1"/>
        <v>RECEBIMENTO</v>
      </c>
      <c r="K144" s="25" t="str">
        <f>IFERROR(__xludf.DUMMYFUNCTION("""COMPUTED_VALUE"""),"Francisco Renato Da Silva De Oliveira Junior")</f>
        <v>Francisco Renato Da Silva De Oliveira Junior</v>
      </c>
    </row>
    <row r="145">
      <c r="A145" s="37">
        <f>IFERROR(__xludf.DUMMYFUNCTION("""COMPUTED_VALUE"""),45912.0)</f>
        <v>45912</v>
      </c>
      <c r="B145" s="42" t="str">
        <f>IFERROR(__xludf.DUMMYFUNCTION("""COMPUTED_VALUE"""),"MCC015UC0045")</f>
        <v>MCC015UC0045</v>
      </c>
      <c r="C145" s="31" t="str">
        <f>IFERROR(__xludf.DUMMYFUNCTION("""COMPUTED_VALUE"""),"FITA ADESIVA 69MM X 100M")</f>
        <v>FITA ADESIVA 69MM X 100M</v>
      </c>
      <c r="D145" s="39">
        <f>IFERROR(__xludf.DUMMYFUNCTION("""COMPUTED_VALUE"""),1.0)</f>
        <v>1</v>
      </c>
      <c r="E145" s="34" t="str">
        <f>IFERROR(__xludf.DUMMYFUNCTION("""COMPUTED_VALUE"""),"Saída")</f>
        <v>Saída</v>
      </c>
      <c r="F145" s="34" t="str">
        <f>IFERROR(__xludf.DUMMYFUNCTION("""COMPUTED_VALUE"""),"Recebimento:truck:")</f>
        <v>Recebimento:truck:</v>
      </c>
      <c r="G145" s="39">
        <f t="array" ref="G145">XLOOKUP(B145,'Página9'!A:A,'Página9'!F:F,"")</f>
        <v>287</v>
      </c>
      <c r="H145" s="39">
        <f t="array" ref="H145">XLOOKUP(B145,'Página9'!A:A,'Página9'!C:C,"")</f>
        <v>20</v>
      </c>
      <c r="I145" s="35" t="str">
        <f t="array" ref="I145">XLOOKUP(B145,'Página9'!A:A,'Página9'!G:G,"")</f>
        <v>OK</v>
      </c>
      <c r="J145" s="25" t="str">
        <f t="shared" si="1"/>
        <v>RECEBIMENTO</v>
      </c>
      <c r="K145" s="25" t="str">
        <f>IFERROR(__xludf.DUMMYFUNCTION("""COMPUTED_VALUE"""),"Francisco Samuel Trindade Nascimento")</f>
        <v>Francisco Samuel Trindade Nascimento</v>
      </c>
    </row>
    <row r="146">
      <c r="A146" s="37">
        <f>IFERROR(__xludf.DUMMYFUNCTION("""COMPUTED_VALUE"""),45912.0)</f>
        <v>45912</v>
      </c>
      <c r="B146" s="42" t="str">
        <f>IFERROR(__xludf.DUMMYFUNCTION("""COMPUTED_VALUE"""),"MCC015UC0045")</f>
        <v>MCC015UC0045</v>
      </c>
      <c r="C146" s="31" t="str">
        <f>IFERROR(__xludf.DUMMYFUNCTION("""COMPUTED_VALUE"""),"FITA ADESIVA 69MM X 100M")</f>
        <v>FITA ADESIVA 69MM X 100M</v>
      </c>
      <c r="D146" s="39">
        <f>IFERROR(__xludf.DUMMYFUNCTION("""COMPUTED_VALUE"""),2.0)</f>
        <v>2</v>
      </c>
      <c r="E146" s="34" t="str">
        <f>IFERROR(__xludf.DUMMYFUNCTION("""COMPUTED_VALUE"""),"Saída")</f>
        <v>Saída</v>
      </c>
      <c r="F146" s="34" t="str">
        <f>IFERROR(__xludf.DUMMYFUNCTION("""COMPUTED_VALUE"""),"PMM:livro-voador:")</f>
        <v>PMM:livro-voador:</v>
      </c>
      <c r="G146" s="39">
        <f t="array" ref="G146">XLOOKUP(B146,'Página9'!A:A,'Página9'!F:F,"")</f>
        <v>287</v>
      </c>
      <c r="H146" s="39">
        <f t="array" ref="H146">XLOOKUP(B146,'Página9'!A:A,'Página9'!C:C,"")</f>
        <v>20</v>
      </c>
      <c r="I146" s="35" t="str">
        <f t="array" ref="I146">XLOOKUP(B146,'Página9'!A:A,'Página9'!G:G,"")</f>
        <v>OK</v>
      </c>
      <c r="J146" s="25" t="str">
        <f t="shared" si="1"/>
        <v>PMM</v>
      </c>
      <c r="K146" s="25" t="str">
        <f>IFERROR(__xludf.DUMMYFUNCTION("""COMPUTED_VALUE"""),"Matheus De Almeida Rodrigues")</f>
        <v>Matheus De Almeida Rodrigues</v>
      </c>
    </row>
    <row r="147">
      <c r="A147" s="37">
        <f>IFERROR(__xludf.DUMMYFUNCTION("""COMPUTED_VALUE"""),45915.0)</f>
        <v>45915</v>
      </c>
      <c r="B147" s="42" t="str">
        <f>IFERROR(__xludf.DUMMYFUNCTION("""COMPUTED_VALUE"""),"MCC046UC0216")</f>
        <v>MCC046UC0216</v>
      </c>
      <c r="C147" s="31" t="str">
        <f>IFERROR(__xludf.DUMMYFUNCTION("""COMPUTED_VALUE"""),"CANETA ESFEROGRAFICA ECONOMIC PRETA BIC")</f>
        <v>CANETA ESFEROGRAFICA ECONOMIC PRETA BIC</v>
      </c>
      <c r="D147" s="39">
        <f>IFERROR(__xludf.DUMMYFUNCTION("""COMPUTED_VALUE"""),2.0)</f>
        <v>2</v>
      </c>
      <c r="E147" s="34" t="str">
        <f>IFERROR(__xludf.DUMMYFUNCTION("""COMPUTED_VALUE"""),"Saída")</f>
        <v>Saída</v>
      </c>
      <c r="F147" s="34" t="str">
        <f>IFERROR(__xludf.DUMMYFUNCTION("""COMPUTED_VALUE"""),"PMM:livro-voador:")</f>
        <v>PMM:livro-voador:</v>
      </c>
      <c r="G147" s="39">
        <f t="array" ref="G147">XLOOKUP(B147,'Página9'!A:A,'Página9'!F:F,"")</f>
        <v>89</v>
      </c>
      <c r="H147" s="39">
        <f t="array" ref="H147">XLOOKUP(B147,'Página9'!A:A,'Página9'!C:C,"")</f>
        <v>15</v>
      </c>
      <c r="I147" s="35" t="str">
        <f t="array" ref="I147">XLOOKUP(B147,'Página9'!A:A,'Página9'!G:G,"")</f>
        <v>OK</v>
      </c>
      <c r="J147" s="25" t="str">
        <f t="shared" si="1"/>
        <v>PMM</v>
      </c>
      <c r="K147" s="25" t="str">
        <f>IFERROR(__xludf.DUMMYFUNCTION("""COMPUTED_VALUE"""),"Pedro Lucas Matias Do Nascimento")</f>
        <v>Pedro Lucas Matias Do Nascimento</v>
      </c>
    </row>
    <row r="148">
      <c r="A148" s="37">
        <f>IFERROR(__xludf.DUMMYFUNCTION("""COMPUTED_VALUE"""),45915.0)</f>
        <v>45915</v>
      </c>
      <c r="B148" s="42" t="str">
        <f>IFERROR(__xludf.DUMMYFUNCTION("""COMPUTED_VALUE"""),"MCC046UC0526")</f>
        <v>MCC046UC0526</v>
      </c>
      <c r="C148" s="31" t="str">
        <f>IFERROR(__xludf.DUMMYFUNCTION("""COMPUTED_VALUE"""),"CANETA PINCEL ATOMICO PRETA PILOT 1100")</f>
        <v>CANETA PINCEL ATOMICO PRETA PILOT 1100</v>
      </c>
      <c r="D148" s="39">
        <f>IFERROR(__xludf.DUMMYFUNCTION("""COMPUTED_VALUE"""),2.0)</f>
        <v>2</v>
      </c>
      <c r="E148" s="34" t="str">
        <f>IFERROR(__xludf.DUMMYFUNCTION("""COMPUTED_VALUE"""),"Saída")</f>
        <v>Saída</v>
      </c>
      <c r="F148" s="34" t="str">
        <f>IFERROR(__xludf.DUMMYFUNCTION("""COMPUTED_VALUE"""),"PMM:livro-voador:")</f>
        <v>PMM:livro-voador:</v>
      </c>
      <c r="G148" s="39">
        <f t="array" ref="G148">XLOOKUP(B148,'Página9'!A:A,'Página9'!F:F,"")</f>
        <v>1</v>
      </c>
      <c r="H148" s="39">
        <f t="array" ref="H148">XLOOKUP(B148,'Página9'!A:A,'Página9'!C:C,"")</f>
        <v>3</v>
      </c>
      <c r="I148" s="35" t="str">
        <f t="array" ref="I148">XLOOKUP(B148,'Página9'!A:A,'Página9'!G:G,"")</f>
        <v>REPOR ESTOQUE</v>
      </c>
      <c r="J148" s="25" t="str">
        <f t="shared" si="1"/>
        <v>PMM</v>
      </c>
      <c r="K148" s="25" t="str">
        <f>IFERROR(__xludf.DUMMYFUNCTION("""COMPUTED_VALUE"""),"Paulo Henrique Chagas De Oliveira")</f>
        <v>Paulo Henrique Chagas De Oliveira</v>
      </c>
    </row>
    <row r="149">
      <c r="A149" s="37">
        <f>IFERROR(__xludf.DUMMYFUNCTION("""COMPUTED_VALUE"""),45915.0)</f>
        <v>45915</v>
      </c>
      <c r="B149" s="42" t="str">
        <f>IFERROR(__xludf.DUMMYFUNCTION("""COMPUTED_VALUE"""),"MCC015UC0008")</f>
        <v>MCC015UC0008</v>
      </c>
      <c r="C149" s="31" t="str">
        <f>IFERROR(__xludf.DUMMYFUNCTION("""COMPUTED_VALUE"""),"FILME STRETCH 500X25")</f>
        <v>FILME STRETCH 500X25</v>
      </c>
      <c r="D149" s="39">
        <f>IFERROR(__xludf.DUMMYFUNCTION("""COMPUTED_VALUE"""),4.0)</f>
        <v>4</v>
      </c>
      <c r="E149" s="34" t="str">
        <f>IFERROR(__xludf.DUMMYFUNCTION("""COMPUTED_VALUE"""),"Saída")</f>
        <v>Saída</v>
      </c>
      <c r="F149" s="34" t="str">
        <f>IFERROR(__xludf.DUMMYFUNCTION("""COMPUTED_VALUE"""),"Estoque:package:")</f>
        <v>Estoque:package:</v>
      </c>
      <c r="G149" s="39">
        <f t="array" ref="G149">XLOOKUP(B149,'Página9'!A:A,'Página9'!F:F,"")</f>
        <v>-158</v>
      </c>
      <c r="H149" s="39">
        <f t="array" ref="H149">XLOOKUP(B149,'Página9'!A:A,'Página9'!C:C,"")</f>
        <v>40</v>
      </c>
      <c r="I149" s="35" t="str">
        <f t="array" ref="I149">XLOOKUP(B149,'Página9'!A:A,'Página9'!G:G,"")</f>
        <v>REPOR ESTOQUE</v>
      </c>
      <c r="J149" s="25" t="str">
        <f t="shared" si="1"/>
        <v>ESTOQUE</v>
      </c>
      <c r="K149" s="25" t="str">
        <f>IFERROR(__xludf.DUMMYFUNCTION("""COMPUTED_VALUE"""),"Gabriel De Sousa Freitas")</f>
        <v>Gabriel De Sousa Freitas</v>
      </c>
    </row>
    <row r="150">
      <c r="A150" s="37">
        <f>IFERROR(__xludf.DUMMYFUNCTION("""COMPUTED_VALUE"""),45916.0)</f>
        <v>45916</v>
      </c>
      <c r="B150" s="42" t="str">
        <f>IFERROR(__xludf.DUMMYFUNCTION("""COMPUTED_VALUE"""),"MCC046UC0360")</f>
        <v>MCC046UC0360</v>
      </c>
      <c r="C150" s="31" t="str">
        <f>IFERROR(__xludf.DUMMYFUNCTION("""COMPUTED_VALUE"""),"FITA ADESIVA DUPLA FACE 12mm X 20m 4910 VHB 3M")</f>
        <v>FITA ADESIVA DUPLA FACE 12mm X 20m 4910 VHB 3M</v>
      </c>
      <c r="D150" s="39">
        <f>IFERROR(__xludf.DUMMYFUNCTION("""COMPUTED_VALUE"""),4.0)</f>
        <v>4</v>
      </c>
      <c r="E150" s="34" t="str">
        <f>IFERROR(__xludf.DUMMYFUNCTION("""COMPUTED_VALUE"""),"Saída")</f>
        <v>Saída</v>
      </c>
      <c r="F150" s="34" t="str">
        <f>IFERROR(__xludf.DUMMYFUNCTION("""COMPUTED_VALUE"""),"Expedição:ex-escolas-exponenciais:")</f>
        <v>Expedição:ex-escolas-exponenciais:</v>
      </c>
      <c r="G150" s="39">
        <f t="array" ref="G150">XLOOKUP(B150,'Página9'!A:A,'Página9'!F:F,"")</f>
        <v>-124</v>
      </c>
      <c r="H150" s="39">
        <f t="array" ref="H150">XLOOKUP(B150,'Página9'!A:A,'Página9'!C:C,"")</f>
        <v>1</v>
      </c>
      <c r="I150" s="35" t="str">
        <f t="array" ref="I150">XLOOKUP(B150,'Página9'!A:A,'Página9'!G:G,"")</f>
        <v>REPOR ESTOQUE</v>
      </c>
      <c r="J150" s="25" t="str">
        <f t="shared" si="1"/>
        <v>EXPEDIÇÃO</v>
      </c>
      <c r="K150" s="25" t="str">
        <f>IFERROR(__xludf.DUMMYFUNCTION("""COMPUTED_VALUE"""),"Pericles Cavalcante De Lima Maciel")</f>
        <v>Pericles Cavalcante De Lima Maciel</v>
      </c>
    </row>
    <row r="151">
      <c r="A151" s="37">
        <f>IFERROR(__xludf.DUMMYFUNCTION("""COMPUTED_VALUE"""),45916.0)</f>
        <v>45916</v>
      </c>
      <c r="B151" s="42" t="str">
        <f>IFERROR(__xludf.DUMMYFUNCTION("""COMPUTED_VALUE"""),"MCC015UC0008")</f>
        <v>MCC015UC0008</v>
      </c>
      <c r="C151" s="31" t="str">
        <f>IFERROR(__xludf.DUMMYFUNCTION("""COMPUTED_VALUE"""),"FILME STRETCH 500X25")</f>
        <v>FILME STRETCH 500X25</v>
      </c>
      <c r="D151" s="39">
        <f>IFERROR(__xludf.DUMMYFUNCTION("""COMPUTED_VALUE"""),2.0)</f>
        <v>2</v>
      </c>
      <c r="E151" s="34" t="str">
        <f>IFERROR(__xludf.DUMMYFUNCTION("""COMPUTED_VALUE"""),"Saída")</f>
        <v>Saída</v>
      </c>
      <c r="F151" s="34" t="str">
        <f>IFERROR(__xludf.DUMMYFUNCTION("""COMPUTED_VALUE"""),"Recebimento:truck:")</f>
        <v>Recebimento:truck:</v>
      </c>
      <c r="G151" s="39">
        <f t="array" ref="G151">XLOOKUP(B151,'Página9'!A:A,'Página9'!F:F,"")</f>
        <v>-158</v>
      </c>
      <c r="H151" s="39">
        <f t="array" ref="H151">XLOOKUP(B151,'Página9'!A:A,'Página9'!C:C,"")</f>
        <v>40</v>
      </c>
      <c r="I151" s="35" t="str">
        <f t="array" ref="I151">XLOOKUP(B151,'Página9'!A:A,'Página9'!G:G,"")</f>
        <v>REPOR ESTOQUE</v>
      </c>
      <c r="J151" s="25" t="str">
        <f t="shared" si="1"/>
        <v>RECEBIMENTO</v>
      </c>
      <c r="K151" s="25" t="str">
        <f>IFERROR(__xludf.DUMMYFUNCTION("""COMPUTED_VALUE"""),"Allison Breno Da Costa Borges Soares")</f>
        <v>Allison Breno Da Costa Borges Soares</v>
      </c>
    </row>
    <row r="152">
      <c r="A152" s="37">
        <f>IFERROR(__xludf.DUMMYFUNCTION("""COMPUTED_VALUE"""),45916.0)</f>
        <v>45916</v>
      </c>
      <c r="B152" s="42" t="str">
        <f>IFERROR(__xludf.DUMMYFUNCTION("""COMPUTED_VALUE"""),"MCC046UC0526")</f>
        <v>MCC046UC0526</v>
      </c>
      <c r="C152" s="31" t="str">
        <f>IFERROR(__xludf.DUMMYFUNCTION("""COMPUTED_VALUE"""),"CANETA PINCEL ATOMICO PRETA PILOT 1100")</f>
        <v>CANETA PINCEL ATOMICO PRETA PILOT 1100</v>
      </c>
      <c r="D152" s="39">
        <f>IFERROR(__xludf.DUMMYFUNCTION("""COMPUTED_VALUE"""),1.0)</f>
        <v>1</v>
      </c>
      <c r="E152" s="34" t="str">
        <f>IFERROR(__xludf.DUMMYFUNCTION("""COMPUTED_VALUE"""),"Saída")</f>
        <v>Saída</v>
      </c>
      <c r="F152" s="34" t="str">
        <f>IFERROR(__xludf.DUMMYFUNCTION("""COMPUTED_VALUE"""),"Expedição:ex-escolas-exponenciais:")</f>
        <v>Expedição:ex-escolas-exponenciais:</v>
      </c>
      <c r="G152" s="39">
        <f t="array" ref="G152">XLOOKUP(B152,'Página9'!A:A,'Página9'!F:F,"")</f>
        <v>1</v>
      </c>
      <c r="H152" s="39">
        <f t="array" ref="H152">XLOOKUP(B152,'Página9'!A:A,'Página9'!C:C,"")</f>
        <v>3</v>
      </c>
      <c r="I152" s="35" t="str">
        <f t="array" ref="I152">XLOOKUP(B152,'Página9'!A:A,'Página9'!G:G,"")</f>
        <v>REPOR ESTOQUE</v>
      </c>
      <c r="J152" s="25" t="str">
        <f t="shared" si="1"/>
        <v>EXPEDIÇÃO</v>
      </c>
      <c r="K152" s="25" t="str">
        <f>IFERROR(__xludf.DUMMYFUNCTION("""COMPUTED_VALUE"""),"Francisco Samuel Trindade Nascimento")</f>
        <v>Francisco Samuel Trindade Nascimento</v>
      </c>
    </row>
    <row r="153">
      <c r="A153" s="37">
        <f>IFERROR(__xludf.DUMMYFUNCTION("""COMPUTED_VALUE"""),45916.0)</f>
        <v>45916</v>
      </c>
      <c r="B153" s="42" t="str">
        <f>IFERROR(__xludf.DUMMYFUNCTION("""COMPUTED_VALUE"""),"MCC049UC0604")</f>
        <v>MCC049UC0604</v>
      </c>
      <c r="C153" s="31" t="str">
        <f>IFERROR(__xludf.DUMMYFUNCTION("""COMPUTED_VALUE"""),"FITA DE DEMARCAÇÃO AMARELA")</f>
        <v>FITA DE DEMARCAÇÃO AMARELA</v>
      </c>
      <c r="D153" s="39">
        <f>IFERROR(__xludf.DUMMYFUNCTION("""COMPUTED_VALUE"""),5.0)</f>
        <v>5</v>
      </c>
      <c r="E153" s="34" t="str">
        <f>IFERROR(__xludf.DUMMYFUNCTION("""COMPUTED_VALUE"""),"Saída")</f>
        <v>Saída</v>
      </c>
      <c r="F153" s="34" t="str">
        <f>IFERROR(__xludf.DUMMYFUNCTION("""COMPUTED_VALUE"""),"PMM:livro-voador:")</f>
        <v>PMM:livro-voador:</v>
      </c>
      <c r="G153" s="39">
        <f t="array" ref="G153">XLOOKUP(B153,'Página9'!A:A,'Página9'!F:F,"")</f>
        <v>-12</v>
      </c>
      <c r="H153" s="39">
        <f t="array" ref="H153">XLOOKUP(B153,'Página9'!A:A,'Página9'!C:C,"")</f>
        <v>3</v>
      </c>
      <c r="I153" s="35" t="str">
        <f t="array" ref="I153">XLOOKUP(B153,'Página9'!A:A,'Página9'!G:G,"")</f>
        <v>REPOR ESTOQUE</v>
      </c>
      <c r="J153" s="25" t="str">
        <f t="shared" si="1"/>
        <v>PMM</v>
      </c>
      <c r="K153" s="25" t="str">
        <f>IFERROR(__xludf.DUMMYFUNCTION("""COMPUTED_VALUE"""),"Diego Araujo Dias")</f>
        <v>Diego Araujo Dias</v>
      </c>
    </row>
    <row r="154">
      <c r="A154" s="37">
        <f>IFERROR(__xludf.DUMMYFUNCTION("""COMPUTED_VALUE"""),45916.0)</f>
        <v>45916</v>
      </c>
      <c r="B154" s="42" t="str">
        <f>IFERROR(__xludf.DUMMYFUNCTION("""COMPUTED_VALUE"""),"MCC049UC0604")</f>
        <v>MCC049UC0604</v>
      </c>
      <c r="C154" s="31" t="str">
        <f>IFERROR(__xludf.DUMMYFUNCTION("""COMPUTED_VALUE"""),"FITA DE DEMARCAÇÃO AMARELA")</f>
        <v>FITA DE DEMARCAÇÃO AMARELA</v>
      </c>
      <c r="D154" s="39">
        <f>IFERROR(__xludf.DUMMYFUNCTION("""COMPUTED_VALUE"""),5.0)</f>
        <v>5</v>
      </c>
      <c r="E154" s="34" t="str">
        <f>IFERROR(__xludf.DUMMYFUNCTION("""COMPUTED_VALUE"""),"Saída")</f>
        <v>Saída</v>
      </c>
      <c r="F154" s="34" t="str">
        <f>IFERROR(__xludf.DUMMYFUNCTION("""COMPUTED_VALUE"""),"Expedição:ex-escolas-exponenciais:")</f>
        <v>Expedição:ex-escolas-exponenciais:</v>
      </c>
      <c r="G154" s="39">
        <f t="array" ref="G154">XLOOKUP(B154,'Página9'!A:A,'Página9'!F:F,"")</f>
        <v>-12</v>
      </c>
      <c r="H154" s="39">
        <f t="array" ref="H154">XLOOKUP(B154,'Página9'!A:A,'Página9'!C:C,"")</f>
        <v>3</v>
      </c>
      <c r="I154" s="35" t="str">
        <f t="array" ref="I154">XLOOKUP(B154,'Página9'!A:A,'Página9'!G:G,"")</f>
        <v>REPOR ESTOQUE</v>
      </c>
      <c r="J154" s="25" t="str">
        <f t="shared" si="1"/>
        <v>EXPEDIÇÃO</v>
      </c>
      <c r="K154" s="25" t="str">
        <f>IFERROR(__xludf.DUMMYFUNCTION("""COMPUTED_VALUE"""),"Yago Rocha Fernandes")</f>
        <v>Yago Rocha Fernandes</v>
      </c>
    </row>
    <row r="155">
      <c r="A155" s="37">
        <f>IFERROR(__xludf.DUMMYFUNCTION("""COMPUTED_VALUE"""),45917.0)</f>
        <v>45917</v>
      </c>
      <c r="B155" s="42" t="str">
        <f>IFERROR(__xludf.DUMMYFUNCTION("""COMPUTED_VALUE"""),"MCC015UC0008")</f>
        <v>MCC015UC0008</v>
      </c>
      <c r="C155" s="31" t="str">
        <f>IFERROR(__xludf.DUMMYFUNCTION("""COMPUTED_VALUE"""),"FILME STRETCH 500X25")</f>
        <v>FILME STRETCH 500X25</v>
      </c>
      <c r="D155" s="39">
        <f>IFERROR(__xludf.DUMMYFUNCTION("""COMPUTED_VALUE"""),2.0)</f>
        <v>2</v>
      </c>
      <c r="E155" s="34" t="str">
        <f>IFERROR(__xludf.DUMMYFUNCTION("""COMPUTED_VALUE"""),"Saída")</f>
        <v>Saída</v>
      </c>
      <c r="F155" s="34" t="str">
        <f>IFERROR(__xludf.DUMMYFUNCTION("""COMPUTED_VALUE"""),"Recebimento:truck:")</f>
        <v>Recebimento:truck:</v>
      </c>
      <c r="G155" s="39">
        <f t="array" ref="G155">XLOOKUP(B155,'Página9'!A:A,'Página9'!F:F,"")</f>
        <v>-158</v>
      </c>
      <c r="H155" s="39">
        <f t="array" ref="H155">XLOOKUP(B155,'Página9'!A:A,'Página9'!C:C,"")</f>
        <v>40</v>
      </c>
      <c r="I155" s="35" t="str">
        <f t="array" ref="I155">XLOOKUP(B155,'Página9'!A:A,'Página9'!G:G,"")</f>
        <v>REPOR ESTOQUE</v>
      </c>
      <c r="J155" s="25" t="str">
        <f t="shared" si="1"/>
        <v>RECEBIMENTO</v>
      </c>
      <c r="K155" s="25" t="str">
        <f>IFERROR(__xludf.DUMMYFUNCTION("""COMPUTED_VALUE"""),"Marcio Sthefani Bessa De Oliveira")</f>
        <v>Marcio Sthefani Bessa De Oliveira</v>
      </c>
    </row>
    <row r="156">
      <c r="A156" s="37">
        <f>IFERROR(__xludf.DUMMYFUNCTION("""COMPUTED_VALUE"""),45917.0)</f>
        <v>45917</v>
      </c>
      <c r="B156" s="42" t="str">
        <f>IFERROR(__xludf.DUMMYFUNCTION("""COMPUTED_VALUE"""),"MCC049UC0604")</f>
        <v>MCC049UC0604</v>
      </c>
      <c r="C156" s="31" t="str">
        <f>IFERROR(__xludf.DUMMYFUNCTION("""COMPUTED_VALUE"""),"FITA DE DEMARCAÇÃO AMARELA")</f>
        <v>FITA DE DEMARCAÇÃO AMARELA</v>
      </c>
      <c r="D156" s="39">
        <f>IFERROR(__xludf.DUMMYFUNCTION("""COMPUTED_VALUE"""),5.0)</f>
        <v>5</v>
      </c>
      <c r="E156" s="34" t="str">
        <f>IFERROR(__xludf.DUMMYFUNCTION("""COMPUTED_VALUE"""),"Saída")</f>
        <v>Saída</v>
      </c>
      <c r="F156" s="34" t="str">
        <f>IFERROR(__xludf.DUMMYFUNCTION("""COMPUTED_VALUE"""),"Recebimento:truck:")</f>
        <v>Recebimento:truck:</v>
      </c>
      <c r="G156" s="39">
        <f t="array" ref="G156">XLOOKUP(B156,'Página9'!A:A,'Página9'!F:F,"")</f>
        <v>-12</v>
      </c>
      <c r="H156" s="39">
        <f t="array" ref="H156">XLOOKUP(B156,'Página9'!A:A,'Página9'!C:C,"")</f>
        <v>3</v>
      </c>
      <c r="I156" s="35" t="str">
        <f t="array" ref="I156">XLOOKUP(B156,'Página9'!A:A,'Página9'!G:G,"")</f>
        <v>REPOR ESTOQUE</v>
      </c>
      <c r="J156" s="25" t="str">
        <f t="shared" si="1"/>
        <v>RECEBIMENTO</v>
      </c>
      <c r="K156" s="25" t="str">
        <f>IFERROR(__xludf.DUMMYFUNCTION("""COMPUTED_VALUE"""),"Diego Araujo Dias")</f>
        <v>Diego Araujo Dias</v>
      </c>
    </row>
    <row r="157">
      <c r="A157" s="37">
        <f>IFERROR(__xludf.DUMMYFUNCTION("""COMPUTED_VALUE"""),45917.0)</f>
        <v>45917</v>
      </c>
      <c r="B157" s="42" t="str">
        <f>IFERROR(__xludf.DUMMYFUNCTION("""COMPUTED_VALUE"""),"MCC049UC0606")</f>
        <v>MCC049UC0606</v>
      </c>
      <c r="C157" s="31" t="str">
        <f>IFERROR(__xludf.DUMMYFUNCTION("""COMPUTED_VALUE"""),"FITA DE DEMARCAÇÃO BRANCA")</f>
        <v>FITA DE DEMARCAÇÃO BRANCA</v>
      </c>
      <c r="D157" s="39">
        <f>IFERROR(__xludf.DUMMYFUNCTION("""COMPUTED_VALUE"""),1.0)</f>
        <v>1</v>
      </c>
      <c r="E157" s="34" t="str">
        <f>IFERROR(__xludf.DUMMYFUNCTION("""COMPUTED_VALUE"""),"Saída")</f>
        <v>Saída</v>
      </c>
      <c r="F157" s="34" t="str">
        <f>IFERROR(__xludf.DUMMYFUNCTION("""COMPUTED_VALUE"""),"CIQ :qualidade:")</f>
        <v>CIQ :qualidade:</v>
      </c>
      <c r="G157" s="39">
        <f t="array" ref="G157">XLOOKUP(B157,'Página9'!A:A,'Página9'!F:F,"")</f>
        <v>4</v>
      </c>
      <c r="H157" s="39">
        <f t="array" ref="H157">XLOOKUP(B157,'Página9'!A:A,'Página9'!C:C,"")</f>
        <v>3</v>
      </c>
      <c r="I157" s="35" t="str">
        <f t="array" ref="I157">XLOOKUP(B157,'Página9'!A:A,'Página9'!G:G,"")</f>
        <v>OK</v>
      </c>
      <c r="J157" s="25" t="str">
        <f t="shared" si="1"/>
        <v>CIQ</v>
      </c>
      <c r="K157" s="25" t="str">
        <f>IFERROR(__xludf.DUMMYFUNCTION("""COMPUTED_VALUE"""),"Jackson Alves Sales")</f>
        <v>Jackson Alves Sales</v>
      </c>
    </row>
    <row r="158">
      <c r="A158" s="37">
        <f>IFERROR(__xludf.DUMMYFUNCTION("""COMPUTED_VALUE"""),45918.0)</f>
        <v>45918</v>
      </c>
      <c r="B158" s="42" t="str">
        <f>IFERROR(__xludf.DUMMYFUNCTION("""COMPUTED_VALUE"""),"MCC046UC0639")</f>
        <v>MCC046UC0639</v>
      </c>
      <c r="C158" s="31" t="str">
        <f>IFERROR(__xludf.DUMMYFUNCTION("""COMPUTED_VALUE"""),"PILHA ALCALINA ELGIN PEQ.AA")</f>
        <v>PILHA ALCALINA ELGIN PEQ.AA</v>
      </c>
      <c r="D158" s="39">
        <f>IFERROR(__xludf.DUMMYFUNCTION("""COMPUTED_VALUE"""),1.0)</f>
        <v>1</v>
      </c>
      <c r="E158" s="34" t="str">
        <f>IFERROR(__xludf.DUMMYFUNCTION("""COMPUTED_VALUE"""),"Saída")</f>
        <v>Saída</v>
      </c>
      <c r="F158" s="34" t="str">
        <f>IFERROR(__xludf.DUMMYFUNCTION("""COMPUTED_VALUE"""),"PMM:livro-voador:")</f>
        <v>PMM:livro-voador:</v>
      </c>
      <c r="G158" s="39">
        <f t="array" ref="G158">XLOOKUP(B158,'Página9'!A:A,'Página9'!F:F,"")</f>
        <v>-5</v>
      </c>
      <c r="H158" s="39">
        <f t="array" ref="H158">XLOOKUP(B158,'Página9'!A:A,'Página9'!C:C,"")</f>
        <v>4</v>
      </c>
      <c r="I158" s="35" t="str">
        <f t="array" ref="I158">XLOOKUP(B158,'Página9'!A:A,'Página9'!G:G,"")</f>
        <v>REPOR ESTOQUE</v>
      </c>
      <c r="J158" s="25" t="str">
        <f t="shared" si="1"/>
        <v>PMM</v>
      </c>
      <c r="K158" s="25" t="str">
        <f>IFERROR(__xludf.DUMMYFUNCTION("""COMPUTED_VALUE"""),"Ana Virginia De Castro Costa")</f>
        <v>Ana Virginia De Castro Costa</v>
      </c>
    </row>
    <row r="159">
      <c r="A159" s="37">
        <f>IFERROR(__xludf.DUMMYFUNCTION("""COMPUTED_VALUE"""),45918.0)</f>
        <v>45918</v>
      </c>
      <c r="B159" s="42" t="str">
        <f>IFERROR(__xludf.DUMMYFUNCTION("""COMPUTED_VALUE"""),"MCC015UC0045")</f>
        <v>MCC015UC0045</v>
      </c>
      <c r="C159" s="31" t="str">
        <f>IFERROR(__xludf.DUMMYFUNCTION("""COMPUTED_VALUE"""),"FITA ADESIVA 69MM X 100M")</f>
        <v>FITA ADESIVA 69MM X 100M</v>
      </c>
      <c r="D159" s="39">
        <f>IFERROR(__xludf.DUMMYFUNCTION("""COMPUTED_VALUE"""),4.0)</f>
        <v>4</v>
      </c>
      <c r="E159" s="34" t="str">
        <f>IFERROR(__xludf.DUMMYFUNCTION("""COMPUTED_VALUE"""),"Saída")</f>
        <v>Saída</v>
      </c>
      <c r="F159" s="34" t="str">
        <f>IFERROR(__xludf.DUMMYFUNCTION("""COMPUTED_VALUE"""),"Expedição:ex-escolas-exponenciais:")</f>
        <v>Expedição:ex-escolas-exponenciais:</v>
      </c>
      <c r="G159" s="39">
        <f t="array" ref="G159">XLOOKUP(B159,'Página9'!A:A,'Página9'!F:F,"")</f>
        <v>287</v>
      </c>
      <c r="H159" s="39">
        <f t="array" ref="H159">XLOOKUP(B159,'Página9'!A:A,'Página9'!C:C,"")</f>
        <v>20</v>
      </c>
      <c r="I159" s="35" t="str">
        <f t="array" ref="I159">XLOOKUP(B159,'Página9'!A:A,'Página9'!G:G,"")</f>
        <v>OK</v>
      </c>
      <c r="J159" s="25" t="str">
        <f t="shared" si="1"/>
        <v>EXPEDIÇÃO</v>
      </c>
      <c r="K159" s="25" t="str">
        <f>IFERROR(__xludf.DUMMYFUNCTION("""COMPUTED_VALUE"""),"Pericles Cavalcante De Lima Maciel")</f>
        <v>Pericles Cavalcante De Lima Maciel</v>
      </c>
    </row>
    <row r="160">
      <c r="A160" s="37">
        <f>IFERROR(__xludf.DUMMYFUNCTION("""COMPUTED_VALUE"""),45919.0)</f>
        <v>45919</v>
      </c>
      <c r="B160" s="42" t="str">
        <f>IFERROR(__xludf.DUMMYFUNCTION("""COMPUTED_VALUE"""),"MCC015UC0045")</f>
        <v>MCC015UC0045</v>
      </c>
      <c r="C160" s="31" t="str">
        <f>IFERROR(__xludf.DUMMYFUNCTION("""COMPUTED_VALUE"""),"FITA ADESIVA 69MM X 100M")</f>
        <v>FITA ADESIVA 69MM X 100M</v>
      </c>
      <c r="D160" s="39">
        <f>IFERROR(__xludf.DUMMYFUNCTION("""COMPUTED_VALUE"""),5.0)</f>
        <v>5</v>
      </c>
      <c r="E160" s="34" t="str">
        <f>IFERROR(__xludf.DUMMYFUNCTION("""COMPUTED_VALUE"""),"Saída")</f>
        <v>Saída</v>
      </c>
      <c r="F160" s="34" t="str">
        <f>IFERROR(__xludf.DUMMYFUNCTION("""COMPUTED_VALUE"""),"Recebimento:truck:")</f>
        <v>Recebimento:truck:</v>
      </c>
      <c r="G160" s="39">
        <f t="array" ref="G160">XLOOKUP(B160,'Página9'!A:A,'Página9'!F:F,"")</f>
        <v>287</v>
      </c>
      <c r="H160" s="39">
        <f t="array" ref="H160">XLOOKUP(B160,'Página9'!A:A,'Página9'!C:C,"")</f>
        <v>20</v>
      </c>
      <c r="I160" s="35" t="str">
        <f t="array" ref="I160">XLOOKUP(B160,'Página9'!A:A,'Página9'!G:G,"")</f>
        <v>OK</v>
      </c>
      <c r="J160" s="25" t="str">
        <f t="shared" si="1"/>
        <v>RECEBIMENTO</v>
      </c>
      <c r="K160" s="25" t="str">
        <f>IFERROR(__xludf.DUMMYFUNCTION("""COMPUTED_VALUE"""),"Antonio Marcos De Albuquerque")</f>
        <v>Antonio Marcos De Albuquerque</v>
      </c>
    </row>
    <row r="161">
      <c r="A161" s="37">
        <f>IFERROR(__xludf.DUMMYFUNCTION("""COMPUTED_VALUE"""),45919.0)</f>
        <v>45919</v>
      </c>
      <c r="B161" s="42" t="str">
        <f>IFERROR(__xludf.DUMMYFUNCTION("""COMPUTED_VALUE"""),"MCC015UC0045")</f>
        <v>MCC015UC0045</v>
      </c>
      <c r="C161" s="31" t="str">
        <f>IFERROR(__xludf.DUMMYFUNCTION("""COMPUTED_VALUE"""),"FITA ADESIVA 69MM X 100M")</f>
        <v>FITA ADESIVA 69MM X 100M</v>
      </c>
      <c r="D161" s="39">
        <f>IFERROR(__xludf.DUMMYFUNCTION("""COMPUTED_VALUE"""),5.0)</f>
        <v>5</v>
      </c>
      <c r="E161" s="34" t="str">
        <f>IFERROR(__xludf.DUMMYFUNCTION("""COMPUTED_VALUE"""),"Saída")</f>
        <v>Saída</v>
      </c>
      <c r="F161" s="34" t="str">
        <f>IFERROR(__xludf.DUMMYFUNCTION("""COMPUTED_VALUE"""),"Expedição:ex-escolas-exponenciais:")</f>
        <v>Expedição:ex-escolas-exponenciais:</v>
      </c>
      <c r="G161" s="39">
        <f t="array" ref="G161">XLOOKUP(B161,'Página9'!A:A,'Página9'!F:F,"")</f>
        <v>287</v>
      </c>
      <c r="H161" s="39">
        <f t="array" ref="H161">XLOOKUP(B161,'Página9'!A:A,'Página9'!C:C,"")</f>
        <v>20</v>
      </c>
      <c r="I161" s="35" t="str">
        <f t="array" ref="I161">XLOOKUP(B161,'Página9'!A:A,'Página9'!G:G,"")</f>
        <v>OK</v>
      </c>
      <c r="J161" s="25" t="str">
        <f t="shared" si="1"/>
        <v>EXPEDIÇÃO</v>
      </c>
      <c r="K161" s="25" t="str">
        <f>IFERROR(__xludf.DUMMYFUNCTION("""COMPUTED_VALUE"""),"Pedro Lucas Matias Do Nascimento")</f>
        <v>Pedro Lucas Matias Do Nascimento</v>
      </c>
    </row>
    <row r="162">
      <c r="A162" s="37">
        <f>IFERROR(__xludf.DUMMYFUNCTION("""COMPUTED_VALUE"""),45919.0)</f>
        <v>45919</v>
      </c>
      <c r="B162" s="42" t="str">
        <f>IFERROR(__xludf.DUMMYFUNCTION("""COMPUTED_VALUE"""),"MCC049UC0610")</f>
        <v>MCC049UC0610</v>
      </c>
      <c r="C162" s="31" t="str">
        <f>IFERROR(__xludf.DUMMYFUNCTION("""COMPUTED_VALUE"""),"GRAMPO PISTOLA ROCAMA 106/8 CX 5.000 UN")</f>
        <v>GRAMPO PISTOLA ROCAMA 106/8 CX 5.000 UN</v>
      </c>
      <c r="D162" s="39">
        <f>IFERROR(__xludf.DUMMYFUNCTION("""COMPUTED_VALUE"""),1.0)</f>
        <v>1</v>
      </c>
      <c r="E162" s="34" t="str">
        <f>IFERROR(__xludf.DUMMYFUNCTION("""COMPUTED_VALUE"""),"Saída")</f>
        <v>Saída</v>
      </c>
      <c r="F162" s="34" t="str">
        <f>IFERROR(__xludf.DUMMYFUNCTION("""COMPUTED_VALUE"""),"Expedição:ex-escolas-exponenciais:")</f>
        <v>Expedição:ex-escolas-exponenciais:</v>
      </c>
      <c r="G162" s="39">
        <f t="array" ref="G162">XLOOKUP(B162,'Página9'!A:A,'Página9'!F:F,"")</f>
        <v>-14</v>
      </c>
      <c r="H162" s="39">
        <f t="array" ref="H162">XLOOKUP(B162,'Página9'!A:A,'Página9'!C:C,"")</f>
        <v>1</v>
      </c>
      <c r="I162" s="35" t="str">
        <f t="array" ref="I162">XLOOKUP(B162,'Página9'!A:A,'Página9'!G:G,"")</f>
        <v>REPOR ESTOQUE</v>
      </c>
      <c r="J162" s="25" t="str">
        <f t="shared" si="1"/>
        <v>EXPEDIÇÃO</v>
      </c>
      <c r="K162" s="25" t="str">
        <f>IFERROR(__xludf.DUMMYFUNCTION("""COMPUTED_VALUE"""),"Jose Antoniel Silva Mesquita")</f>
        <v>Jose Antoniel Silva Mesquita</v>
      </c>
    </row>
    <row r="163">
      <c r="A163" s="37">
        <f>IFERROR(__xludf.DUMMYFUNCTION("""COMPUTED_VALUE"""),45922.0)</f>
        <v>45922</v>
      </c>
      <c r="B163" s="42" t="str">
        <f>IFERROR(__xludf.DUMMYFUNCTION("""COMPUTED_VALUE"""),"MCC046UC0687")</f>
        <v>MCC046UC0687</v>
      </c>
      <c r="C163" s="31" t="str">
        <f>IFERROR(__xludf.DUMMYFUNCTION("""COMPUTED_VALUE"""),"ETIQUETA COUCHE - 100X100X 1")</f>
        <v>ETIQUETA COUCHE - 100X100X 1</v>
      </c>
      <c r="D163" s="39">
        <f>IFERROR(__xludf.DUMMYFUNCTION("""COMPUTED_VALUE"""),1.0)</f>
        <v>1</v>
      </c>
      <c r="E163" s="34" t="str">
        <f>IFERROR(__xludf.DUMMYFUNCTION("""COMPUTED_VALUE"""),"Saída")</f>
        <v>Saída</v>
      </c>
      <c r="F163" s="34" t="str">
        <f>IFERROR(__xludf.DUMMYFUNCTION("""COMPUTED_VALUE"""),"Recebimento:truck:")</f>
        <v>Recebimento:truck:</v>
      </c>
      <c r="G163" s="39">
        <f t="array" ref="G163">XLOOKUP(B163,'Página9'!A:A,'Página9'!F:F,"")</f>
        <v>335</v>
      </c>
      <c r="H163" s="39">
        <f t="array" ref="H163">XLOOKUP(B163,'Página9'!A:A,'Página9'!C:C,"")</f>
        <v>20</v>
      </c>
      <c r="I163" s="35" t="str">
        <f t="array" ref="I163">XLOOKUP(B163,'Página9'!A:A,'Página9'!G:G,"")</f>
        <v>OK</v>
      </c>
      <c r="J163" s="25" t="str">
        <f t="shared" si="1"/>
        <v>RECEBIMENTO</v>
      </c>
      <c r="K163" s="25" t="str">
        <f>IFERROR(__xludf.DUMMYFUNCTION("""COMPUTED_VALUE"""),"Francisco Renato Da Silva De Oliveira Junior")</f>
        <v>Francisco Renato Da Silva De Oliveira Junior</v>
      </c>
    </row>
    <row r="164">
      <c r="A164" s="37">
        <f>IFERROR(__xludf.DUMMYFUNCTION("""COMPUTED_VALUE"""),45922.0)</f>
        <v>45922</v>
      </c>
      <c r="B164" s="42" t="str">
        <f>IFERROR(__xludf.DUMMYFUNCTION("""COMPUTED_VALUE"""),"MCC046UC0596")</f>
        <v>MCC046UC0596</v>
      </c>
      <c r="C164" s="31" t="str">
        <f>IFERROR(__xludf.DUMMYFUNCTION("""COMPUTED_VALUE"""),"ETIQUETA ADESIVA COUCHE BRANCA   - 105X150MM SAS")</f>
        <v>ETIQUETA ADESIVA COUCHE BRANCA   - 105X150MM SAS</v>
      </c>
      <c r="D164" s="39">
        <f>IFERROR(__xludf.DUMMYFUNCTION("""COMPUTED_VALUE"""),3.0)</f>
        <v>3</v>
      </c>
      <c r="E164" s="34" t="str">
        <f>IFERROR(__xludf.DUMMYFUNCTION("""COMPUTED_VALUE"""),"Saída")</f>
        <v>Saída</v>
      </c>
      <c r="F164" s="34" t="str">
        <f>IFERROR(__xludf.DUMMYFUNCTION("""COMPUTED_VALUE"""),"Recebimento:truck:")</f>
        <v>Recebimento:truck:</v>
      </c>
      <c r="G164" s="39">
        <f t="array" ref="G164">XLOOKUP(B164,'Página9'!A:A,'Página9'!F:F,"")</f>
        <v>157</v>
      </c>
      <c r="H164" s="39">
        <f t="array" ref="H164">XLOOKUP(B164,'Página9'!A:A,'Página9'!C:C,"")</f>
        <v>20</v>
      </c>
      <c r="I164" s="35" t="str">
        <f t="array" ref="I164">XLOOKUP(B164,'Página9'!A:A,'Página9'!G:G,"")</f>
        <v>OK</v>
      </c>
      <c r="J164" s="25" t="str">
        <f t="shared" si="1"/>
        <v>RECEBIMENTO</v>
      </c>
      <c r="K164" s="25" t="str">
        <f>IFERROR(__xludf.DUMMYFUNCTION("""COMPUTED_VALUE"""),"Ana Virginia De Castro Costa")</f>
        <v>Ana Virginia De Castro Costa</v>
      </c>
    </row>
    <row r="165">
      <c r="A165" s="37">
        <f>IFERROR(__xludf.DUMMYFUNCTION("""COMPUTED_VALUE"""),45922.0)</f>
        <v>45922</v>
      </c>
      <c r="B165" s="42" t="str">
        <f>IFERROR(__xludf.DUMMYFUNCTION("""COMPUTED_VALUE"""),"MCC046UC0596")</f>
        <v>MCC046UC0596</v>
      </c>
      <c r="C165" s="31" t="str">
        <f>IFERROR(__xludf.DUMMYFUNCTION("""COMPUTED_VALUE"""),"ETIQUETA ADESIVA COUCHE BRANCA   - 105X150MM SAS")</f>
        <v>ETIQUETA ADESIVA COUCHE BRANCA   - 105X150MM SAS</v>
      </c>
      <c r="D165" s="39">
        <f>IFERROR(__xludf.DUMMYFUNCTION("""COMPUTED_VALUE"""),6.0)</f>
        <v>6</v>
      </c>
      <c r="E165" s="34" t="str">
        <f>IFERROR(__xludf.DUMMYFUNCTION("""COMPUTED_VALUE"""),"Saída")</f>
        <v>Saída</v>
      </c>
      <c r="F165" s="34" t="str">
        <f>IFERROR(__xludf.DUMMYFUNCTION("""COMPUTED_VALUE"""),"Estoque:package:")</f>
        <v>Estoque:package:</v>
      </c>
      <c r="G165" s="39">
        <f t="array" ref="G165">XLOOKUP(B165,'Página9'!A:A,'Página9'!F:F,"")</f>
        <v>157</v>
      </c>
      <c r="H165" s="39">
        <f t="array" ref="H165">XLOOKUP(B165,'Página9'!A:A,'Página9'!C:C,"")</f>
        <v>20</v>
      </c>
      <c r="I165" s="35" t="str">
        <f t="array" ref="I165">XLOOKUP(B165,'Página9'!A:A,'Página9'!G:G,"")</f>
        <v>OK</v>
      </c>
      <c r="J165" s="25" t="str">
        <f t="shared" si="1"/>
        <v>ESTOQUE</v>
      </c>
      <c r="K165" s="25" t="str">
        <f>IFERROR(__xludf.DUMMYFUNCTION("""COMPUTED_VALUE"""),"Silvana Da Silva Pereira")</f>
        <v>Silvana Da Silva Pereira</v>
      </c>
    </row>
    <row r="166">
      <c r="A166" s="37">
        <f>IFERROR(__xludf.DUMMYFUNCTION("""COMPUTED_VALUE"""),45923.0)</f>
        <v>45923</v>
      </c>
      <c r="B166" s="42" t="str">
        <f>IFERROR(__xludf.DUMMYFUNCTION("""COMPUTED_VALUE"""),"MCC015UC0008")</f>
        <v>MCC015UC0008</v>
      </c>
      <c r="C166" s="31" t="str">
        <f>IFERROR(__xludf.DUMMYFUNCTION("""COMPUTED_VALUE"""),"FILME STRETCH 500X25")</f>
        <v>FILME STRETCH 500X25</v>
      </c>
      <c r="D166" s="39">
        <f>IFERROR(__xludf.DUMMYFUNCTION("""COMPUTED_VALUE"""),5.0)</f>
        <v>5</v>
      </c>
      <c r="E166" s="34" t="str">
        <f>IFERROR(__xludf.DUMMYFUNCTION("""COMPUTED_VALUE"""),"Saída")</f>
        <v>Saída</v>
      </c>
      <c r="F166" s="34" t="str">
        <f>IFERROR(__xludf.DUMMYFUNCTION("""COMPUTED_VALUE"""),"PMM:livro-voador:")</f>
        <v>PMM:livro-voador:</v>
      </c>
      <c r="G166" s="39">
        <f t="array" ref="G166">XLOOKUP(B166,'Página9'!A:A,'Página9'!F:F,"")</f>
        <v>-158</v>
      </c>
      <c r="H166" s="39">
        <f t="array" ref="H166">XLOOKUP(B166,'Página9'!A:A,'Página9'!C:C,"")</f>
        <v>40</v>
      </c>
      <c r="I166" s="35" t="str">
        <f t="array" ref="I166">XLOOKUP(B166,'Página9'!A:A,'Página9'!G:G,"")</f>
        <v>REPOR ESTOQUE</v>
      </c>
      <c r="J166" s="25" t="str">
        <f t="shared" si="1"/>
        <v>PMM</v>
      </c>
      <c r="K166" s="25" t="str">
        <f>IFERROR(__xludf.DUMMYFUNCTION("""COMPUTED_VALUE"""),"Pedro Lucas Matias Do Nascimento")</f>
        <v>Pedro Lucas Matias Do Nascimento</v>
      </c>
    </row>
    <row r="167">
      <c r="A167" s="37">
        <f>IFERROR(__xludf.DUMMYFUNCTION("""COMPUTED_VALUE"""),45923.0)</f>
        <v>45923</v>
      </c>
      <c r="B167" s="42" t="str">
        <f>IFERROR(__xludf.DUMMYFUNCTION("""COMPUTED_VALUE"""),"MCC015UC0045")</f>
        <v>MCC015UC0045</v>
      </c>
      <c r="C167" s="31" t="str">
        <f>IFERROR(__xludf.DUMMYFUNCTION("""COMPUTED_VALUE"""),"FITA ADESIVA 69MM X 100M")</f>
        <v>FITA ADESIVA 69MM X 100M</v>
      </c>
      <c r="D167" s="39">
        <f>IFERROR(__xludf.DUMMYFUNCTION("""COMPUTED_VALUE"""),5.0)</f>
        <v>5</v>
      </c>
      <c r="E167" s="34" t="str">
        <f>IFERROR(__xludf.DUMMYFUNCTION("""COMPUTED_VALUE"""),"Saída")</f>
        <v>Saída</v>
      </c>
      <c r="F167" s="34" t="str">
        <f>IFERROR(__xludf.DUMMYFUNCTION("""COMPUTED_VALUE"""),"Recebimento:truck:")</f>
        <v>Recebimento:truck:</v>
      </c>
      <c r="G167" s="39">
        <f t="array" ref="G167">XLOOKUP(B167,'Página9'!A:A,'Página9'!F:F,"")</f>
        <v>287</v>
      </c>
      <c r="H167" s="39">
        <f t="array" ref="H167">XLOOKUP(B167,'Página9'!A:A,'Página9'!C:C,"")</f>
        <v>20</v>
      </c>
      <c r="I167" s="35" t="str">
        <f t="array" ref="I167">XLOOKUP(B167,'Página9'!A:A,'Página9'!G:G,"")</f>
        <v>OK</v>
      </c>
      <c r="J167" s="25" t="str">
        <f t="shared" si="1"/>
        <v>RECEBIMENTO</v>
      </c>
      <c r="K167" s="25" t="str">
        <f>IFERROR(__xludf.DUMMYFUNCTION("""COMPUTED_VALUE"""),"Ana Virginia De Castro Costa")</f>
        <v>Ana Virginia De Castro Costa</v>
      </c>
    </row>
    <row r="168">
      <c r="A168" s="37">
        <f>IFERROR(__xludf.DUMMYFUNCTION("""COMPUTED_VALUE"""),45923.0)</f>
        <v>45923</v>
      </c>
      <c r="B168" s="42" t="str">
        <f>IFERROR(__xludf.DUMMYFUNCTION("""COMPUTED_VALUE"""),"MCC015UC0008")</f>
        <v>MCC015UC0008</v>
      </c>
      <c r="C168" s="31" t="str">
        <f>IFERROR(__xludf.DUMMYFUNCTION("""COMPUTED_VALUE"""),"FILME STRETCH 500X25")</f>
        <v>FILME STRETCH 500X25</v>
      </c>
      <c r="D168" s="39">
        <f>IFERROR(__xludf.DUMMYFUNCTION("""COMPUTED_VALUE"""),2.0)</f>
        <v>2</v>
      </c>
      <c r="E168" s="34" t="str">
        <f>IFERROR(__xludf.DUMMYFUNCTION("""COMPUTED_VALUE"""),"Saída")</f>
        <v>Saída</v>
      </c>
      <c r="F168" s="34" t="str">
        <f>IFERROR(__xludf.DUMMYFUNCTION("""COMPUTED_VALUE"""),"PMM:livro-voador:")</f>
        <v>PMM:livro-voador:</v>
      </c>
      <c r="G168" s="39">
        <f t="array" ref="G168">XLOOKUP(B168,'Página9'!A:A,'Página9'!F:F,"")</f>
        <v>-158</v>
      </c>
      <c r="H168" s="39">
        <f t="array" ref="H168">XLOOKUP(B168,'Página9'!A:A,'Página9'!C:C,"")</f>
        <v>40</v>
      </c>
      <c r="I168" s="35" t="str">
        <f t="array" ref="I168">XLOOKUP(B168,'Página9'!A:A,'Página9'!G:G,"")</f>
        <v>REPOR ESTOQUE</v>
      </c>
      <c r="J168" s="25" t="str">
        <f t="shared" si="1"/>
        <v>PMM</v>
      </c>
      <c r="K168" s="25" t="str">
        <f>IFERROR(__xludf.DUMMYFUNCTION("""COMPUTED_VALUE"""),"Yago Rocha Fernandes")</f>
        <v>Yago Rocha Fernandes</v>
      </c>
    </row>
    <row r="169">
      <c r="A169" s="37">
        <f>IFERROR(__xludf.DUMMYFUNCTION("""COMPUTED_VALUE"""),45923.0)</f>
        <v>45923</v>
      </c>
      <c r="B169" s="42" t="str">
        <f>IFERROR(__xludf.DUMMYFUNCTION("""COMPUTED_VALUE"""),"MCC015UC0045")</f>
        <v>MCC015UC0045</v>
      </c>
      <c r="C169" s="31" t="str">
        <f>IFERROR(__xludf.DUMMYFUNCTION("""COMPUTED_VALUE"""),"FITA ADESIVA 69MM X 100M")</f>
        <v>FITA ADESIVA 69MM X 100M</v>
      </c>
      <c r="D169" s="39">
        <f>IFERROR(__xludf.DUMMYFUNCTION("""COMPUTED_VALUE"""),5.0)</f>
        <v>5</v>
      </c>
      <c r="E169" s="34" t="str">
        <f>IFERROR(__xludf.DUMMYFUNCTION("""COMPUTED_VALUE"""),"Saída")</f>
        <v>Saída</v>
      </c>
      <c r="F169" s="34" t="str">
        <f>IFERROR(__xludf.DUMMYFUNCTION("""COMPUTED_VALUE"""),"Expedição:ex-escolas-exponenciais:")</f>
        <v>Expedição:ex-escolas-exponenciais:</v>
      </c>
      <c r="G169" s="39">
        <f t="array" ref="G169">XLOOKUP(B169,'Página9'!A:A,'Página9'!F:F,"")</f>
        <v>287</v>
      </c>
      <c r="H169" s="39">
        <f t="array" ref="H169">XLOOKUP(B169,'Página9'!A:A,'Página9'!C:C,"")</f>
        <v>20</v>
      </c>
      <c r="I169" s="35" t="str">
        <f t="array" ref="I169">XLOOKUP(B169,'Página9'!A:A,'Página9'!G:G,"")</f>
        <v>OK</v>
      </c>
      <c r="J169" s="25" t="str">
        <f t="shared" si="1"/>
        <v>EXPEDIÇÃO</v>
      </c>
      <c r="K169" s="25" t="str">
        <f>IFERROR(__xludf.DUMMYFUNCTION("""COMPUTED_VALUE"""),"Paulo Henrique Chagas De Oliveira")</f>
        <v>Paulo Henrique Chagas De Oliveira</v>
      </c>
    </row>
    <row r="170">
      <c r="A170" s="37">
        <f>IFERROR(__xludf.DUMMYFUNCTION("""COMPUTED_VALUE"""),45923.0)</f>
        <v>45923</v>
      </c>
      <c r="B170" s="42" t="str">
        <f>IFERROR(__xludf.DUMMYFUNCTION("""COMPUTED_VALUE"""),"MCC015UC0008")</f>
        <v>MCC015UC0008</v>
      </c>
      <c r="C170" s="31" t="str">
        <f>IFERROR(__xludf.DUMMYFUNCTION("""COMPUTED_VALUE"""),"FILME STRETCH 500X25")</f>
        <v>FILME STRETCH 500X25</v>
      </c>
      <c r="D170" s="39">
        <f>IFERROR(__xludf.DUMMYFUNCTION("""COMPUTED_VALUE"""),2.0)</f>
        <v>2</v>
      </c>
      <c r="E170" s="34" t="str">
        <f>IFERROR(__xludf.DUMMYFUNCTION("""COMPUTED_VALUE"""),"Saída")</f>
        <v>Saída</v>
      </c>
      <c r="F170" s="34" t="str">
        <f>IFERROR(__xludf.DUMMYFUNCTION("""COMPUTED_VALUE"""),"Recebimento:truck:")</f>
        <v>Recebimento:truck:</v>
      </c>
      <c r="G170" s="39">
        <f t="array" ref="G170">XLOOKUP(B170,'Página9'!A:A,'Página9'!F:F,"")</f>
        <v>-158</v>
      </c>
      <c r="H170" s="39">
        <f t="array" ref="H170">XLOOKUP(B170,'Página9'!A:A,'Página9'!C:C,"")</f>
        <v>40</v>
      </c>
      <c r="I170" s="35" t="str">
        <f t="array" ref="I170">XLOOKUP(B170,'Página9'!A:A,'Página9'!G:G,"")</f>
        <v>REPOR ESTOQUE</v>
      </c>
      <c r="J170" s="25" t="str">
        <f t="shared" si="1"/>
        <v>RECEBIMENTO</v>
      </c>
      <c r="K170" s="25" t="str">
        <f>IFERROR(__xludf.DUMMYFUNCTION("""COMPUTED_VALUE"""),"Marcio Sthefani Bessa De Oliveira")</f>
        <v>Marcio Sthefani Bessa De Oliveira</v>
      </c>
    </row>
    <row r="171">
      <c r="A171" s="37">
        <f>IFERROR(__xludf.DUMMYFUNCTION("""COMPUTED_VALUE"""),45923.0)</f>
        <v>45923</v>
      </c>
      <c r="B171" s="42" t="str">
        <f>IFERROR(__xludf.DUMMYFUNCTION("""COMPUTED_VALUE"""),"MCC049UC0288")</f>
        <v>MCC049UC0288</v>
      </c>
      <c r="C171" s="31" t="str">
        <f>IFERROR(__xludf.DUMMYFUNCTION("""COMPUTED_VALUE"""),"FITILHO POLIPROPILENO P/EMBALAGEM")</f>
        <v>FITILHO POLIPROPILENO P/EMBALAGEM</v>
      </c>
      <c r="D171" s="39">
        <f>IFERROR(__xludf.DUMMYFUNCTION("""COMPUTED_VALUE"""),1.0)</f>
        <v>1</v>
      </c>
      <c r="E171" s="34" t="str">
        <f>IFERROR(__xludf.DUMMYFUNCTION("""COMPUTED_VALUE"""),"Saída")</f>
        <v>Saída</v>
      </c>
      <c r="F171" s="34" t="str">
        <f>IFERROR(__xludf.DUMMYFUNCTION("""COMPUTED_VALUE"""),"Recebimento:truck:")</f>
        <v>Recebimento:truck:</v>
      </c>
      <c r="G171" s="39">
        <f t="array" ref="G171">XLOOKUP(B171,'Página9'!A:A,'Página9'!F:F,"")</f>
        <v>-24</v>
      </c>
      <c r="H171" s="39">
        <f t="array" ref="H171">XLOOKUP(B171,'Página9'!A:A,'Página9'!C:C,"")</f>
        <v>2</v>
      </c>
      <c r="I171" s="35" t="str">
        <f t="array" ref="I171">XLOOKUP(B171,'Página9'!A:A,'Página9'!G:G,"")</f>
        <v>REPOR ESTOQUE</v>
      </c>
      <c r="J171" s="25" t="str">
        <f t="shared" si="1"/>
        <v>RECEBIMENTO</v>
      </c>
      <c r="K171" s="25" t="str">
        <f>IFERROR(__xludf.DUMMYFUNCTION("""COMPUTED_VALUE"""),"Marcio Sthefani Bessa De Oliveira")</f>
        <v>Marcio Sthefani Bessa De Oliveira</v>
      </c>
    </row>
    <row r="172">
      <c r="A172" s="37">
        <f>IFERROR(__xludf.DUMMYFUNCTION("""COMPUTED_VALUE"""),45924.0)</f>
        <v>45924</v>
      </c>
      <c r="B172" s="42" t="str">
        <f>IFERROR(__xludf.DUMMYFUNCTION("""COMPUTED_VALUE"""),"MCC015UC0045")</f>
        <v>MCC015UC0045</v>
      </c>
      <c r="C172" s="31" t="str">
        <f>IFERROR(__xludf.DUMMYFUNCTION("""COMPUTED_VALUE"""),"FITA ADESIVA 69MM X 100M")</f>
        <v>FITA ADESIVA 69MM X 100M</v>
      </c>
      <c r="D172" s="39">
        <f>IFERROR(__xludf.DUMMYFUNCTION("""COMPUTED_VALUE"""),4.0)</f>
        <v>4</v>
      </c>
      <c r="E172" s="34" t="str">
        <f>IFERROR(__xludf.DUMMYFUNCTION("""COMPUTED_VALUE"""),"Saída")</f>
        <v>Saída</v>
      </c>
      <c r="F172" s="34" t="str">
        <f>IFERROR(__xludf.DUMMYFUNCTION("""COMPUTED_VALUE"""),"Recebimento:truck:")</f>
        <v>Recebimento:truck:</v>
      </c>
      <c r="G172" s="39">
        <f t="array" ref="G172">XLOOKUP(B172,'Página9'!A:A,'Página9'!F:F,"")</f>
        <v>287</v>
      </c>
      <c r="H172" s="39">
        <f t="array" ref="H172">XLOOKUP(B172,'Página9'!A:A,'Página9'!C:C,"")</f>
        <v>20</v>
      </c>
      <c r="I172" s="35" t="str">
        <f t="array" ref="I172">XLOOKUP(B172,'Página9'!A:A,'Página9'!G:G,"")</f>
        <v>OK</v>
      </c>
      <c r="J172" s="25" t="str">
        <f t="shared" si="1"/>
        <v>RECEBIMENTO</v>
      </c>
      <c r="K172" s="25" t="str">
        <f>IFERROR(__xludf.DUMMYFUNCTION("""COMPUTED_VALUE"""),"Pericles Cavalcante De Lima Maciel")</f>
        <v>Pericles Cavalcante De Lima Maciel</v>
      </c>
    </row>
    <row r="173">
      <c r="A173" s="37">
        <f>IFERROR(__xludf.DUMMYFUNCTION("""COMPUTED_VALUE"""),45924.0)</f>
        <v>45924</v>
      </c>
      <c r="B173" s="42" t="str">
        <f>IFERROR(__xludf.DUMMYFUNCTION("""COMPUTED_VALUE"""),"MCC015UC0008")</f>
        <v>MCC015UC0008</v>
      </c>
      <c r="C173" s="31" t="str">
        <f>IFERROR(__xludf.DUMMYFUNCTION("""COMPUTED_VALUE"""),"FILME STRETCH 500X25")</f>
        <v>FILME STRETCH 500X25</v>
      </c>
      <c r="D173" s="39">
        <f>IFERROR(__xludf.DUMMYFUNCTION("""COMPUTED_VALUE"""),2.0)</f>
        <v>2</v>
      </c>
      <c r="E173" s="34" t="str">
        <f>IFERROR(__xludf.DUMMYFUNCTION("""COMPUTED_VALUE"""),"Saída")</f>
        <v>Saída</v>
      </c>
      <c r="F173" s="34" t="str">
        <f>IFERROR(__xludf.DUMMYFUNCTION("""COMPUTED_VALUE"""),"Expedição:ex-escolas-exponenciais:")</f>
        <v>Expedição:ex-escolas-exponenciais:</v>
      </c>
      <c r="G173" s="39">
        <f t="array" ref="G173">XLOOKUP(B173,'Página9'!A:A,'Página9'!F:F,"")</f>
        <v>-158</v>
      </c>
      <c r="H173" s="39">
        <f t="array" ref="H173">XLOOKUP(B173,'Página9'!A:A,'Página9'!C:C,"")</f>
        <v>40</v>
      </c>
      <c r="I173" s="35" t="str">
        <f t="array" ref="I173">XLOOKUP(B173,'Página9'!A:A,'Página9'!G:G,"")</f>
        <v>REPOR ESTOQUE</v>
      </c>
      <c r="J173" s="25" t="str">
        <f t="shared" si="1"/>
        <v>EXPEDIÇÃO</v>
      </c>
      <c r="K173" s="25" t="str">
        <f>IFERROR(__xludf.DUMMYFUNCTION("""COMPUTED_VALUE"""),"Yago Rocha Fernandes")</f>
        <v>Yago Rocha Fernandes</v>
      </c>
    </row>
    <row r="174">
      <c r="A174" s="37">
        <f>IFERROR(__xludf.DUMMYFUNCTION("""COMPUTED_VALUE"""),45924.0)</f>
        <v>45924</v>
      </c>
      <c r="B174" s="42" t="str">
        <f>IFERROR(__xludf.DUMMYFUNCTION("""COMPUTED_VALUE"""),"MCC015UC0038")</f>
        <v>MCC015UC0038</v>
      </c>
      <c r="C174" s="31" t="str">
        <f>IFERROR(__xludf.DUMMYFUNCTION("""COMPUTED_VALUE"""),"BOBINA SHRINK 500MM")</f>
        <v>BOBINA SHRINK 500MM</v>
      </c>
      <c r="D174" s="39">
        <f>IFERROR(__xludf.DUMMYFUNCTION("""COMPUTED_VALUE"""),1.0)</f>
        <v>1</v>
      </c>
      <c r="E174" s="34" t="str">
        <f>IFERROR(__xludf.DUMMYFUNCTION("""COMPUTED_VALUE"""),"Saída")</f>
        <v>Saída</v>
      </c>
      <c r="F174" s="34" t="str">
        <f>IFERROR(__xludf.DUMMYFUNCTION("""COMPUTED_VALUE"""),"Expedição:ex-escolas-exponenciais:")</f>
        <v>Expedição:ex-escolas-exponenciais:</v>
      </c>
      <c r="G174" s="39">
        <f t="array" ref="G174">XLOOKUP(B174,'Página9'!A:A,'Página9'!F:F,"")</f>
        <v>13</v>
      </c>
      <c r="H174" s="39">
        <f t="array" ref="H174">XLOOKUP(B174,'Página9'!A:A,'Página9'!C:C,"")</f>
        <v>3</v>
      </c>
      <c r="I174" s="35" t="str">
        <f t="array" ref="I174">XLOOKUP(B174,'Página9'!A:A,'Página9'!G:G,"")</f>
        <v>OK</v>
      </c>
      <c r="J174" s="25" t="str">
        <f t="shared" si="1"/>
        <v>EXPEDIÇÃO</v>
      </c>
      <c r="K174" s="25" t="str">
        <f>IFERROR(__xludf.DUMMYFUNCTION("""COMPUTED_VALUE"""),"Jose Antoniel Silva Mesquita")</f>
        <v>Jose Antoniel Silva Mesquita</v>
      </c>
    </row>
    <row r="175">
      <c r="A175" s="37">
        <f>IFERROR(__xludf.DUMMYFUNCTION("""COMPUTED_VALUE"""),45924.0)</f>
        <v>45924</v>
      </c>
      <c r="B175" s="42" t="str">
        <f>IFERROR(__xludf.DUMMYFUNCTION("""COMPUTED_VALUE"""),"MCC015UC0008")</f>
        <v>MCC015UC0008</v>
      </c>
      <c r="C175" s="31" t="str">
        <f>IFERROR(__xludf.DUMMYFUNCTION("""COMPUTED_VALUE"""),"FILME STRETCH 500X25")</f>
        <v>FILME STRETCH 500X25</v>
      </c>
      <c r="D175" s="39">
        <f>IFERROR(__xludf.DUMMYFUNCTION("""COMPUTED_VALUE"""),2.0)</f>
        <v>2</v>
      </c>
      <c r="E175" s="34" t="str">
        <f>IFERROR(__xludf.DUMMYFUNCTION("""COMPUTED_VALUE"""),"Saída")</f>
        <v>Saída</v>
      </c>
      <c r="F175" s="34" t="str">
        <f>IFERROR(__xludf.DUMMYFUNCTION("""COMPUTED_VALUE"""),"Recebimento:truck:")</f>
        <v>Recebimento:truck:</v>
      </c>
      <c r="G175" s="39">
        <f t="array" ref="G175">XLOOKUP(B175,'Página9'!A:A,'Página9'!F:F,"")</f>
        <v>-158</v>
      </c>
      <c r="H175" s="39">
        <f t="array" ref="H175">XLOOKUP(B175,'Página9'!A:A,'Página9'!C:C,"")</f>
        <v>40</v>
      </c>
      <c r="I175" s="35" t="str">
        <f t="array" ref="I175">XLOOKUP(B175,'Página9'!A:A,'Página9'!G:G,"")</f>
        <v>REPOR ESTOQUE</v>
      </c>
      <c r="J175" s="25" t="str">
        <f t="shared" si="1"/>
        <v>RECEBIMENTO</v>
      </c>
      <c r="K175" s="25" t="str">
        <f>IFERROR(__xludf.DUMMYFUNCTION("""COMPUTED_VALUE"""),"Allison Breno Da Costa Borges Soares")</f>
        <v>Allison Breno Da Costa Borges Soares</v>
      </c>
    </row>
    <row r="176">
      <c r="A176" s="37">
        <f>IFERROR(__xludf.DUMMYFUNCTION("""COMPUTED_VALUE"""),45924.0)</f>
        <v>45924</v>
      </c>
      <c r="B176" s="42" t="str">
        <f>IFERROR(__xludf.DUMMYFUNCTION("""COMPUTED_VALUE"""),"MCC046UC0082")</f>
        <v>MCC046UC0082</v>
      </c>
      <c r="C176" s="31" t="str">
        <f>IFERROR(__xludf.DUMMYFUNCTION("""COMPUTED_VALUE"""),"PAPEL SULFITE A4 75G 500 FOLHAS")</f>
        <v>PAPEL SULFITE A4 75G 500 FOLHAS</v>
      </c>
      <c r="D176" s="39">
        <f>IFERROR(__xludf.DUMMYFUNCTION("""COMPUTED_VALUE"""),1.0)</f>
        <v>1</v>
      </c>
      <c r="E176" s="34" t="str">
        <f>IFERROR(__xludf.DUMMYFUNCTION("""COMPUTED_VALUE"""),"Saída")</f>
        <v>Saída</v>
      </c>
      <c r="F176" s="34" t="str">
        <f>IFERROR(__xludf.DUMMYFUNCTION("""COMPUTED_VALUE"""),"Expedição:ex-escolas-exponenciais:")</f>
        <v>Expedição:ex-escolas-exponenciais:</v>
      </c>
      <c r="G176" s="39">
        <f t="array" ref="G176">XLOOKUP(B176,'Página9'!A:A,'Página9'!F:F,"")</f>
        <v>163</v>
      </c>
      <c r="H176" s="39">
        <f t="array" ref="H176">XLOOKUP(B176,'Página9'!A:A,'Página9'!C:C,"")</f>
        <v>10</v>
      </c>
      <c r="I176" s="35" t="str">
        <f t="array" ref="I176">XLOOKUP(B176,'Página9'!A:A,'Página9'!G:G,"")</f>
        <v>OK</v>
      </c>
      <c r="J176" s="25" t="str">
        <f t="shared" si="1"/>
        <v>EXPEDIÇÃO</v>
      </c>
      <c r="K176" s="25" t="str">
        <f>IFERROR(__xludf.DUMMYFUNCTION("""COMPUTED_VALUE"""),"Suellen Aguiar Da Silva")</f>
        <v>Suellen Aguiar Da Silva</v>
      </c>
    </row>
    <row r="177">
      <c r="A177" s="37">
        <f>IFERROR(__xludf.DUMMYFUNCTION("""COMPUTED_VALUE"""),45924.0)</f>
        <v>45924</v>
      </c>
      <c r="B177" s="42" t="str">
        <f>IFERROR(__xludf.DUMMYFUNCTION("""COMPUTED_VALUE"""),"MCC015UC0008")</f>
        <v>MCC015UC0008</v>
      </c>
      <c r="C177" s="31" t="str">
        <f>IFERROR(__xludf.DUMMYFUNCTION("""COMPUTED_VALUE"""),"FILME STRETCH 500X25")</f>
        <v>FILME STRETCH 500X25</v>
      </c>
      <c r="D177" s="39">
        <f>IFERROR(__xludf.DUMMYFUNCTION("""COMPUTED_VALUE"""),3.0)</f>
        <v>3</v>
      </c>
      <c r="E177" s="34" t="str">
        <f>IFERROR(__xludf.DUMMYFUNCTION("""COMPUTED_VALUE"""),"Saída")</f>
        <v>Saída</v>
      </c>
      <c r="F177" s="34" t="str">
        <f>IFERROR(__xludf.DUMMYFUNCTION("""COMPUTED_VALUE"""),"Expedição:ex-escolas-exponenciais:")</f>
        <v>Expedição:ex-escolas-exponenciais:</v>
      </c>
      <c r="G177" s="39">
        <f t="array" ref="G177">XLOOKUP(B177,'Página9'!A:A,'Página9'!F:F,"")</f>
        <v>-158</v>
      </c>
      <c r="H177" s="39">
        <f t="array" ref="H177">XLOOKUP(B177,'Página9'!A:A,'Página9'!C:C,"")</f>
        <v>40</v>
      </c>
      <c r="I177" s="35" t="str">
        <f t="array" ref="I177">XLOOKUP(B177,'Página9'!A:A,'Página9'!G:G,"")</f>
        <v>REPOR ESTOQUE</v>
      </c>
      <c r="J177" s="25" t="str">
        <f t="shared" si="1"/>
        <v>EXPEDIÇÃO</v>
      </c>
      <c r="K177" s="25" t="str">
        <f>IFERROR(__xludf.DUMMYFUNCTION("""COMPUTED_VALUE"""),"Allison Breno Da Costa Borges Soares")</f>
        <v>Allison Breno Da Costa Borges Soares</v>
      </c>
    </row>
    <row r="178">
      <c r="A178" s="37">
        <f>IFERROR(__xludf.DUMMYFUNCTION("""COMPUTED_VALUE"""),45924.0)</f>
        <v>45924</v>
      </c>
      <c r="B178" s="42" t="str">
        <f>IFERROR(__xludf.DUMMYFUNCTION("""COMPUTED_VALUE"""),"MCC046UC0164")</f>
        <v>MCC046UC0164</v>
      </c>
      <c r="C178" s="31" t="str">
        <f>IFERROR(__xludf.DUMMYFUNCTION("""COMPUTED_VALUE"""),"APAGADOR P/ QUADRO BRANCO RADEX")</f>
        <v>APAGADOR P/ QUADRO BRANCO RADEX</v>
      </c>
      <c r="D178" s="39">
        <f>IFERROR(__xludf.DUMMYFUNCTION("""COMPUTED_VALUE"""),1.0)</f>
        <v>1</v>
      </c>
      <c r="E178" s="34" t="str">
        <f>IFERROR(__xludf.DUMMYFUNCTION("""COMPUTED_VALUE"""),"Saída")</f>
        <v>Saída</v>
      </c>
      <c r="F178" s="34" t="str">
        <f>IFERROR(__xludf.DUMMYFUNCTION("""COMPUTED_VALUE"""),"Expedição:ex-escolas-exponenciais:")</f>
        <v>Expedição:ex-escolas-exponenciais:</v>
      </c>
      <c r="G178" s="39">
        <f t="array" ref="G178">XLOOKUP(B178,'Página9'!A:A,'Página9'!F:F,"")</f>
        <v>-1</v>
      </c>
      <c r="H178" s="39">
        <f t="array" ref="H178">XLOOKUP(B178,'Página9'!A:A,'Página9'!C:C,"")</f>
        <v>1</v>
      </c>
      <c r="I178" s="35" t="str">
        <f t="array" ref="I178">XLOOKUP(B178,'Página9'!A:A,'Página9'!G:G,"")</f>
        <v>REPOR ESTOQUE</v>
      </c>
      <c r="J178" s="25" t="str">
        <f t="shared" si="1"/>
        <v>EXPEDIÇÃO</v>
      </c>
      <c r="K178" s="25" t="str">
        <f>IFERROR(__xludf.DUMMYFUNCTION("""COMPUTED_VALUE"""),"Jackson Alves Sales")</f>
        <v>Jackson Alves Sales</v>
      </c>
    </row>
    <row r="179">
      <c r="A179" s="37">
        <f>IFERROR(__xludf.DUMMYFUNCTION("""COMPUTED_VALUE"""),45924.0)</f>
        <v>45924</v>
      </c>
      <c r="B179" s="42" t="str">
        <f>IFERROR(__xludf.DUMMYFUNCTION("""COMPUTED_VALUE"""),"MCC046UC0387")</f>
        <v>MCC046UC0387</v>
      </c>
      <c r="C179" s="31" t="str">
        <f>IFERROR(__xludf.DUMMYFUNCTION("""COMPUTED_VALUE"""),"GRAMPEADOR PLUS LINE CIS PRETO 26/6 P/20")</f>
        <v>GRAMPEADOR PLUS LINE CIS PRETO 26/6 P/20</v>
      </c>
      <c r="D179" s="39">
        <f>IFERROR(__xludf.DUMMYFUNCTION("""COMPUTED_VALUE"""),1.0)</f>
        <v>1</v>
      </c>
      <c r="E179" s="34" t="str">
        <f>IFERROR(__xludf.DUMMYFUNCTION("""COMPUTED_VALUE"""),"Saída")</f>
        <v>Saída</v>
      </c>
      <c r="F179" s="34" t="str">
        <f>IFERROR(__xludf.DUMMYFUNCTION("""COMPUTED_VALUE"""),"PMM:livro-voador:")</f>
        <v>PMM:livro-voador:</v>
      </c>
      <c r="G179" s="39">
        <f t="array" ref="G179">XLOOKUP(B179,'Página9'!A:A,'Página9'!F:F,"")</f>
        <v>0</v>
      </c>
      <c r="H179" s="39">
        <f t="array" ref="H179">XLOOKUP(B179,'Página9'!A:A,'Página9'!C:C,"")</f>
        <v>1</v>
      </c>
      <c r="I179" s="35" t="str">
        <f t="array" ref="I179">XLOOKUP(B179,'Página9'!A:A,'Página9'!G:G,"")</f>
        <v>REPOR ESTOQUE</v>
      </c>
      <c r="J179" s="25" t="str">
        <f t="shared" si="1"/>
        <v>PMM</v>
      </c>
      <c r="K179" s="25" t="str">
        <f>IFERROR(__xludf.DUMMYFUNCTION("""COMPUTED_VALUE"""),"Jackson Alves Sales")</f>
        <v>Jackson Alves Sales</v>
      </c>
    </row>
    <row r="180">
      <c r="A180" s="37">
        <f>IFERROR(__xludf.DUMMYFUNCTION("""COMPUTED_VALUE"""),45924.0)</f>
        <v>45924</v>
      </c>
      <c r="B180" s="42" t="str">
        <f>IFERROR(__xludf.DUMMYFUNCTION("""COMPUTED_VALUE"""),"MCC046UC0675")</f>
        <v>MCC046UC0675</v>
      </c>
      <c r="C180" s="31" t="str">
        <f>IFERROR(__xludf.DUMMYFUNCTION("""COMPUTED_VALUE"""),"MARCADOR QUADRO BRANCO VERMELHO RECARREGAVEL")</f>
        <v>MARCADOR QUADRO BRANCO VERMELHO RECARREGAVEL</v>
      </c>
      <c r="D180" s="39">
        <f>IFERROR(__xludf.DUMMYFUNCTION("""COMPUTED_VALUE"""),2.0)</f>
        <v>2</v>
      </c>
      <c r="E180" s="34" t="str">
        <f>IFERROR(__xludf.DUMMYFUNCTION("""COMPUTED_VALUE"""),"Saída")</f>
        <v>Saída</v>
      </c>
      <c r="F180" s="34" t="str">
        <f>IFERROR(__xludf.DUMMYFUNCTION("""COMPUTED_VALUE"""),"PMM:livro-voador:")</f>
        <v>PMM:livro-voador:</v>
      </c>
      <c r="G180" s="39">
        <f t="array" ref="G180">XLOOKUP(B180,'Página9'!A:A,'Página9'!F:F,"")</f>
        <v>12</v>
      </c>
      <c r="H180" s="39">
        <f t="array" ref="H180">XLOOKUP(B180,'Página9'!A:A,'Página9'!C:C,"")</f>
        <v>3</v>
      </c>
      <c r="I180" s="35" t="str">
        <f t="array" ref="I180">XLOOKUP(B180,'Página9'!A:A,'Página9'!G:G,"")</f>
        <v>OK</v>
      </c>
      <c r="J180" s="25" t="str">
        <f t="shared" si="1"/>
        <v>PMM</v>
      </c>
      <c r="K180" s="25" t="str">
        <f>IFERROR(__xludf.DUMMYFUNCTION("""COMPUTED_VALUE"""),"Jackson Alves Sales")</f>
        <v>Jackson Alves Sales</v>
      </c>
    </row>
    <row r="181">
      <c r="A181" s="37">
        <f>IFERROR(__xludf.DUMMYFUNCTION("""COMPUTED_VALUE"""),45924.0)</f>
        <v>45924</v>
      </c>
      <c r="B181" s="42" t="str">
        <f>IFERROR(__xludf.DUMMYFUNCTION("""COMPUTED_VALUE"""),"MCC046UC0671")</f>
        <v>MCC046UC0671</v>
      </c>
      <c r="C181" s="31" t="str">
        <f>IFERROR(__xludf.DUMMYFUNCTION("""COMPUTED_VALUE"""),"MARCADOR QUADRO BRANCO AZUL RECARREGAVEL")</f>
        <v>MARCADOR QUADRO BRANCO AZUL RECARREGAVEL</v>
      </c>
      <c r="D181" s="39">
        <f>IFERROR(__xludf.DUMMYFUNCTION("""COMPUTED_VALUE"""),1.0)</f>
        <v>1</v>
      </c>
      <c r="E181" s="34" t="str">
        <f>IFERROR(__xludf.DUMMYFUNCTION("""COMPUTED_VALUE"""),"Saída")</f>
        <v>Saída</v>
      </c>
      <c r="F181" s="34" t="str">
        <f>IFERROR(__xludf.DUMMYFUNCTION("""COMPUTED_VALUE"""),"Expedição:ex-escolas-exponenciais:")</f>
        <v>Expedição:ex-escolas-exponenciais:</v>
      </c>
      <c r="G181" s="39">
        <f t="array" ref="G181">XLOOKUP(B181,'Página9'!A:A,'Página9'!F:F,"")</f>
        <v>12</v>
      </c>
      <c r="H181" s="39">
        <f t="array" ref="H181">XLOOKUP(B181,'Página9'!A:A,'Página9'!C:C,"")</f>
        <v>3</v>
      </c>
      <c r="I181" s="35" t="str">
        <f t="array" ref="I181">XLOOKUP(B181,'Página9'!A:A,'Página9'!G:G,"")</f>
        <v>OK</v>
      </c>
      <c r="J181" s="25" t="str">
        <f t="shared" si="1"/>
        <v>EXPEDIÇÃO</v>
      </c>
      <c r="K181" s="25" t="str">
        <f>IFERROR(__xludf.DUMMYFUNCTION("""COMPUTED_VALUE"""),"Jackson Alves Sales")</f>
        <v>Jackson Alves Sales</v>
      </c>
    </row>
    <row r="182">
      <c r="A182" s="37">
        <f>IFERROR(__xludf.DUMMYFUNCTION("""COMPUTED_VALUE"""),45924.0)</f>
        <v>45924</v>
      </c>
      <c r="B182" s="42" t="str">
        <f>IFERROR(__xludf.DUMMYFUNCTION("""COMPUTED_VALUE"""),"MCC015UC0008")</f>
        <v>MCC015UC0008</v>
      </c>
      <c r="C182" s="31" t="str">
        <f>IFERROR(__xludf.DUMMYFUNCTION("""COMPUTED_VALUE"""),"FILME STRETCH 500X25")</f>
        <v>FILME STRETCH 500X25</v>
      </c>
      <c r="D182" s="39">
        <f>IFERROR(__xludf.DUMMYFUNCTION("""COMPUTED_VALUE"""),3.0)</f>
        <v>3</v>
      </c>
      <c r="E182" s="34" t="str">
        <f>IFERROR(__xludf.DUMMYFUNCTION("""COMPUTED_VALUE"""),"Saída")</f>
        <v>Saída</v>
      </c>
      <c r="F182" s="34" t="str">
        <f>IFERROR(__xludf.DUMMYFUNCTION("""COMPUTED_VALUE"""),"PMM:livro-voador:")</f>
        <v>PMM:livro-voador:</v>
      </c>
      <c r="G182" s="39">
        <f t="array" ref="G182">XLOOKUP(B182,'Página9'!A:A,'Página9'!F:F,"")</f>
        <v>-158</v>
      </c>
      <c r="H182" s="39">
        <f t="array" ref="H182">XLOOKUP(B182,'Página9'!A:A,'Página9'!C:C,"")</f>
        <v>40</v>
      </c>
      <c r="I182" s="35" t="str">
        <f t="array" ref="I182">XLOOKUP(B182,'Página9'!A:A,'Página9'!G:G,"")</f>
        <v>REPOR ESTOQUE</v>
      </c>
      <c r="J182" s="25" t="str">
        <f t="shared" si="1"/>
        <v>PMM</v>
      </c>
      <c r="K182" s="25" t="str">
        <f>IFERROR(__xludf.DUMMYFUNCTION("""COMPUTED_VALUE"""),"Allison Breno Da Costa Borges Soares")</f>
        <v>Allison Breno Da Costa Borges Soares</v>
      </c>
    </row>
    <row r="183">
      <c r="A183" s="37">
        <f>IFERROR(__xludf.DUMMYFUNCTION("""COMPUTED_VALUE"""),45924.0)</f>
        <v>45924</v>
      </c>
      <c r="B183" s="42" t="str">
        <f>IFERROR(__xludf.DUMMYFUNCTION("""COMPUTED_VALUE"""),"MCC015UC0045")</f>
        <v>MCC015UC0045</v>
      </c>
      <c r="C183" s="31" t="str">
        <f>IFERROR(__xludf.DUMMYFUNCTION("""COMPUTED_VALUE"""),"FITA ADESIVA 69MM X 100M")</f>
        <v>FITA ADESIVA 69MM X 100M</v>
      </c>
      <c r="D183" s="39">
        <f>IFERROR(__xludf.DUMMYFUNCTION("""COMPUTED_VALUE"""),2.0)</f>
        <v>2</v>
      </c>
      <c r="E183" s="34" t="str">
        <f>IFERROR(__xludf.DUMMYFUNCTION("""COMPUTED_VALUE"""),"Saída")</f>
        <v>Saída</v>
      </c>
      <c r="F183" s="34" t="str">
        <f>IFERROR(__xludf.DUMMYFUNCTION("""COMPUTED_VALUE"""),"Expedição:ex-escolas-exponenciais:")</f>
        <v>Expedição:ex-escolas-exponenciais:</v>
      </c>
      <c r="G183" s="39">
        <f t="array" ref="G183">XLOOKUP(B183,'Página9'!A:A,'Página9'!F:F,"")</f>
        <v>287</v>
      </c>
      <c r="H183" s="39">
        <f t="array" ref="H183">XLOOKUP(B183,'Página9'!A:A,'Página9'!C:C,"")</f>
        <v>20</v>
      </c>
      <c r="I183" s="35" t="str">
        <f t="array" ref="I183">XLOOKUP(B183,'Página9'!A:A,'Página9'!G:G,"")</f>
        <v>OK</v>
      </c>
      <c r="J183" s="25" t="str">
        <f t="shared" si="1"/>
        <v>EXPEDIÇÃO</v>
      </c>
      <c r="K183" s="25" t="str">
        <f>IFERROR(__xludf.DUMMYFUNCTION("""COMPUTED_VALUE"""),"Allison Breno Da Costa Borges Soares")</f>
        <v>Allison Breno Da Costa Borges Soares</v>
      </c>
    </row>
    <row r="184">
      <c r="A184" s="37">
        <f>IFERROR(__xludf.DUMMYFUNCTION("""COMPUTED_VALUE"""),45924.0)</f>
        <v>45924</v>
      </c>
      <c r="B184" s="42" t="str">
        <f>IFERROR(__xludf.DUMMYFUNCTION("""COMPUTED_VALUE"""),"MCC015UC0008")</f>
        <v>MCC015UC0008</v>
      </c>
      <c r="C184" s="31" t="str">
        <f>IFERROR(__xludf.DUMMYFUNCTION("""COMPUTED_VALUE"""),"FILME STRETCH 500X25")</f>
        <v>FILME STRETCH 500X25</v>
      </c>
      <c r="D184" s="39">
        <f>IFERROR(__xludf.DUMMYFUNCTION("""COMPUTED_VALUE"""),2.0)</f>
        <v>2</v>
      </c>
      <c r="E184" s="34" t="str">
        <f>IFERROR(__xludf.DUMMYFUNCTION("""COMPUTED_VALUE"""),"Saída")</f>
        <v>Saída</v>
      </c>
      <c r="F184" s="34" t="str">
        <f>IFERROR(__xludf.DUMMYFUNCTION("""COMPUTED_VALUE"""),"Expedição:ex-escolas-exponenciais:")</f>
        <v>Expedição:ex-escolas-exponenciais:</v>
      </c>
      <c r="G184" s="39">
        <f t="array" ref="G184">XLOOKUP(B184,'Página9'!A:A,'Página9'!F:F,"")</f>
        <v>-158</v>
      </c>
      <c r="H184" s="39">
        <f t="array" ref="H184">XLOOKUP(B184,'Página9'!A:A,'Página9'!C:C,"")</f>
        <v>40</v>
      </c>
      <c r="I184" s="35" t="str">
        <f t="array" ref="I184">XLOOKUP(B184,'Página9'!A:A,'Página9'!G:G,"")</f>
        <v>REPOR ESTOQUE</v>
      </c>
      <c r="J184" s="25" t="str">
        <f t="shared" si="1"/>
        <v>EXPEDIÇÃO</v>
      </c>
      <c r="K184" s="25" t="str">
        <f>IFERROR(__xludf.DUMMYFUNCTION("""COMPUTED_VALUE"""),"Marcio Sthefani Bessa De Oliveira")</f>
        <v>Marcio Sthefani Bessa De Oliveira</v>
      </c>
    </row>
    <row r="185">
      <c r="A185" s="37">
        <f>IFERROR(__xludf.DUMMYFUNCTION("""COMPUTED_VALUE"""),45924.0)</f>
        <v>45924</v>
      </c>
      <c r="B185" s="42" t="str">
        <f>IFERROR(__xludf.DUMMYFUNCTION("""COMPUTED_VALUE"""),"MCC015UC0045")</f>
        <v>MCC015UC0045</v>
      </c>
      <c r="C185" s="31" t="str">
        <f>IFERROR(__xludf.DUMMYFUNCTION("""COMPUTED_VALUE"""),"FITA ADESIVA 69MM X 100M")</f>
        <v>FITA ADESIVA 69MM X 100M</v>
      </c>
      <c r="D185" s="39">
        <f>IFERROR(__xludf.DUMMYFUNCTION("""COMPUTED_VALUE"""),1.0)</f>
        <v>1</v>
      </c>
      <c r="E185" s="34" t="str">
        <f>IFERROR(__xludf.DUMMYFUNCTION("""COMPUTED_VALUE"""),"Saída")</f>
        <v>Saída</v>
      </c>
      <c r="F185" s="34" t="str">
        <f>IFERROR(__xludf.DUMMYFUNCTION("""COMPUTED_VALUE"""),"Expedição:ex-escolas-exponenciais:")</f>
        <v>Expedição:ex-escolas-exponenciais:</v>
      </c>
      <c r="G185" s="39">
        <f t="array" ref="G185">XLOOKUP(B185,'Página9'!A:A,'Página9'!F:F,"")</f>
        <v>287</v>
      </c>
      <c r="H185" s="39">
        <f t="array" ref="H185">XLOOKUP(B185,'Página9'!A:A,'Página9'!C:C,"")</f>
        <v>20</v>
      </c>
      <c r="I185" s="35" t="str">
        <f t="array" ref="I185">XLOOKUP(B185,'Página9'!A:A,'Página9'!G:G,"")</f>
        <v>OK</v>
      </c>
      <c r="J185" s="25" t="str">
        <f t="shared" si="1"/>
        <v>EXPEDIÇÃO</v>
      </c>
      <c r="K185" s="25" t="str">
        <f>IFERROR(__xludf.DUMMYFUNCTION("""COMPUTED_VALUE"""),"Jose Antoniel Silva Mesquita")</f>
        <v>Jose Antoniel Silva Mesquita</v>
      </c>
    </row>
    <row r="186">
      <c r="A186" s="37">
        <f>IFERROR(__xludf.DUMMYFUNCTION("""COMPUTED_VALUE"""),45924.0)</f>
        <v>45924</v>
      </c>
      <c r="B186" s="42" t="str">
        <f>IFERROR(__xludf.DUMMYFUNCTION("""COMPUTED_VALUE"""),"MCC015UC0045")</f>
        <v>MCC015UC0045</v>
      </c>
      <c r="C186" s="31" t="str">
        <f>IFERROR(__xludf.DUMMYFUNCTION("""COMPUTED_VALUE"""),"FITA ADESIVA 69MM X 100M")</f>
        <v>FITA ADESIVA 69MM X 100M</v>
      </c>
      <c r="D186" s="39">
        <f>IFERROR(__xludf.DUMMYFUNCTION("""COMPUTED_VALUE"""),6.0)</f>
        <v>6</v>
      </c>
      <c r="E186" s="34" t="str">
        <f>IFERROR(__xludf.DUMMYFUNCTION("""COMPUTED_VALUE"""),"Saída")</f>
        <v>Saída</v>
      </c>
      <c r="F186" s="34" t="str">
        <f>IFERROR(__xludf.DUMMYFUNCTION("""COMPUTED_VALUE"""),"Expedição:ex-escolas-exponenciais:")</f>
        <v>Expedição:ex-escolas-exponenciais:</v>
      </c>
      <c r="G186" s="39">
        <f t="array" ref="G186">XLOOKUP(B186,'Página9'!A:A,'Página9'!F:F,"")</f>
        <v>287</v>
      </c>
      <c r="H186" s="39">
        <f t="array" ref="H186">XLOOKUP(B186,'Página9'!A:A,'Página9'!C:C,"")</f>
        <v>20</v>
      </c>
      <c r="I186" s="35" t="str">
        <f t="array" ref="I186">XLOOKUP(B186,'Página9'!A:A,'Página9'!G:G,"")</f>
        <v>OK</v>
      </c>
      <c r="J186" s="25" t="str">
        <f t="shared" si="1"/>
        <v>EXPEDIÇÃO</v>
      </c>
      <c r="K186" s="25" t="str">
        <f>IFERROR(__xludf.DUMMYFUNCTION("""COMPUTED_VALUE"""),"Yago Rocha Fernandes")</f>
        <v>Yago Rocha Fernandes</v>
      </c>
    </row>
    <row r="187">
      <c r="A187" s="37">
        <f>IFERROR(__xludf.DUMMYFUNCTION("""COMPUTED_VALUE"""),45924.0)</f>
        <v>45924</v>
      </c>
      <c r="B187" s="42" t="str">
        <f>IFERROR(__xludf.DUMMYFUNCTION("""COMPUTED_VALUE"""),"MCC015UC0008")</f>
        <v>MCC015UC0008</v>
      </c>
      <c r="C187" s="31" t="str">
        <f>IFERROR(__xludf.DUMMYFUNCTION("""COMPUTED_VALUE"""),"FILME STRETCH 500X25")</f>
        <v>FILME STRETCH 500X25</v>
      </c>
      <c r="D187" s="39">
        <f>IFERROR(__xludf.DUMMYFUNCTION("""COMPUTED_VALUE"""),2.0)</f>
        <v>2</v>
      </c>
      <c r="E187" s="34" t="str">
        <f>IFERROR(__xludf.DUMMYFUNCTION("""COMPUTED_VALUE"""),"Saída")</f>
        <v>Saída</v>
      </c>
      <c r="F187" s="34" t="str">
        <f>IFERROR(__xludf.DUMMYFUNCTION("""COMPUTED_VALUE"""),"Expedição:ex-escolas-exponenciais:")</f>
        <v>Expedição:ex-escolas-exponenciais:</v>
      </c>
      <c r="G187" s="39">
        <f t="array" ref="G187">XLOOKUP(B187,'Página9'!A:A,'Página9'!F:F,"")</f>
        <v>-158</v>
      </c>
      <c r="H187" s="39">
        <f t="array" ref="H187">XLOOKUP(B187,'Página9'!A:A,'Página9'!C:C,"")</f>
        <v>40</v>
      </c>
      <c r="I187" s="35" t="str">
        <f t="array" ref="I187">XLOOKUP(B187,'Página9'!A:A,'Página9'!G:G,"")</f>
        <v>REPOR ESTOQUE</v>
      </c>
      <c r="J187" s="25" t="str">
        <f t="shared" si="1"/>
        <v>EXPEDIÇÃO</v>
      </c>
      <c r="K187" s="25" t="str">
        <f>IFERROR(__xludf.DUMMYFUNCTION("""COMPUTED_VALUE"""),"Allison Breno Da Costa Borges Soares")</f>
        <v>Allison Breno Da Costa Borges Soares</v>
      </c>
    </row>
    <row r="188">
      <c r="A188" s="37">
        <f>IFERROR(__xludf.DUMMYFUNCTION("""COMPUTED_VALUE"""),45924.0)</f>
        <v>45924</v>
      </c>
      <c r="B188" s="42" t="str">
        <f>IFERROR(__xludf.DUMMYFUNCTION("""COMPUTED_VALUE"""),"MCC046UC0639")</f>
        <v>MCC046UC0639</v>
      </c>
      <c r="C188" s="31" t="str">
        <f>IFERROR(__xludf.DUMMYFUNCTION("""COMPUTED_VALUE"""),"PILHA ALCALINA ELGIN PEQ.AA")</f>
        <v>PILHA ALCALINA ELGIN PEQ.AA</v>
      </c>
      <c r="D188" s="39">
        <f>IFERROR(__xludf.DUMMYFUNCTION("""COMPUTED_VALUE"""),1.0)</f>
        <v>1</v>
      </c>
      <c r="E188" s="34" t="str">
        <f>IFERROR(__xludf.DUMMYFUNCTION("""COMPUTED_VALUE"""),"Saída")</f>
        <v>Saída</v>
      </c>
      <c r="F188" s="34" t="str">
        <f>IFERROR(__xludf.DUMMYFUNCTION("""COMPUTED_VALUE"""),"Estoque:package:")</f>
        <v>Estoque:package:</v>
      </c>
      <c r="G188" s="39">
        <f t="array" ref="G188">XLOOKUP(B188,'Página9'!A:A,'Página9'!F:F,"")</f>
        <v>-5</v>
      </c>
      <c r="H188" s="39">
        <f t="array" ref="H188">XLOOKUP(B188,'Página9'!A:A,'Página9'!C:C,"")</f>
        <v>4</v>
      </c>
      <c r="I188" s="35" t="str">
        <f t="array" ref="I188">XLOOKUP(B188,'Página9'!A:A,'Página9'!G:G,"")</f>
        <v>REPOR ESTOQUE</v>
      </c>
      <c r="J188" s="25" t="str">
        <f t="shared" si="1"/>
        <v>ESTOQUE</v>
      </c>
      <c r="K188" s="25" t="str">
        <f>IFERROR(__xludf.DUMMYFUNCTION("""COMPUTED_VALUE"""),"Paulo Henrique Chagas De Oliveira")</f>
        <v>Paulo Henrique Chagas De Oliveira</v>
      </c>
    </row>
    <row r="189">
      <c r="A189" s="37">
        <f>IFERROR(__xludf.DUMMYFUNCTION("""COMPUTED_VALUE"""),45926.0)</f>
        <v>45926</v>
      </c>
      <c r="B189" s="42" t="str">
        <f>IFERROR(__xludf.DUMMYFUNCTION("""COMPUTED_VALUE"""),"MCC046UC0215")</f>
        <v>MCC046UC0215</v>
      </c>
      <c r="C189" s="31" t="str">
        <f>IFERROR(__xludf.DUMMYFUNCTION("""COMPUTED_VALUE"""),"CANETA ESFEROGRAFICA ECONOMIC AZUL BIC")</f>
        <v>CANETA ESFEROGRAFICA ECONOMIC AZUL BIC</v>
      </c>
      <c r="D189" s="39">
        <f>IFERROR(__xludf.DUMMYFUNCTION("""COMPUTED_VALUE"""),1.0)</f>
        <v>1</v>
      </c>
      <c r="E189" s="34" t="str">
        <f>IFERROR(__xludf.DUMMYFUNCTION("""COMPUTED_VALUE"""),"Saída")</f>
        <v>Saída</v>
      </c>
      <c r="F189" s="34" t="str">
        <f>IFERROR(__xludf.DUMMYFUNCTION("""COMPUTED_VALUE"""),"Expedição:ex-escolas-exponenciais:")</f>
        <v>Expedição:ex-escolas-exponenciais:</v>
      </c>
      <c r="G189" s="39">
        <f t="array" ref="G189">XLOOKUP(B189,'Página9'!A:A,'Página9'!F:F,"")</f>
        <v>-20</v>
      </c>
      <c r="H189" s="39">
        <f t="array" ref="H189">XLOOKUP(B189,'Página9'!A:A,'Página9'!C:C,"")</f>
        <v>15</v>
      </c>
      <c r="I189" s="35" t="str">
        <f t="array" ref="I189">XLOOKUP(B189,'Página9'!A:A,'Página9'!G:G,"")</f>
        <v>REPOR ESTOQUE</v>
      </c>
      <c r="J189" s="25" t="str">
        <f t="shared" si="1"/>
        <v>EXPEDIÇÃO</v>
      </c>
      <c r="K189" s="25" t="str">
        <f>IFERROR(__xludf.DUMMYFUNCTION("""COMPUTED_VALUE"""),"Paulo Henrique Chagas De Oliveira")</f>
        <v>Paulo Henrique Chagas De Oliveira</v>
      </c>
    </row>
    <row r="190">
      <c r="A190" s="37">
        <f>IFERROR(__xludf.DUMMYFUNCTION("""COMPUTED_VALUE"""),45926.0)</f>
        <v>45926</v>
      </c>
      <c r="B190" s="42" t="str">
        <f>IFERROR(__xludf.DUMMYFUNCTION("""COMPUTED_VALUE"""),"MCC049UC0603")</f>
        <v>MCC049UC0603</v>
      </c>
      <c r="C190" s="31" t="str">
        <f>IFERROR(__xludf.DUMMYFUNCTION("""COMPUTED_VALUE"""),"PLASTICO PLASTIF. A-4 220/307 C/100 UN PROLAM")</f>
        <v>PLASTICO PLASTIF. A-4 220/307 C/100 UN PROLAM</v>
      </c>
      <c r="D190" s="39">
        <f>IFERROR(__xludf.DUMMYFUNCTION("""COMPUTED_VALUE"""),10.0)</f>
        <v>10</v>
      </c>
      <c r="E190" s="34" t="str">
        <f>IFERROR(__xludf.DUMMYFUNCTION("""COMPUTED_VALUE"""),"Saída")</f>
        <v>Saída</v>
      </c>
      <c r="F190" s="34" t="str">
        <f>IFERROR(__xludf.DUMMYFUNCTION("""COMPUTED_VALUE"""),"Expedição:ex-escolas-exponenciais:")</f>
        <v>Expedição:ex-escolas-exponenciais:</v>
      </c>
      <c r="G190" s="39">
        <f t="array" ref="G190">XLOOKUP(B190,'Página9'!A:A,'Página9'!F:F,"")</f>
        <v>-504</v>
      </c>
      <c r="H190" s="39">
        <f t="array" ref="H190">XLOOKUP(B190,'Página9'!A:A,'Página9'!C:C,"")</f>
        <v>150</v>
      </c>
      <c r="I190" s="35" t="str">
        <f t="array" ref="I190">XLOOKUP(B190,'Página9'!A:A,'Página9'!G:G,"")</f>
        <v>REPOR ESTOQUE</v>
      </c>
      <c r="J190" s="25" t="str">
        <f t="shared" si="1"/>
        <v>EXPEDIÇÃO</v>
      </c>
      <c r="K190" s="25" t="str">
        <f>IFERROR(__xludf.DUMMYFUNCTION("""COMPUTED_VALUE"""),"Jackson Alves Sales")</f>
        <v>Jackson Alves Sales</v>
      </c>
    </row>
    <row r="191">
      <c r="A191" s="37">
        <f>IFERROR(__xludf.DUMMYFUNCTION("""COMPUTED_VALUE"""),45926.0)</f>
        <v>45926</v>
      </c>
      <c r="B191" s="42" t="str">
        <f>IFERROR(__xludf.DUMMYFUNCTION("""COMPUTED_VALUE"""),"MCC049UC0603")</f>
        <v>MCC049UC0603</v>
      </c>
      <c r="C191" s="31" t="str">
        <f>IFERROR(__xludf.DUMMYFUNCTION("""COMPUTED_VALUE"""),"PLASTICO PLASTIF. A-4 220/307 C/100 UN PROLAM")</f>
        <v>PLASTICO PLASTIF. A-4 220/307 C/100 UN PROLAM</v>
      </c>
      <c r="D191" s="39">
        <f>IFERROR(__xludf.DUMMYFUNCTION("""COMPUTED_VALUE"""),10.0)</f>
        <v>10</v>
      </c>
      <c r="E191" s="34" t="str">
        <f>IFERROR(__xludf.DUMMYFUNCTION("""COMPUTED_VALUE"""),"Saída")</f>
        <v>Saída</v>
      </c>
      <c r="F191" s="34" t="str">
        <f>IFERROR(__xludf.DUMMYFUNCTION("""COMPUTED_VALUE"""),"Estoque:package:")</f>
        <v>Estoque:package:</v>
      </c>
      <c r="G191" s="39">
        <f t="array" ref="G191">XLOOKUP(B191,'Página9'!A:A,'Página9'!F:F,"")</f>
        <v>-504</v>
      </c>
      <c r="H191" s="39">
        <f t="array" ref="H191">XLOOKUP(B191,'Página9'!A:A,'Página9'!C:C,"")</f>
        <v>150</v>
      </c>
      <c r="I191" s="35" t="str">
        <f t="array" ref="I191">XLOOKUP(B191,'Página9'!A:A,'Página9'!G:G,"")</f>
        <v>REPOR ESTOQUE</v>
      </c>
      <c r="J191" s="25" t="str">
        <f t="shared" si="1"/>
        <v>ESTOQUE</v>
      </c>
      <c r="K191" s="25" t="str">
        <f>IFERROR(__xludf.DUMMYFUNCTION("""COMPUTED_VALUE"""),"Jackson Alves Sales")</f>
        <v>Jackson Alves Sales</v>
      </c>
    </row>
    <row r="192">
      <c r="A192" s="37">
        <f>IFERROR(__xludf.DUMMYFUNCTION("""COMPUTED_VALUE"""),45926.0)</f>
        <v>45926</v>
      </c>
      <c r="B192" s="42" t="str">
        <f>IFERROR(__xludf.DUMMYFUNCTION("""COMPUTED_VALUE"""),"MCC015UC0008")</f>
        <v>MCC015UC0008</v>
      </c>
      <c r="C192" s="31" t="str">
        <f>IFERROR(__xludf.DUMMYFUNCTION("""COMPUTED_VALUE"""),"FILME STRETCH 500X25")</f>
        <v>FILME STRETCH 500X25</v>
      </c>
      <c r="D192" s="39">
        <f>IFERROR(__xludf.DUMMYFUNCTION("""COMPUTED_VALUE"""),1.0)</f>
        <v>1</v>
      </c>
      <c r="E192" s="34" t="str">
        <f>IFERROR(__xludf.DUMMYFUNCTION("""COMPUTED_VALUE"""),"Saída")</f>
        <v>Saída</v>
      </c>
      <c r="F192" s="34" t="str">
        <f>IFERROR(__xludf.DUMMYFUNCTION("""COMPUTED_VALUE"""),"Expedição:ex-escolas-exponenciais:")</f>
        <v>Expedição:ex-escolas-exponenciais:</v>
      </c>
      <c r="G192" s="39">
        <f t="array" ref="G192">XLOOKUP(B192,'Página9'!A:A,'Página9'!F:F,"")</f>
        <v>-158</v>
      </c>
      <c r="H192" s="39">
        <f t="array" ref="H192">XLOOKUP(B192,'Página9'!A:A,'Página9'!C:C,"")</f>
        <v>40</v>
      </c>
      <c r="I192" s="35" t="str">
        <f t="array" ref="I192">XLOOKUP(B192,'Página9'!A:A,'Página9'!G:G,"")</f>
        <v>REPOR ESTOQUE</v>
      </c>
      <c r="J192" s="25" t="str">
        <f t="shared" si="1"/>
        <v>EXPEDIÇÃO</v>
      </c>
      <c r="K192" s="25" t="str">
        <f>IFERROR(__xludf.DUMMYFUNCTION("""COMPUTED_VALUE"""),"Jose Antoniel Silva Mesquita")</f>
        <v>Jose Antoniel Silva Mesquita</v>
      </c>
    </row>
    <row r="193">
      <c r="A193" s="37">
        <f>IFERROR(__xludf.DUMMYFUNCTION("""COMPUTED_VALUE"""),45926.0)</f>
        <v>45926</v>
      </c>
      <c r="B193" s="42" t="str">
        <f>IFERROR(__xludf.DUMMYFUNCTION("""COMPUTED_VALUE"""),"EMC015MO0007")</f>
        <v>EMC015MO0007</v>
      </c>
      <c r="C193" s="31" t="str">
        <f>IFERROR(__xludf.DUMMYFUNCTION("""COMPUTED_VALUE"""),"RIBBON CERA PRETO 110MMX74M")</f>
        <v>RIBBON CERA PRETO 110MMX74M</v>
      </c>
      <c r="D193" s="39">
        <f>IFERROR(__xludf.DUMMYFUNCTION("""COMPUTED_VALUE"""),2.0)</f>
        <v>2</v>
      </c>
      <c r="E193" s="34" t="str">
        <f>IFERROR(__xludf.DUMMYFUNCTION("""COMPUTED_VALUE"""),"Saída")</f>
        <v>Saída</v>
      </c>
      <c r="F193" s="34" t="str">
        <f>IFERROR(__xludf.DUMMYFUNCTION("""COMPUTED_VALUE"""),"Expedição:ex-escolas-exponenciais:")</f>
        <v>Expedição:ex-escolas-exponenciais:</v>
      </c>
      <c r="G193" s="39">
        <f t="array" ref="G193">XLOOKUP(B193,'Página9'!A:A,'Página9'!F:F,"")</f>
        <v>646</v>
      </c>
      <c r="H193" s="39">
        <f t="array" ref="H193">XLOOKUP(B193,'Página9'!A:A,'Página9'!C:C,"")</f>
        <v>5</v>
      </c>
      <c r="I193" s="35" t="str">
        <f t="array" ref="I193">XLOOKUP(B193,'Página9'!A:A,'Página9'!G:G,"")</f>
        <v>OK</v>
      </c>
      <c r="J193" s="25" t="str">
        <f t="shared" si="1"/>
        <v>EXPEDIÇÃO</v>
      </c>
      <c r="K193" s="25" t="str">
        <f>IFERROR(__xludf.DUMMYFUNCTION("""COMPUTED_VALUE"""),"Jackson Alves Sales")</f>
        <v>Jackson Alves Sales</v>
      </c>
    </row>
    <row r="194">
      <c r="A194" s="37">
        <f>IFERROR(__xludf.DUMMYFUNCTION("""COMPUTED_VALUE"""),45926.0)</f>
        <v>45926</v>
      </c>
      <c r="B194" s="42" t="str">
        <f>IFERROR(__xludf.DUMMYFUNCTION("""COMPUTED_VALUE"""),"MCC046UC0638")</f>
        <v>MCC046UC0638</v>
      </c>
      <c r="C194" s="31" t="str">
        <f>IFERROR(__xludf.DUMMYFUNCTION("""COMPUTED_VALUE"""),"PILHA ALCALINA ELGIN PALITO AAA")</f>
        <v>PILHA ALCALINA ELGIN PALITO AAA</v>
      </c>
      <c r="D194" s="39">
        <f>IFERROR(__xludf.DUMMYFUNCTION("""COMPUTED_VALUE"""),1.0)</f>
        <v>1</v>
      </c>
      <c r="E194" s="34" t="str">
        <f>IFERROR(__xludf.DUMMYFUNCTION("""COMPUTED_VALUE"""),"Saída")</f>
        <v>Saída</v>
      </c>
      <c r="F194" s="34" t="str">
        <f>IFERROR(__xludf.DUMMYFUNCTION("""COMPUTED_VALUE"""),"Expedição:ex-escolas-exponenciais:")</f>
        <v>Expedição:ex-escolas-exponenciais:</v>
      </c>
      <c r="G194" s="39">
        <f t="array" ref="G194">XLOOKUP(B194,'Página9'!A:A,'Página9'!F:F,"")</f>
        <v>32</v>
      </c>
      <c r="H194" s="39">
        <f t="array" ref="H194">XLOOKUP(B194,'Página9'!A:A,'Página9'!C:C,"")</f>
        <v>4</v>
      </c>
      <c r="I194" s="35" t="str">
        <f t="array" ref="I194">XLOOKUP(B194,'Página9'!A:A,'Página9'!G:G,"")</f>
        <v>OK</v>
      </c>
      <c r="J194" s="25" t="str">
        <f t="shared" si="1"/>
        <v>EXPEDIÇÃO</v>
      </c>
      <c r="K194" s="25" t="str">
        <f>IFERROR(__xludf.DUMMYFUNCTION("""COMPUTED_VALUE"""),"Raimundo Reurison Belarmino Da Gama")</f>
        <v>Raimundo Reurison Belarmino Da Gama</v>
      </c>
    </row>
    <row r="195">
      <c r="A195" s="37">
        <f>IFERROR(__xludf.DUMMYFUNCTION("""COMPUTED_VALUE"""),45926.0)</f>
        <v>45926</v>
      </c>
      <c r="B195" s="42" t="str">
        <f>IFERROR(__xludf.DUMMYFUNCTION("""COMPUTED_VALUE"""),"EMC015MO0001")</f>
        <v>EMC015MO0001</v>
      </c>
      <c r="C195" s="31" t="str">
        <f>IFERROR(__xludf.DUMMYFUNCTION("""COMPUTED_VALUE"""),"RIBBON CERA PRETO 110MMX300M")</f>
        <v>RIBBON CERA PRETO 110MMX300M</v>
      </c>
      <c r="D195" s="39">
        <f>IFERROR(__xludf.DUMMYFUNCTION("""COMPUTED_VALUE"""),6.0)</f>
        <v>6</v>
      </c>
      <c r="E195" s="34" t="str">
        <f>IFERROR(__xludf.DUMMYFUNCTION("""COMPUTED_VALUE"""),"Saída")</f>
        <v>Saída</v>
      </c>
      <c r="F195" s="34" t="str">
        <f>IFERROR(__xludf.DUMMYFUNCTION("""COMPUTED_VALUE"""),"Recebimento:truck:")</f>
        <v>Recebimento:truck:</v>
      </c>
      <c r="G195" s="39">
        <f t="array" ref="G195">XLOOKUP(B195,'Página9'!A:A,'Página9'!F:F,"")</f>
        <v>390</v>
      </c>
      <c r="H195" s="39">
        <f t="array" ref="H195">XLOOKUP(B195,'Página9'!A:A,'Página9'!C:C,"")</f>
        <v>5</v>
      </c>
      <c r="I195" s="35" t="str">
        <f t="array" ref="I195">XLOOKUP(B195,'Página9'!A:A,'Página9'!G:G,"")</f>
        <v>OK</v>
      </c>
      <c r="J195" s="25" t="str">
        <f t="shared" si="1"/>
        <v>RECEBIMENTO</v>
      </c>
      <c r="K195" s="25" t="str">
        <f>IFERROR(__xludf.DUMMYFUNCTION("""COMPUTED_VALUE"""),"Jackson Alves Sales")</f>
        <v>Jackson Alves Sales</v>
      </c>
    </row>
    <row r="196">
      <c r="A196" s="37">
        <f>IFERROR(__xludf.DUMMYFUNCTION("""COMPUTED_VALUE"""),45926.0)</f>
        <v>45926</v>
      </c>
      <c r="B196" s="42" t="str">
        <f>IFERROR(__xludf.DUMMYFUNCTION("""COMPUTED_VALUE"""),"MCC015UC0008")</f>
        <v>MCC015UC0008</v>
      </c>
      <c r="C196" s="31" t="str">
        <f>IFERROR(__xludf.DUMMYFUNCTION("""COMPUTED_VALUE"""),"FILME STRETCH 500X25")</f>
        <v>FILME STRETCH 500X25</v>
      </c>
      <c r="D196" s="39">
        <f>IFERROR(__xludf.DUMMYFUNCTION("""COMPUTED_VALUE"""),2.0)</f>
        <v>2</v>
      </c>
      <c r="E196" s="34" t="str">
        <f>IFERROR(__xludf.DUMMYFUNCTION("""COMPUTED_VALUE"""),"Saída")</f>
        <v>Saída</v>
      </c>
      <c r="F196" s="34" t="str">
        <f>IFERROR(__xludf.DUMMYFUNCTION("""COMPUTED_VALUE"""),"PMM:livro-voador:")</f>
        <v>PMM:livro-voador:</v>
      </c>
      <c r="G196" s="39">
        <f t="array" ref="G196">XLOOKUP(B196,'Página9'!A:A,'Página9'!F:F,"")</f>
        <v>-158</v>
      </c>
      <c r="H196" s="39">
        <f t="array" ref="H196">XLOOKUP(B196,'Página9'!A:A,'Página9'!C:C,"")</f>
        <v>40</v>
      </c>
      <c r="I196" s="35" t="str">
        <f t="array" ref="I196">XLOOKUP(B196,'Página9'!A:A,'Página9'!G:G,"")</f>
        <v>REPOR ESTOQUE</v>
      </c>
      <c r="J196" s="25" t="str">
        <f t="shared" si="1"/>
        <v>PMM</v>
      </c>
      <c r="K196" s="25" t="str">
        <f>IFERROR(__xludf.DUMMYFUNCTION("""COMPUTED_VALUE"""),"Pericles Cavalcante De Lima Maciel")</f>
        <v>Pericles Cavalcante De Lima Maciel</v>
      </c>
    </row>
    <row r="197">
      <c r="A197" s="37">
        <f>IFERROR(__xludf.DUMMYFUNCTION("""COMPUTED_VALUE"""),45926.0)</f>
        <v>45926</v>
      </c>
      <c r="B197" s="42" t="str">
        <f>IFERROR(__xludf.DUMMYFUNCTION("""COMPUTED_VALUE"""),"MCC046UC0215")</f>
        <v>MCC046UC0215</v>
      </c>
      <c r="C197" s="31" t="str">
        <f>IFERROR(__xludf.DUMMYFUNCTION("""COMPUTED_VALUE"""),"CANETA ESFEROGRAFICA ECONOMIC AZUL BIC")</f>
        <v>CANETA ESFEROGRAFICA ECONOMIC AZUL BIC</v>
      </c>
      <c r="D197" s="39">
        <f>IFERROR(__xludf.DUMMYFUNCTION("""COMPUTED_VALUE"""),15.0)</f>
        <v>15</v>
      </c>
      <c r="E197" s="34" t="str">
        <f>IFERROR(__xludf.DUMMYFUNCTION("""COMPUTED_VALUE"""),"Saída")</f>
        <v>Saída</v>
      </c>
      <c r="F197" s="34" t="str">
        <f>IFERROR(__xludf.DUMMYFUNCTION("""COMPUTED_VALUE"""),"Recebimento:truck:")</f>
        <v>Recebimento:truck:</v>
      </c>
      <c r="G197" s="39">
        <f t="array" ref="G197">XLOOKUP(B197,'Página9'!A:A,'Página9'!F:F,"")</f>
        <v>-20</v>
      </c>
      <c r="H197" s="39">
        <f t="array" ref="H197">XLOOKUP(B197,'Página9'!A:A,'Página9'!C:C,"")</f>
        <v>15</v>
      </c>
      <c r="I197" s="35" t="str">
        <f t="array" ref="I197">XLOOKUP(B197,'Página9'!A:A,'Página9'!G:G,"")</f>
        <v>REPOR ESTOQUE</v>
      </c>
      <c r="J197" s="25" t="str">
        <f t="shared" si="1"/>
        <v>RECEBIMENTO</v>
      </c>
      <c r="K197" s="25" t="str">
        <f>IFERROR(__xludf.DUMMYFUNCTION("""COMPUTED_VALUE"""),"Jose Edervanio Lima Mateus")</f>
        <v>Jose Edervanio Lima Mateus</v>
      </c>
    </row>
    <row r="198">
      <c r="A198" s="37">
        <f>IFERROR(__xludf.DUMMYFUNCTION("""COMPUTED_VALUE"""),45930.0)</f>
        <v>45930</v>
      </c>
      <c r="B198" s="42" t="str">
        <f>IFERROR(__xludf.DUMMYFUNCTION("""COMPUTED_VALUE"""),"EMC015MO0001")</f>
        <v>EMC015MO0001</v>
      </c>
      <c r="C198" s="31" t="str">
        <f>IFERROR(__xludf.DUMMYFUNCTION("""COMPUTED_VALUE"""),"RIBBON CERA PRETO 110MMX300M")</f>
        <v>RIBBON CERA PRETO 110MMX300M</v>
      </c>
      <c r="D198" s="39">
        <f>IFERROR(__xludf.DUMMYFUNCTION("""COMPUTED_VALUE"""),1.0)</f>
        <v>1</v>
      </c>
      <c r="E198" s="34" t="str">
        <f>IFERROR(__xludf.DUMMYFUNCTION("""COMPUTED_VALUE"""),"Saída")</f>
        <v>Saída</v>
      </c>
      <c r="F198" s="34" t="str">
        <f>IFERROR(__xludf.DUMMYFUNCTION("""COMPUTED_VALUE"""),"PMM:livro-voador:")</f>
        <v>PMM:livro-voador:</v>
      </c>
      <c r="G198" s="39">
        <f t="array" ref="G198">XLOOKUP(B198,'Página9'!A:A,'Página9'!F:F,"")</f>
        <v>390</v>
      </c>
      <c r="H198" s="39">
        <f t="array" ref="H198">XLOOKUP(B198,'Página9'!A:A,'Página9'!C:C,"")</f>
        <v>5</v>
      </c>
      <c r="I198" s="35" t="str">
        <f t="array" ref="I198">XLOOKUP(B198,'Página9'!A:A,'Página9'!G:G,"")</f>
        <v>OK</v>
      </c>
      <c r="J198" s="25" t="str">
        <f t="shared" si="1"/>
        <v>PMM</v>
      </c>
      <c r="K198" s="25" t="str">
        <f>IFERROR(__xludf.DUMMYFUNCTION("""COMPUTED_VALUE"""),"Francisco Samuel Trindade Nascimento")</f>
        <v>Francisco Samuel Trindade Nascimento</v>
      </c>
    </row>
    <row r="199">
      <c r="A199" s="37">
        <f>IFERROR(__xludf.DUMMYFUNCTION("""COMPUTED_VALUE"""),45930.0)</f>
        <v>45930</v>
      </c>
      <c r="B199" s="42" t="str">
        <f>IFERROR(__xludf.DUMMYFUNCTION("""COMPUTED_VALUE"""),"MCC015UC0045")</f>
        <v>MCC015UC0045</v>
      </c>
      <c r="C199" s="31" t="str">
        <f>IFERROR(__xludf.DUMMYFUNCTION("""COMPUTED_VALUE"""),"FITA ADESIVA 69MM X 100M")</f>
        <v>FITA ADESIVA 69MM X 100M</v>
      </c>
      <c r="D199" s="39">
        <f>IFERROR(__xludf.DUMMYFUNCTION("""COMPUTED_VALUE"""),4.0)</f>
        <v>4</v>
      </c>
      <c r="E199" s="34" t="str">
        <f>IFERROR(__xludf.DUMMYFUNCTION("""COMPUTED_VALUE"""),"Saída")</f>
        <v>Saída</v>
      </c>
      <c r="F199" s="34" t="str">
        <f>IFERROR(__xludf.DUMMYFUNCTION("""COMPUTED_VALUE"""),"Expedição:ex-escolas-exponenciais:")</f>
        <v>Expedição:ex-escolas-exponenciais:</v>
      </c>
      <c r="G199" s="39">
        <f t="array" ref="G199">XLOOKUP(B199,'Página9'!A:A,'Página9'!F:F,"")</f>
        <v>287</v>
      </c>
      <c r="H199" s="39">
        <f t="array" ref="H199">XLOOKUP(B199,'Página9'!A:A,'Página9'!C:C,"")</f>
        <v>20</v>
      </c>
      <c r="I199" s="35" t="str">
        <f t="array" ref="I199">XLOOKUP(B199,'Página9'!A:A,'Página9'!G:G,"")</f>
        <v>OK</v>
      </c>
      <c r="J199" s="25" t="str">
        <f t="shared" si="1"/>
        <v>EXPEDIÇÃO</v>
      </c>
      <c r="K199" s="25" t="str">
        <f>IFERROR(__xludf.DUMMYFUNCTION("""COMPUTED_VALUE"""),"Allison Breno Da Costa Borges Soares")</f>
        <v>Allison Breno Da Costa Borges Soares</v>
      </c>
    </row>
    <row r="200">
      <c r="A200" s="37">
        <f>IFERROR(__xludf.DUMMYFUNCTION("""COMPUTED_VALUE"""),45930.0)</f>
        <v>45930</v>
      </c>
      <c r="B200" s="42" t="str">
        <f>IFERROR(__xludf.DUMMYFUNCTION("""COMPUTED_VALUE"""),"MCC015UC0008")</f>
        <v>MCC015UC0008</v>
      </c>
      <c r="C200" s="31" t="str">
        <f>IFERROR(__xludf.DUMMYFUNCTION("""COMPUTED_VALUE"""),"FILME STRETCH 500X25")</f>
        <v>FILME STRETCH 500X25</v>
      </c>
      <c r="D200" s="39">
        <f>IFERROR(__xludf.DUMMYFUNCTION("""COMPUTED_VALUE"""),2.0)</f>
        <v>2</v>
      </c>
      <c r="E200" s="34" t="str">
        <f>IFERROR(__xludf.DUMMYFUNCTION("""COMPUTED_VALUE"""),"Saída")</f>
        <v>Saída</v>
      </c>
      <c r="F200" s="34" t="str">
        <f>IFERROR(__xludf.DUMMYFUNCTION("""COMPUTED_VALUE"""),"Expedição:ex-escolas-exponenciais:")</f>
        <v>Expedição:ex-escolas-exponenciais:</v>
      </c>
      <c r="G200" s="39">
        <f t="array" ref="G200">XLOOKUP(B200,'Página9'!A:A,'Página9'!F:F,"")</f>
        <v>-158</v>
      </c>
      <c r="H200" s="39">
        <f t="array" ref="H200">XLOOKUP(B200,'Página9'!A:A,'Página9'!C:C,"")</f>
        <v>40</v>
      </c>
      <c r="I200" s="35" t="str">
        <f t="array" ref="I200">XLOOKUP(B200,'Página9'!A:A,'Página9'!G:G,"")</f>
        <v>REPOR ESTOQUE</v>
      </c>
      <c r="J200" s="25" t="str">
        <f t="shared" si="1"/>
        <v>EXPEDIÇÃO</v>
      </c>
      <c r="K200" s="25" t="str">
        <f>IFERROR(__xludf.DUMMYFUNCTION("""COMPUTED_VALUE"""),"Marcio Sthefani Bessa De Oliveira")</f>
        <v>Marcio Sthefani Bessa De Oliveira</v>
      </c>
    </row>
    <row r="201">
      <c r="A201" s="37">
        <f>IFERROR(__xludf.DUMMYFUNCTION("""COMPUTED_VALUE"""),45930.0)</f>
        <v>45930</v>
      </c>
      <c r="B201" s="42" t="str">
        <f>IFERROR(__xludf.DUMMYFUNCTION("""COMPUTED_VALUE"""),"MCC015UC0045")</f>
        <v>MCC015UC0045</v>
      </c>
      <c r="C201" s="31" t="str">
        <f>IFERROR(__xludf.DUMMYFUNCTION("""COMPUTED_VALUE"""),"FITA ADESIVA 69MM X 100M")</f>
        <v>FITA ADESIVA 69MM X 100M</v>
      </c>
      <c r="D201" s="39">
        <f>IFERROR(__xludf.DUMMYFUNCTION("""COMPUTED_VALUE"""),20.0)</f>
        <v>20</v>
      </c>
      <c r="E201" s="34" t="str">
        <f>IFERROR(__xludf.DUMMYFUNCTION("""COMPUTED_VALUE"""),"Saída")</f>
        <v>Saída</v>
      </c>
      <c r="F201" s="34" t="str">
        <f>IFERROR(__xludf.DUMMYFUNCTION("""COMPUTED_VALUE"""),"Expedição:ex-escolas-exponenciais:")</f>
        <v>Expedição:ex-escolas-exponenciais:</v>
      </c>
      <c r="G201" s="39">
        <f t="array" ref="G201">XLOOKUP(B201,'Página9'!A:A,'Página9'!F:F,"")</f>
        <v>287</v>
      </c>
      <c r="H201" s="39">
        <f t="array" ref="H201">XLOOKUP(B201,'Página9'!A:A,'Página9'!C:C,"")</f>
        <v>20</v>
      </c>
      <c r="I201" s="35" t="str">
        <f t="array" ref="I201">XLOOKUP(B201,'Página9'!A:A,'Página9'!G:G,"")</f>
        <v>OK</v>
      </c>
      <c r="J201" s="25" t="str">
        <f t="shared" si="1"/>
        <v>EXPEDIÇÃO</v>
      </c>
      <c r="K201" s="25" t="str">
        <f>IFERROR(__xludf.DUMMYFUNCTION("""COMPUTED_VALUE"""),"Jose Edervanio Lima Mateus")</f>
        <v>Jose Edervanio Lima Mateus</v>
      </c>
    </row>
    <row r="202">
      <c r="A202" s="37">
        <f>IFERROR(__xludf.DUMMYFUNCTION("""COMPUTED_VALUE"""),45930.0)</f>
        <v>45930</v>
      </c>
      <c r="B202" s="42" t="str">
        <f>IFERROR(__xludf.DUMMYFUNCTION("""COMPUTED_VALUE"""),"MCC015UC0008")</f>
        <v>MCC015UC0008</v>
      </c>
      <c r="C202" s="31" t="str">
        <f>IFERROR(__xludf.DUMMYFUNCTION("""COMPUTED_VALUE"""),"FILME STRETCH 500X25")</f>
        <v>FILME STRETCH 500X25</v>
      </c>
      <c r="D202" s="39">
        <f>IFERROR(__xludf.DUMMYFUNCTION("""COMPUTED_VALUE"""),1.0)</f>
        <v>1</v>
      </c>
      <c r="E202" s="34" t="str">
        <f>IFERROR(__xludf.DUMMYFUNCTION("""COMPUTED_VALUE"""),"Saída")</f>
        <v>Saída</v>
      </c>
      <c r="F202" s="34" t="str">
        <f>IFERROR(__xludf.DUMMYFUNCTION("""COMPUTED_VALUE"""),"Expedição:ex-escolas-exponenciais:")</f>
        <v>Expedição:ex-escolas-exponenciais:</v>
      </c>
      <c r="G202" s="39">
        <f t="array" ref="G202">XLOOKUP(B202,'Página9'!A:A,'Página9'!F:F,"")</f>
        <v>-158</v>
      </c>
      <c r="H202" s="39">
        <f t="array" ref="H202">XLOOKUP(B202,'Página9'!A:A,'Página9'!C:C,"")</f>
        <v>40</v>
      </c>
      <c r="I202" s="35" t="str">
        <f t="array" ref="I202">XLOOKUP(B202,'Página9'!A:A,'Página9'!G:G,"")</f>
        <v>REPOR ESTOQUE</v>
      </c>
      <c r="J202" s="25" t="str">
        <f t="shared" si="1"/>
        <v>EXPEDIÇÃO</v>
      </c>
      <c r="K202" s="25" t="str">
        <f>IFERROR(__xludf.DUMMYFUNCTION("""COMPUTED_VALUE"""),"Rubens Ribeiro Lisboa")</f>
        <v>Rubens Ribeiro Lisboa</v>
      </c>
    </row>
    <row r="203">
      <c r="A203" s="37">
        <f>IFERROR(__xludf.DUMMYFUNCTION("""COMPUTED_VALUE"""),45930.0)</f>
        <v>45930</v>
      </c>
      <c r="B203" s="42" t="str">
        <f>IFERROR(__xludf.DUMMYFUNCTION("""COMPUTED_VALUE"""),"MCC015UC0008")</f>
        <v>MCC015UC0008</v>
      </c>
      <c r="C203" s="31" t="str">
        <f>IFERROR(__xludf.DUMMYFUNCTION("""COMPUTED_VALUE"""),"FILME STRETCH 500X25")</f>
        <v>FILME STRETCH 500X25</v>
      </c>
      <c r="D203" s="39">
        <f>IFERROR(__xludf.DUMMYFUNCTION("""COMPUTED_VALUE"""),2.0)</f>
        <v>2</v>
      </c>
      <c r="E203" s="34" t="str">
        <f>IFERROR(__xludf.DUMMYFUNCTION("""COMPUTED_VALUE"""),"Saída")</f>
        <v>Saída</v>
      </c>
      <c r="F203" s="34" t="str">
        <f>IFERROR(__xludf.DUMMYFUNCTION("""COMPUTED_VALUE"""),"Estoque:package:")</f>
        <v>Estoque:package:</v>
      </c>
      <c r="G203" s="39">
        <f t="array" ref="G203">XLOOKUP(B203,'Página9'!A:A,'Página9'!F:F,"")</f>
        <v>-158</v>
      </c>
      <c r="H203" s="39">
        <f t="array" ref="H203">XLOOKUP(B203,'Página9'!A:A,'Página9'!C:C,"")</f>
        <v>40</v>
      </c>
      <c r="I203" s="35" t="str">
        <f t="array" ref="I203">XLOOKUP(B203,'Página9'!A:A,'Página9'!G:G,"")</f>
        <v>REPOR ESTOQUE</v>
      </c>
      <c r="J203" s="25" t="str">
        <f t="shared" si="1"/>
        <v>ESTOQUE</v>
      </c>
      <c r="K203" s="25" t="str">
        <f>IFERROR(__xludf.DUMMYFUNCTION("""COMPUTED_VALUE"""),"Rejane Fontes De Sousa")</f>
        <v>Rejane Fontes De Sousa</v>
      </c>
    </row>
    <row r="204">
      <c r="A204" s="37">
        <f>IFERROR(__xludf.DUMMYFUNCTION("""COMPUTED_VALUE"""),45930.0)</f>
        <v>45930</v>
      </c>
      <c r="B204" s="42" t="str">
        <f>IFERROR(__xludf.DUMMYFUNCTION("""COMPUTED_VALUE"""),"MCC015UC0008")</f>
        <v>MCC015UC0008</v>
      </c>
      <c r="C204" s="31" t="str">
        <f>IFERROR(__xludf.DUMMYFUNCTION("""COMPUTED_VALUE"""),"FILME STRETCH 500X25")</f>
        <v>FILME STRETCH 500X25</v>
      </c>
      <c r="D204" s="39">
        <f>IFERROR(__xludf.DUMMYFUNCTION("""COMPUTED_VALUE"""),2.0)</f>
        <v>2</v>
      </c>
      <c r="E204" s="34" t="str">
        <f>IFERROR(__xludf.DUMMYFUNCTION("""COMPUTED_VALUE"""),"Saída")</f>
        <v>Saída</v>
      </c>
      <c r="F204" s="34" t="str">
        <f>IFERROR(__xludf.DUMMYFUNCTION("""COMPUTED_VALUE"""),"Estoque:package:")</f>
        <v>Estoque:package:</v>
      </c>
      <c r="G204" s="39">
        <f t="array" ref="G204">XLOOKUP(B204,'Página9'!A:A,'Página9'!F:F,"")</f>
        <v>-158</v>
      </c>
      <c r="H204" s="39">
        <f t="array" ref="H204">XLOOKUP(B204,'Página9'!A:A,'Página9'!C:C,"")</f>
        <v>40</v>
      </c>
      <c r="I204" s="35" t="str">
        <f t="array" ref="I204">XLOOKUP(B204,'Página9'!A:A,'Página9'!G:G,"")</f>
        <v>REPOR ESTOQUE</v>
      </c>
      <c r="J204" s="25" t="str">
        <f t="shared" si="1"/>
        <v>ESTOQUE</v>
      </c>
      <c r="K204" s="25" t="str">
        <f>IFERROR(__xludf.DUMMYFUNCTION("""COMPUTED_VALUE"""),"Marcio Sthefani Bessa De Oliveira")</f>
        <v>Marcio Sthefani Bessa De Oliveira</v>
      </c>
    </row>
    <row r="205">
      <c r="A205" s="37">
        <f>IFERROR(__xludf.DUMMYFUNCTION("""COMPUTED_VALUE"""),45931.0)</f>
        <v>45931</v>
      </c>
      <c r="B205" s="42" t="str">
        <f>IFERROR(__xludf.DUMMYFUNCTION("""COMPUTED_VALUE"""),"MCC049UC0288")</f>
        <v>MCC049UC0288</v>
      </c>
      <c r="C205" s="31" t="str">
        <f>IFERROR(__xludf.DUMMYFUNCTION("""COMPUTED_VALUE"""),"FITILHO POLIPROPILENO P/EMBALAGEM")</f>
        <v>FITILHO POLIPROPILENO P/EMBALAGEM</v>
      </c>
      <c r="D205" s="39">
        <f>IFERROR(__xludf.DUMMYFUNCTION("""COMPUTED_VALUE"""),1.0)</f>
        <v>1</v>
      </c>
      <c r="E205" s="34" t="str">
        <f>IFERROR(__xludf.DUMMYFUNCTION("""COMPUTED_VALUE"""),"Saída")</f>
        <v>Saída</v>
      </c>
      <c r="F205" s="34" t="str">
        <f>IFERROR(__xludf.DUMMYFUNCTION("""COMPUTED_VALUE"""),"Recebimento:truck:")</f>
        <v>Recebimento:truck:</v>
      </c>
      <c r="G205" s="39">
        <f t="array" ref="G205">XLOOKUP(B205,'Página9'!A:A,'Página9'!F:F,"")</f>
        <v>-24</v>
      </c>
      <c r="H205" s="39">
        <f t="array" ref="H205">XLOOKUP(B205,'Página9'!A:A,'Página9'!C:C,"")</f>
        <v>2</v>
      </c>
      <c r="I205" s="35" t="str">
        <f t="array" ref="I205">XLOOKUP(B205,'Página9'!A:A,'Página9'!G:G,"")</f>
        <v>REPOR ESTOQUE</v>
      </c>
      <c r="J205" s="25" t="str">
        <f t="shared" si="1"/>
        <v>RECEBIMENTO</v>
      </c>
      <c r="K205" s="25" t="str">
        <f>IFERROR(__xludf.DUMMYFUNCTION("""COMPUTED_VALUE"""),"Pericles Cavalcante De Lima Maciel")</f>
        <v>Pericles Cavalcante De Lima Maciel</v>
      </c>
    </row>
    <row r="206">
      <c r="A206" s="37">
        <f>IFERROR(__xludf.DUMMYFUNCTION("""COMPUTED_VALUE"""),45931.0)</f>
        <v>45931</v>
      </c>
      <c r="B206" s="42" t="str">
        <f>IFERROR(__xludf.DUMMYFUNCTION("""COMPUTED_VALUE"""),"MCC015UC0008")</f>
        <v>MCC015UC0008</v>
      </c>
      <c r="C206" s="31" t="str">
        <f>IFERROR(__xludf.DUMMYFUNCTION("""COMPUTED_VALUE"""),"FILME STRETCH 500X25")</f>
        <v>FILME STRETCH 500X25</v>
      </c>
      <c r="D206" s="39">
        <f>IFERROR(__xludf.DUMMYFUNCTION("""COMPUTED_VALUE"""),3.0)</f>
        <v>3</v>
      </c>
      <c r="E206" s="34" t="str">
        <f>IFERROR(__xludf.DUMMYFUNCTION("""COMPUTED_VALUE"""),"Saída")</f>
        <v>Saída</v>
      </c>
      <c r="F206" s="34" t="str">
        <f>IFERROR(__xludf.DUMMYFUNCTION("""COMPUTED_VALUE"""),"PMM:livro-voador:")</f>
        <v>PMM:livro-voador:</v>
      </c>
      <c r="G206" s="39">
        <f t="array" ref="G206">XLOOKUP(B206,'Página9'!A:A,'Página9'!F:F,"")</f>
        <v>-158</v>
      </c>
      <c r="H206" s="39">
        <f t="array" ref="H206">XLOOKUP(B206,'Página9'!A:A,'Página9'!C:C,"")</f>
        <v>40</v>
      </c>
      <c r="I206" s="35" t="str">
        <f t="array" ref="I206">XLOOKUP(B206,'Página9'!A:A,'Página9'!G:G,"")</f>
        <v>REPOR ESTOQUE</v>
      </c>
      <c r="J206" s="25" t="str">
        <f t="shared" si="1"/>
        <v>PMM</v>
      </c>
      <c r="K206" s="25" t="str">
        <f>IFERROR(__xludf.DUMMYFUNCTION("""COMPUTED_VALUE"""),"Pericles Cavalcante De Lima Maciel")</f>
        <v>Pericles Cavalcante De Lima Maciel</v>
      </c>
    </row>
    <row r="207">
      <c r="A207" s="37">
        <f>IFERROR(__xludf.DUMMYFUNCTION("""COMPUTED_VALUE"""),45931.0)</f>
        <v>45931</v>
      </c>
      <c r="B207" s="42" t="str">
        <f>IFERROR(__xludf.DUMMYFUNCTION("""COMPUTED_VALUE"""),"MCC046UC0695")</f>
        <v>MCC046UC0695</v>
      </c>
      <c r="C207" s="31" t="str">
        <f>IFERROR(__xludf.DUMMYFUNCTION("""COMPUTED_VALUE"""),"ETIQUETA COUCHE 98X50X1")</f>
        <v>ETIQUETA COUCHE 98X50X1</v>
      </c>
      <c r="D207" s="39">
        <f>IFERROR(__xludf.DUMMYFUNCTION("""COMPUTED_VALUE"""),10.0)</f>
        <v>10</v>
      </c>
      <c r="E207" s="34" t="str">
        <f>IFERROR(__xludf.DUMMYFUNCTION("""COMPUTED_VALUE"""),"Saída")</f>
        <v>Saída</v>
      </c>
      <c r="F207" s="34" t="str">
        <f>IFERROR(__xludf.DUMMYFUNCTION("""COMPUTED_VALUE"""),"Expedição:ex-escolas-exponenciais:")</f>
        <v>Expedição:ex-escolas-exponenciais:</v>
      </c>
      <c r="G207" s="39">
        <f t="array" ref="G207">XLOOKUP(B207,'Página9'!A:A,'Página9'!F:F,"")</f>
        <v>256</v>
      </c>
      <c r="H207" s="39">
        <f t="array" ref="H207">XLOOKUP(B207,'Página9'!A:A,'Página9'!C:C,"")</f>
        <v>20</v>
      </c>
      <c r="I207" s="35" t="str">
        <f t="array" ref="I207">XLOOKUP(B207,'Página9'!A:A,'Página9'!G:G,"")</f>
        <v>OK</v>
      </c>
      <c r="J207" s="25" t="str">
        <f t="shared" si="1"/>
        <v>EXPEDIÇÃO</v>
      </c>
      <c r="K207" s="25" t="str">
        <f>IFERROR(__xludf.DUMMYFUNCTION("""COMPUTED_VALUE"""),"Jose Antoniel Silva Mesquita")</f>
        <v>Jose Antoniel Silva Mesquita</v>
      </c>
    </row>
    <row r="208">
      <c r="A208" s="37">
        <f>IFERROR(__xludf.DUMMYFUNCTION("""COMPUTED_VALUE"""),45931.0)</f>
        <v>45931</v>
      </c>
      <c r="B208" s="42" t="str">
        <f>IFERROR(__xludf.DUMMYFUNCTION("""COMPUTED_VALUE"""),"MCC015UC0045")</f>
        <v>MCC015UC0045</v>
      </c>
      <c r="C208" s="31" t="str">
        <f>IFERROR(__xludf.DUMMYFUNCTION("""COMPUTED_VALUE"""),"FITA ADESIVA 69MM X 100M")</f>
        <v>FITA ADESIVA 69MM X 100M</v>
      </c>
      <c r="D208" s="39">
        <f>IFERROR(__xludf.DUMMYFUNCTION("""COMPUTED_VALUE"""),2.0)</f>
        <v>2</v>
      </c>
      <c r="E208" s="34" t="str">
        <f>IFERROR(__xludf.DUMMYFUNCTION("""COMPUTED_VALUE"""),"Saída")</f>
        <v>Saída</v>
      </c>
      <c r="F208" s="34" t="str">
        <f>IFERROR(__xludf.DUMMYFUNCTION("""COMPUTED_VALUE"""),"Recebimento:truck:")</f>
        <v>Recebimento:truck:</v>
      </c>
      <c r="G208" s="39">
        <f t="array" ref="G208">XLOOKUP(B208,'Página9'!A:A,'Página9'!F:F,"")</f>
        <v>287</v>
      </c>
      <c r="H208" s="39">
        <f t="array" ref="H208">XLOOKUP(B208,'Página9'!A:A,'Página9'!C:C,"")</f>
        <v>20</v>
      </c>
      <c r="I208" s="35" t="str">
        <f t="array" ref="I208">XLOOKUP(B208,'Página9'!A:A,'Página9'!G:G,"")</f>
        <v>OK</v>
      </c>
      <c r="J208" s="25" t="str">
        <f t="shared" si="1"/>
        <v>RECEBIMENTO</v>
      </c>
      <c r="K208" s="25" t="str">
        <f>IFERROR(__xludf.DUMMYFUNCTION("""COMPUTED_VALUE"""),"Jose Antoniel Silva Mesquita")</f>
        <v>Jose Antoniel Silva Mesquita</v>
      </c>
    </row>
    <row r="209">
      <c r="A209" s="37">
        <f>IFERROR(__xludf.DUMMYFUNCTION("""COMPUTED_VALUE"""),45931.0)</f>
        <v>45931</v>
      </c>
      <c r="B209" s="42" t="str">
        <f>IFERROR(__xludf.DUMMYFUNCTION("""COMPUTED_VALUE"""),"MCC049UC0603")</f>
        <v>MCC049UC0603</v>
      </c>
      <c r="C209" s="31" t="str">
        <f>IFERROR(__xludf.DUMMYFUNCTION("""COMPUTED_VALUE"""),"PLASTICO PLASTIF. A-4 220/307 C/100 UN PROLAM")</f>
        <v>PLASTICO PLASTIF. A-4 220/307 C/100 UN PROLAM</v>
      </c>
      <c r="D209" s="39">
        <f>IFERROR(__xludf.DUMMYFUNCTION("""COMPUTED_VALUE"""),1.0)</f>
        <v>1</v>
      </c>
      <c r="E209" s="34" t="str">
        <f>IFERROR(__xludf.DUMMYFUNCTION("""COMPUTED_VALUE"""),"Saída")</f>
        <v>Saída</v>
      </c>
      <c r="F209" s="34" t="str">
        <f>IFERROR(__xludf.DUMMYFUNCTION("""COMPUTED_VALUE"""),"Recebimento:truck:")</f>
        <v>Recebimento:truck:</v>
      </c>
      <c r="G209" s="39">
        <f t="array" ref="G209">XLOOKUP(B209,'Página9'!A:A,'Página9'!F:F,"")</f>
        <v>-504</v>
      </c>
      <c r="H209" s="39">
        <f t="array" ref="H209">XLOOKUP(B209,'Página9'!A:A,'Página9'!C:C,"")</f>
        <v>150</v>
      </c>
      <c r="I209" s="35" t="str">
        <f t="array" ref="I209">XLOOKUP(B209,'Página9'!A:A,'Página9'!G:G,"")</f>
        <v>REPOR ESTOQUE</v>
      </c>
      <c r="J209" s="25" t="str">
        <f t="shared" si="1"/>
        <v>RECEBIMENTO</v>
      </c>
      <c r="K209" s="25" t="str">
        <f>IFERROR(__xludf.DUMMYFUNCTION("""COMPUTED_VALUE"""),"Yago Rocha Fernandes")</f>
        <v>Yago Rocha Fernandes</v>
      </c>
    </row>
    <row r="210">
      <c r="A210" s="37">
        <f>IFERROR(__xludf.DUMMYFUNCTION("""COMPUTED_VALUE"""),45931.0)</f>
        <v>45931</v>
      </c>
      <c r="B210" s="42" t="str">
        <f>IFERROR(__xludf.DUMMYFUNCTION("""COMPUTED_VALUE"""),"MCC015UC0045")</f>
        <v>MCC015UC0045</v>
      </c>
      <c r="C210" s="31" t="str">
        <f>IFERROR(__xludf.DUMMYFUNCTION("""COMPUTED_VALUE"""),"FITA ADESIVA 69MM X 100M")</f>
        <v>FITA ADESIVA 69MM X 100M</v>
      </c>
      <c r="D210" s="39">
        <f>IFERROR(__xludf.DUMMYFUNCTION("""COMPUTED_VALUE"""),4.0)</f>
        <v>4</v>
      </c>
      <c r="E210" s="34" t="str">
        <f>IFERROR(__xludf.DUMMYFUNCTION("""COMPUTED_VALUE"""),"Saída")</f>
        <v>Saída</v>
      </c>
      <c r="F210" s="34" t="str">
        <f>IFERROR(__xludf.DUMMYFUNCTION("""COMPUTED_VALUE"""),"Expedição:ex-escolas-exponenciais:")</f>
        <v>Expedição:ex-escolas-exponenciais:</v>
      </c>
      <c r="G210" s="39">
        <f t="array" ref="G210">XLOOKUP(B210,'Página9'!A:A,'Página9'!F:F,"")</f>
        <v>287</v>
      </c>
      <c r="H210" s="39">
        <f t="array" ref="H210">XLOOKUP(B210,'Página9'!A:A,'Página9'!C:C,"")</f>
        <v>20</v>
      </c>
      <c r="I210" s="35" t="str">
        <f t="array" ref="I210">XLOOKUP(B210,'Página9'!A:A,'Página9'!G:G,"")</f>
        <v>OK</v>
      </c>
      <c r="J210" s="25" t="str">
        <f t="shared" si="1"/>
        <v>EXPEDIÇÃO</v>
      </c>
      <c r="K210" s="25" t="str">
        <f>IFERROR(__xludf.DUMMYFUNCTION("""COMPUTED_VALUE"""),"Jose Antoniel Silva Mesquita")</f>
        <v>Jose Antoniel Silva Mesquita</v>
      </c>
    </row>
    <row r="211">
      <c r="A211" s="37">
        <f>IFERROR(__xludf.DUMMYFUNCTION("""COMPUTED_VALUE"""),45931.0)</f>
        <v>45931</v>
      </c>
      <c r="B211" s="42" t="str">
        <f>IFERROR(__xludf.DUMMYFUNCTION("""COMPUTED_VALUE"""),"MCC015UC0008")</f>
        <v>MCC015UC0008</v>
      </c>
      <c r="C211" s="31" t="str">
        <f>IFERROR(__xludf.DUMMYFUNCTION("""COMPUTED_VALUE"""),"FILME STRETCH 500X25")</f>
        <v>FILME STRETCH 500X25</v>
      </c>
      <c r="D211" s="39">
        <f>IFERROR(__xludf.DUMMYFUNCTION("""COMPUTED_VALUE"""),3.0)</f>
        <v>3</v>
      </c>
      <c r="E211" s="34" t="str">
        <f>IFERROR(__xludf.DUMMYFUNCTION("""COMPUTED_VALUE"""),"Saída")</f>
        <v>Saída</v>
      </c>
      <c r="F211" s="34" t="str">
        <f>IFERROR(__xludf.DUMMYFUNCTION("""COMPUTED_VALUE"""),"Recebimento:truck:")</f>
        <v>Recebimento:truck:</v>
      </c>
      <c r="G211" s="39">
        <f t="array" ref="G211">XLOOKUP(B211,'Página9'!A:A,'Página9'!F:F,"")</f>
        <v>-158</v>
      </c>
      <c r="H211" s="39">
        <f t="array" ref="H211">XLOOKUP(B211,'Página9'!A:A,'Página9'!C:C,"")</f>
        <v>40</v>
      </c>
      <c r="I211" s="35" t="str">
        <f t="array" ref="I211">XLOOKUP(B211,'Página9'!A:A,'Página9'!G:G,"")</f>
        <v>REPOR ESTOQUE</v>
      </c>
      <c r="J211" s="25" t="str">
        <f t="shared" si="1"/>
        <v>RECEBIMENTO</v>
      </c>
      <c r="K211" s="25" t="str">
        <f>IFERROR(__xludf.DUMMYFUNCTION("""COMPUTED_VALUE"""),"Philipe Araujo Barroso")</f>
        <v>Philipe Araujo Barroso</v>
      </c>
    </row>
    <row r="212">
      <c r="A212" s="37">
        <f>IFERROR(__xludf.DUMMYFUNCTION("""COMPUTED_VALUE"""),45931.0)</f>
        <v>45931</v>
      </c>
      <c r="B212" s="42" t="str">
        <f>IFERROR(__xludf.DUMMYFUNCTION("""COMPUTED_VALUE"""),"MCC015UC0008")</f>
        <v>MCC015UC0008</v>
      </c>
      <c r="C212" s="31" t="str">
        <f>IFERROR(__xludf.DUMMYFUNCTION("""COMPUTED_VALUE"""),"FILME STRETCH 500X25")</f>
        <v>FILME STRETCH 500X25</v>
      </c>
      <c r="D212" s="39">
        <f>IFERROR(__xludf.DUMMYFUNCTION("""COMPUTED_VALUE"""),6.0)</f>
        <v>6</v>
      </c>
      <c r="E212" s="34" t="str">
        <f>IFERROR(__xludf.DUMMYFUNCTION("""COMPUTED_VALUE"""),"Saída")</f>
        <v>Saída</v>
      </c>
      <c r="F212" s="34" t="str">
        <f>IFERROR(__xludf.DUMMYFUNCTION("""COMPUTED_VALUE"""),"PMM:livro-voador:")</f>
        <v>PMM:livro-voador:</v>
      </c>
      <c r="G212" s="39">
        <f t="array" ref="G212">XLOOKUP(B212,'Página9'!A:A,'Página9'!F:F,"")</f>
        <v>-158</v>
      </c>
      <c r="H212" s="39">
        <f t="array" ref="H212">XLOOKUP(B212,'Página9'!A:A,'Página9'!C:C,"")</f>
        <v>40</v>
      </c>
      <c r="I212" s="35" t="str">
        <f t="array" ref="I212">XLOOKUP(B212,'Página9'!A:A,'Página9'!G:G,"")</f>
        <v>REPOR ESTOQUE</v>
      </c>
      <c r="J212" s="25" t="str">
        <f t="shared" si="1"/>
        <v>PMM</v>
      </c>
      <c r="K212" s="25" t="str">
        <f>IFERROR(__xludf.DUMMYFUNCTION("""COMPUTED_VALUE"""),"Gabriel De Sousa Freitas")</f>
        <v>Gabriel De Sousa Freitas</v>
      </c>
    </row>
    <row r="213">
      <c r="A213" s="37">
        <f>IFERROR(__xludf.DUMMYFUNCTION("""COMPUTED_VALUE"""),45931.0)</f>
        <v>45931</v>
      </c>
      <c r="B213" s="42" t="str">
        <f>IFERROR(__xludf.DUMMYFUNCTION("""COMPUTED_VALUE"""),"MCC015UC0045")</f>
        <v>MCC015UC0045</v>
      </c>
      <c r="C213" s="31" t="str">
        <f>IFERROR(__xludf.DUMMYFUNCTION("""COMPUTED_VALUE"""),"FITA ADESIVA 69MM X 100M")</f>
        <v>FITA ADESIVA 69MM X 100M</v>
      </c>
      <c r="D213" s="39">
        <f>IFERROR(__xludf.DUMMYFUNCTION("""COMPUTED_VALUE"""),4.0)</f>
        <v>4</v>
      </c>
      <c r="E213" s="34" t="str">
        <f>IFERROR(__xludf.DUMMYFUNCTION("""COMPUTED_VALUE"""),"Saída")</f>
        <v>Saída</v>
      </c>
      <c r="F213" s="34" t="str">
        <f>IFERROR(__xludf.DUMMYFUNCTION("""COMPUTED_VALUE"""),"Recebimento:truck:")</f>
        <v>Recebimento:truck:</v>
      </c>
      <c r="G213" s="39">
        <f t="array" ref="G213">XLOOKUP(B213,'Página9'!A:A,'Página9'!F:F,"")</f>
        <v>287</v>
      </c>
      <c r="H213" s="39">
        <f t="array" ref="H213">XLOOKUP(B213,'Página9'!A:A,'Página9'!C:C,"")</f>
        <v>20</v>
      </c>
      <c r="I213" s="35" t="str">
        <f t="array" ref="I213">XLOOKUP(B213,'Página9'!A:A,'Página9'!G:G,"")</f>
        <v>OK</v>
      </c>
      <c r="J213" s="25" t="str">
        <f t="shared" si="1"/>
        <v>RECEBIMENTO</v>
      </c>
      <c r="K213" s="25" t="str">
        <f>IFERROR(__xludf.DUMMYFUNCTION("""COMPUTED_VALUE"""),"Jose Antoniel Silva Mesquita")</f>
        <v>Jose Antoniel Silva Mesquita</v>
      </c>
    </row>
    <row r="214">
      <c r="A214" s="37">
        <f>IFERROR(__xludf.DUMMYFUNCTION("""COMPUTED_VALUE"""),45931.0)</f>
        <v>45931</v>
      </c>
      <c r="B214" s="42" t="str">
        <f>IFERROR(__xludf.DUMMYFUNCTION("""COMPUTED_VALUE"""),"MCC015UC0045")</f>
        <v>MCC015UC0045</v>
      </c>
      <c r="C214" s="31" t="str">
        <f>IFERROR(__xludf.DUMMYFUNCTION("""COMPUTED_VALUE"""),"FITA ADESIVA 69MM X 100M")</f>
        <v>FITA ADESIVA 69MM X 100M</v>
      </c>
      <c r="D214" s="39">
        <f>IFERROR(__xludf.DUMMYFUNCTION("""COMPUTED_VALUE"""),2.0)</f>
        <v>2</v>
      </c>
      <c r="E214" s="34" t="str">
        <f>IFERROR(__xludf.DUMMYFUNCTION("""COMPUTED_VALUE"""),"Saída")</f>
        <v>Saída</v>
      </c>
      <c r="F214" s="34" t="str">
        <f>IFERROR(__xludf.DUMMYFUNCTION("""COMPUTED_VALUE"""),"Recebimento:truck:")</f>
        <v>Recebimento:truck:</v>
      </c>
      <c r="G214" s="39">
        <f t="array" ref="G214">XLOOKUP(B214,'Página9'!A:A,'Página9'!F:F,"")</f>
        <v>287</v>
      </c>
      <c r="H214" s="39">
        <f t="array" ref="H214">XLOOKUP(B214,'Página9'!A:A,'Página9'!C:C,"")</f>
        <v>20</v>
      </c>
      <c r="I214" s="35" t="str">
        <f t="array" ref="I214">XLOOKUP(B214,'Página9'!A:A,'Página9'!G:G,"")</f>
        <v>OK</v>
      </c>
      <c r="J214" s="25" t="str">
        <f t="shared" si="1"/>
        <v>RECEBIMENTO</v>
      </c>
      <c r="K214" s="25" t="str">
        <f>IFERROR(__xludf.DUMMYFUNCTION("""COMPUTED_VALUE"""),"Jose Antoniel Silva Mesquita")</f>
        <v>Jose Antoniel Silva Mesquita</v>
      </c>
    </row>
    <row r="215">
      <c r="A215" s="37">
        <f>IFERROR(__xludf.DUMMYFUNCTION("""COMPUTED_VALUE"""),46051.0)</f>
        <v>46051</v>
      </c>
      <c r="B215" s="42" t="str">
        <f>IFERROR(__xludf.DUMMYFUNCTION("""COMPUTED_VALUE"""),"MCC046UC0596")</f>
        <v>MCC046UC0596</v>
      </c>
      <c r="C215" s="31" t="str">
        <f>IFERROR(__xludf.DUMMYFUNCTION("""COMPUTED_VALUE"""),"ETIQUETA ADESIVA COUCHE BRANCA   - 105X150MM SAS")</f>
        <v>ETIQUETA ADESIVA COUCHE BRANCA   - 105X150MM SAS</v>
      </c>
      <c r="D215" s="39">
        <f>IFERROR(__xludf.DUMMYFUNCTION("""COMPUTED_VALUE"""),2.0)</f>
        <v>2</v>
      </c>
      <c r="E215" s="34" t="str">
        <f>IFERROR(__xludf.DUMMYFUNCTION("""COMPUTED_VALUE"""),"Saída")</f>
        <v>Saída</v>
      </c>
      <c r="F215" s="34" t="str">
        <f>IFERROR(__xludf.DUMMYFUNCTION("""COMPUTED_VALUE"""),"Recebimento:truck:")</f>
        <v>Recebimento:truck:</v>
      </c>
      <c r="G215" s="39">
        <f t="array" ref="G215">XLOOKUP(B215,'Página9'!A:A,'Página9'!F:F,"")</f>
        <v>157</v>
      </c>
      <c r="H215" s="39">
        <f t="array" ref="H215">XLOOKUP(B215,'Página9'!A:A,'Página9'!C:C,"")</f>
        <v>20</v>
      </c>
      <c r="I215" s="35" t="str">
        <f t="array" ref="I215">XLOOKUP(B215,'Página9'!A:A,'Página9'!G:G,"")</f>
        <v>OK</v>
      </c>
      <c r="J215" s="25" t="str">
        <f t="shared" si="1"/>
        <v>RECEBIMENTO</v>
      </c>
      <c r="K215" s="25" t="str">
        <f>IFERROR(__xludf.DUMMYFUNCTION("""COMPUTED_VALUE"""),"Jamile Ribeiro da Silva")</f>
        <v>Jamile Ribeiro da Silva</v>
      </c>
    </row>
    <row r="216">
      <c r="A216" s="37">
        <f>IFERROR(__xludf.DUMMYFUNCTION("""COMPUTED_VALUE"""),45931.0)</f>
        <v>45931</v>
      </c>
      <c r="B216" s="42" t="str">
        <f>IFERROR(__xludf.DUMMYFUNCTION("""COMPUTED_VALUE"""),"MCC049UC0601")</f>
        <v>MCC049UC0601</v>
      </c>
      <c r="C216" s="31" t="str">
        <f>IFERROR(__xludf.DUMMYFUNCTION("""COMPUTED_VALUE"""),"CANETA ESFEROGRAFICA COMPACTOR VERMELHA")</f>
        <v>CANETA ESFEROGRAFICA COMPACTOR VERMELHA</v>
      </c>
      <c r="D216" s="39">
        <f>IFERROR(__xludf.DUMMYFUNCTION("""COMPUTED_VALUE"""),1.0)</f>
        <v>1</v>
      </c>
      <c r="E216" s="34" t="str">
        <f>IFERROR(__xludf.DUMMYFUNCTION("""COMPUTED_VALUE"""),"Saída")</f>
        <v>Saída</v>
      </c>
      <c r="F216" s="34" t="str">
        <f>IFERROR(__xludf.DUMMYFUNCTION("""COMPUTED_VALUE"""),"PMM:livro-voador:")</f>
        <v>PMM:livro-voador:</v>
      </c>
      <c r="G216" s="39" t="str">
        <f t="array" ref="G216">XLOOKUP(B216,'Página9'!A:A,'Página9'!F:F,"")</f>
        <v/>
      </c>
      <c r="H216" s="39" t="str">
        <f t="array" ref="H216">XLOOKUP(B216,'Página9'!A:A,'Página9'!C:C,"")</f>
        <v/>
      </c>
      <c r="I216" s="35" t="str">
        <f t="array" ref="I216">XLOOKUP(B216,'Página9'!A:A,'Página9'!G:G,"")</f>
        <v/>
      </c>
      <c r="J216" s="25" t="str">
        <f t="shared" si="1"/>
        <v>PMM</v>
      </c>
      <c r="K216" s="25" t="str">
        <f>IFERROR(__xludf.DUMMYFUNCTION("""COMPUTED_VALUE"""),"Diego Araujo Dias")</f>
        <v>Diego Araujo Dias</v>
      </c>
    </row>
    <row r="217">
      <c r="A217" s="37">
        <f>IFERROR(__xludf.DUMMYFUNCTION("""COMPUTED_VALUE"""),45931.0)</f>
        <v>45931</v>
      </c>
      <c r="B217" s="42" t="str">
        <f>IFERROR(__xludf.DUMMYFUNCTION("""COMPUTED_VALUE"""),"MCC046UC0215")</f>
        <v>MCC046UC0215</v>
      </c>
      <c r="C217" s="31" t="str">
        <f>IFERROR(__xludf.DUMMYFUNCTION("""COMPUTED_VALUE"""),"CANETA ESFEROGRAFICA ECONOMIC AZUL BIC")</f>
        <v>CANETA ESFEROGRAFICA ECONOMIC AZUL BIC</v>
      </c>
      <c r="D217" s="39">
        <f>IFERROR(__xludf.DUMMYFUNCTION("""COMPUTED_VALUE"""),2.0)</f>
        <v>2</v>
      </c>
      <c r="E217" s="34" t="str">
        <f>IFERROR(__xludf.DUMMYFUNCTION("""COMPUTED_VALUE"""),"Saída")</f>
        <v>Saída</v>
      </c>
      <c r="F217" s="34" t="str">
        <f>IFERROR(__xludf.DUMMYFUNCTION("""COMPUTED_VALUE"""),"PMM:livro-voador:")</f>
        <v>PMM:livro-voador:</v>
      </c>
      <c r="G217" s="39">
        <f t="array" ref="G217">XLOOKUP(B217,'Página9'!A:A,'Página9'!F:F,"")</f>
        <v>-20</v>
      </c>
      <c r="H217" s="39">
        <f t="array" ref="H217">XLOOKUP(B217,'Página9'!A:A,'Página9'!C:C,"")</f>
        <v>15</v>
      </c>
      <c r="I217" s="35" t="str">
        <f t="array" ref="I217">XLOOKUP(B217,'Página9'!A:A,'Página9'!G:G,"")</f>
        <v>REPOR ESTOQUE</v>
      </c>
      <c r="J217" s="25" t="str">
        <f t="shared" si="1"/>
        <v>PMM</v>
      </c>
      <c r="K217" s="25" t="str">
        <f>IFERROR(__xludf.DUMMYFUNCTION("""COMPUTED_VALUE"""),"Pericles Cavalcante De Lima Maciel")</f>
        <v>Pericles Cavalcante De Lima Maciel</v>
      </c>
    </row>
    <row r="218">
      <c r="A218" s="37">
        <f>IFERROR(__xludf.DUMMYFUNCTION("""COMPUTED_VALUE"""),45931.0)</f>
        <v>45931</v>
      </c>
      <c r="B218" s="42" t="str">
        <f>IFERROR(__xludf.DUMMYFUNCTION("""COMPUTED_VALUE"""),"MCC049UC0605")</f>
        <v>MCC049UC0605</v>
      </c>
      <c r="C218" s="31" t="str">
        <f>IFERROR(__xludf.DUMMYFUNCTION("""COMPUTED_VALUE"""),"FITA DE DEMARCAÇAO VERMELHA")</f>
        <v>FITA DE DEMARCAÇAO VERMELHA</v>
      </c>
      <c r="D218" s="39">
        <f>IFERROR(__xludf.DUMMYFUNCTION("""COMPUTED_VALUE"""),2.0)</f>
        <v>2</v>
      </c>
      <c r="E218" s="34" t="str">
        <f>IFERROR(__xludf.DUMMYFUNCTION("""COMPUTED_VALUE"""),"Saída")</f>
        <v>Saída</v>
      </c>
      <c r="F218" s="34" t="str">
        <f>IFERROR(__xludf.DUMMYFUNCTION("""COMPUTED_VALUE"""),"Estoque:package:")</f>
        <v>Estoque:package:</v>
      </c>
      <c r="G218" s="39">
        <f t="array" ref="G218">XLOOKUP(B218,'Página9'!A:A,'Página9'!F:F,"")</f>
        <v>6</v>
      </c>
      <c r="H218" s="39">
        <f t="array" ref="H218">XLOOKUP(B218,'Página9'!A:A,'Página9'!C:C,"")</f>
        <v>3</v>
      </c>
      <c r="I218" s="35" t="str">
        <f t="array" ref="I218">XLOOKUP(B218,'Página9'!A:A,'Página9'!G:G,"")</f>
        <v>OK</v>
      </c>
      <c r="J218" s="25" t="str">
        <f t="shared" si="1"/>
        <v>ESTOQUE</v>
      </c>
      <c r="K218" s="25" t="str">
        <f>IFERROR(__xludf.DUMMYFUNCTION("""COMPUTED_VALUE"""),"Yago Rocha Fernandes")</f>
        <v>Yago Rocha Fernandes</v>
      </c>
    </row>
    <row r="219">
      <c r="A219" s="37">
        <f>IFERROR(__xludf.DUMMYFUNCTION("""COMPUTED_VALUE"""),45931.0)</f>
        <v>45931</v>
      </c>
      <c r="B219" s="42" t="str">
        <f>IFERROR(__xludf.DUMMYFUNCTION("""COMPUTED_VALUE"""),"MCC015UC0038")</f>
        <v>MCC015UC0038</v>
      </c>
      <c r="C219" s="31" t="str">
        <f>IFERROR(__xludf.DUMMYFUNCTION("""COMPUTED_VALUE"""),"BOBINA SHRINK 500MM")</f>
        <v>BOBINA SHRINK 500MM</v>
      </c>
      <c r="D219" s="39">
        <f>IFERROR(__xludf.DUMMYFUNCTION("""COMPUTED_VALUE"""),1.0)</f>
        <v>1</v>
      </c>
      <c r="E219" s="34" t="str">
        <f>IFERROR(__xludf.DUMMYFUNCTION("""COMPUTED_VALUE"""),"Saída")</f>
        <v>Saída</v>
      </c>
      <c r="F219" s="34" t="str">
        <f>IFERROR(__xludf.DUMMYFUNCTION("""COMPUTED_VALUE"""),"CIQ :qualidade:")</f>
        <v>CIQ :qualidade:</v>
      </c>
      <c r="G219" s="39">
        <f t="array" ref="G219">XLOOKUP(B219,'Página9'!A:A,'Página9'!F:F,"")</f>
        <v>13</v>
      </c>
      <c r="H219" s="39">
        <f t="array" ref="H219">XLOOKUP(B219,'Página9'!A:A,'Página9'!C:C,"")</f>
        <v>3</v>
      </c>
      <c r="I219" s="35" t="str">
        <f t="array" ref="I219">XLOOKUP(B219,'Página9'!A:A,'Página9'!G:G,"")</f>
        <v>OK</v>
      </c>
      <c r="J219" s="25" t="str">
        <f t="shared" si="1"/>
        <v>CIQ</v>
      </c>
      <c r="K219" s="25" t="str">
        <f>IFERROR(__xludf.DUMMYFUNCTION("""COMPUTED_VALUE"""),"Jose Antoniel Silva Mesquita")</f>
        <v>Jose Antoniel Silva Mesquita</v>
      </c>
    </row>
    <row r="220">
      <c r="A220" s="37">
        <f>IFERROR(__xludf.DUMMYFUNCTION("""COMPUTED_VALUE"""),45931.0)</f>
        <v>45931</v>
      </c>
      <c r="B220" s="42" t="str">
        <f>IFERROR(__xludf.DUMMYFUNCTION("""COMPUTED_VALUE"""),"MCC046UC0639")</f>
        <v>MCC046UC0639</v>
      </c>
      <c r="C220" s="31" t="str">
        <f>IFERROR(__xludf.DUMMYFUNCTION("""COMPUTED_VALUE"""),"PILHA ALCALINA ELGIN PEQ.AA")</f>
        <v>PILHA ALCALINA ELGIN PEQ.AA</v>
      </c>
      <c r="D220" s="39">
        <f>IFERROR(__xludf.DUMMYFUNCTION("""COMPUTED_VALUE"""),1.0)</f>
        <v>1</v>
      </c>
      <c r="E220" s="34" t="str">
        <f>IFERROR(__xludf.DUMMYFUNCTION("""COMPUTED_VALUE"""),"Saída")</f>
        <v>Saída</v>
      </c>
      <c r="F220" s="34" t="str">
        <f>IFERROR(__xludf.DUMMYFUNCTION("""COMPUTED_VALUE"""),"PMM:livro-voador:")</f>
        <v>PMM:livro-voador:</v>
      </c>
      <c r="G220" s="39">
        <f t="array" ref="G220">XLOOKUP(B220,'Página9'!A:A,'Página9'!F:F,"")</f>
        <v>-5</v>
      </c>
      <c r="H220" s="39">
        <f t="array" ref="H220">XLOOKUP(B220,'Página9'!A:A,'Página9'!C:C,"")</f>
        <v>4</v>
      </c>
      <c r="I220" s="35" t="str">
        <f t="array" ref="I220">XLOOKUP(B220,'Página9'!A:A,'Página9'!G:G,"")</f>
        <v>REPOR ESTOQUE</v>
      </c>
      <c r="J220" s="25" t="str">
        <f t="shared" si="1"/>
        <v>PMM</v>
      </c>
      <c r="K220" s="25" t="str">
        <f>IFERROR(__xludf.DUMMYFUNCTION("""COMPUTED_VALUE"""),"Pericles Cavalcante De Lima Maciel")</f>
        <v>Pericles Cavalcante De Lima Maciel</v>
      </c>
    </row>
    <row r="221">
      <c r="A221" s="37">
        <f>IFERROR(__xludf.DUMMYFUNCTION("""COMPUTED_VALUE"""),45936.0)</f>
        <v>45936</v>
      </c>
      <c r="B221" s="42" t="str">
        <f>IFERROR(__xludf.DUMMYFUNCTION("""COMPUTED_VALUE"""),"MCC015UC0008")</f>
        <v>MCC015UC0008</v>
      </c>
      <c r="C221" s="31" t="str">
        <f>IFERROR(__xludf.DUMMYFUNCTION("""COMPUTED_VALUE"""),"FILME STRETCH 500X25")</f>
        <v>FILME STRETCH 500X25</v>
      </c>
      <c r="D221" s="39">
        <f>IFERROR(__xludf.DUMMYFUNCTION("""COMPUTED_VALUE"""),2.0)</f>
        <v>2</v>
      </c>
      <c r="E221" s="34" t="str">
        <f>IFERROR(__xludf.DUMMYFUNCTION("""COMPUTED_VALUE"""),"Saída")</f>
        <v>Saída</v>
      </c>
      <c r="F221" s="34" t="str">
        <f>IFERROR(__xludf.DUMMYFUNCTION("""COMPUTED_VALUE"""),"Expedição:ex-escolas-exponenciais:")</f>
        <v>Expedição:ex-escolas-exponenciais:</v>
      </c>
      <c r="G221" s="39">
        <f t="array" ref="G221">XLOOKUP(B221,'Página9'!A:A,'Página9'!F:F,"")</f>
        <v>-158</v>
      </c>
      <c r="H221" s="39">
        <f t="array" ref="H221">XLOOKUP(B221,'Página9'!A:A,'Página9'!C:C,"")</f>
        <v>40</v>
      </c>
      <c r="I221" s="35" t="str">
        <f t="array" ref="I221">XLOOKUP(B221,'Página9'!A:A,'Página9'!G:G,"")</f>
        <v>REPOR ESTOQUE</v>
      </c>
      <c r="J221" s="25" t="str">
        <f t="shared" si="1"/>
        <v>EXPEDIÇÃO</v>
      </c>
      <c r="K221" s="25" t="str">
        <f>IFERROR(__xludf.DUMMYFUNCTION("""COMPUTED_VALUE"""),"Jackson Alves Sales")</f>
        <v>Jackson Alves Sales</v>
      </c>
    </row>
    <row r="222">
      <c r="A222" s="37">
        <f>IFERROR(__xludf.DUMMYFUNCTION("""COMPUTED_VALUE"""),45936.0)</f>
        <v>45936</v>
      </c>
      <c r="B222" s="42" t="str">
        <f>IFERROR(__xludf.DUMMYFUNCTION("""COMPUTED_VALUE"""),"MCC046UC0525")</f>
        <v>MCC046UC0525</v>
      </c>
      <c r="C222" s="31" t="str">
        <f>IFERROR(__xludf.DUMMYFUNCTION("""COMPUTED_VALUE"""),"CANETA PINCEL ATOMICO AZUL PILOT 1100")</f>
        <v>CANETA PINCEL ATOMICO AZUL PILOT 1100</v>
      </c>
      <c r="D222" s="39">
        <f>IFERROR(__xludf.DUMMYFUNCTION("""COMPUTED_VALUE"""),2.0)</f>
        <v>2</v>
      </c>
      <c r="E222" s="34" t="str">
        <f>IFERROR(__xludf.DUMMYFUNCTION("""COMPUTED_VALUE"""),"Saída")</f>
        <v>Saída</v>
      </c>
      <c r="F222" s="34" t="str">
        <f>IFERROR(__xludf.DUMMYFUNCTION("""COMPUTED_VALUE"""),"PMM:livro-voador:")</f>
        <v>PMM:livro-voador:</v>
      </c>
      <c r="G222" s="39">
        <f t="array" ref="G222">XLOOKUP(B222,'Página9'!A:A,'Página9'!F:F,"")</f>
        <v>5</v>
      </c>
      <c r="H222" s="39">
        <f t="array" ref="H222">XLOOKUP(B222,'Página9'!A:A,'Página9'!C:C,"")</f>
        <v>3</v>
      </c>
      <c r="I222" s="35" t="str">
        <f t="array" ref="I222">XLOOKUP(B222,'Página9'!A:A,'Página9'!G:G,"")</f>
        <v>OK</v>
      </c>
      <c r="J222" s="25" t="str">
        <f t="shared" si="1"/>
        <v>PMM</v>
      </c>
      <c r="K222" s="25" t="str">
        <f>IFERROR(__xludf.DUMMYFUNCTION("""COMPUTED_VALUE"""),"Matheus De Almeida Rodrigues")</f>
        <v>Matheus De Almeida Rodrigues</v>
      </c>
    </row>
    <row r="223">
      <c r="A223" s="37">
        <f>IFERROR(__xludf.DUMMYFUNCTION("""COMPUTED_VALUE"""),45936.0)</f>
        <v>45936</v>
      </c>
      <c r="B223" s="42" t="str">
        <f>IFERROR(__xludf.DUMMYFUNCTION("""COMPUTED_VALUE"""),"MCC046UC0215")</f>
        <v>MCC046UC0215</v>
      </c>
      <c r="C223" s="31" t="str">
        <f>IFERROR(__xludf.DUMMYFUNCTION("""COMPUTED_VALUE"""),"CANETA ESFEROGRAFICA ECONOMIC AZUL BIC")</f>
        <v>CANETA ESFEROGRAFICA ECONOMIC AZUL BIC</v>
      </c>
      <c r="D223" s="39">
        <f>IFERROR(__xludf.DUMMYFUNCTION("""COMPUTED_VALUE"""),2.0)</f>
        <v>2</v>
      </c>
      <c r="E223" s="34" t="str">
        <f>IFERROR(__xludf.DUMMYFUNCTION("""COMPUTED_VALUE"""),"Saída")</f>
        <v>Saída</v>
      </c>
      <c r="F223" s="34" t="str">
        <f>IFERROR(__xludf.DUMMYFUNCTION("""COMPUTED_VALUE"""),"CIQ :qualidade:")</f>
        <v>CIQ :qualidade:</v>
      </c>
      <c r="G223" s="39">
        <f t="array" ref="G223">XLOOKUP(B223,'Página9'!A:A,'Página9'!F:F,"")</f>
        <v>-20</v>
      </c>
      <c r="H223" s="39">
        <f t="array" ref="H223">XLOOKUP(B223,'Página9'!A:A,'Página9'!C:C,"")</f>
        <v>15</v>
      </c>
      <c r="I223" s="35" t="str">
        <f t="array" ref="I223">XLOOKUP(B223,'Página9'!A:A,'Página9'!G:G,"")</f>
        <v>REPOR ESTOQUE</v>
      </c>
      <c r="J223" s="25" t="str">
        <f t="shared" si="1"/>
        <v>CIQ</v>
      </c>
      <c r="K223" s="25" t="str">
        <f>IFERROR(__xludf.DUMMYFUNCTION("""COMPUTED_VALUE"""),"Matheus De Almeida Rodrigues")</f>
        <v>Matheus De Almeida Rodrigues</v>
      </c>
    </row>
    <row r="224">
      <c r="A224" s="37">
        <f>IFERROR(__xludf.DUMMYFUNCTION("""COMPUTED_VALUE"""),45936.0)</f>
        <v>45936</v>
      </c>
      <c r="B224" s="42" t="str">
        <f>IFERROR(__xludf.DUMMYFUNCTION("""COMPUTED_VALUE"""),"MCC015UC0038")</f>
        <v>MCC015UC0038</v>
      </c>
      <c r="C224" s="31" t="str">
        <f>IFERROR(__xludf.DUMMYFUNCTION("""COMPUTED_VALUE"""),"BOBINA SHRINK 500MM")</f>
        <v>BOBINA SHRINK 500MM</v>
      </c>
      <c r="D224" s="39">
        <f>IFERROR(__xludf.DUMMYFUNCTION("""COMPUTED_VALUE"""),10.0)</f>
        <v>10</v>
      </c>
      <c r="E224" s="34" t="str">
        <f>IFERROR(__xludf.DUMMYFUNCTION("""COMPUTED_VALUE"""),"Saída")</f>
        <v>Saída</v>
      </c>
      <c r="F224" s="34" t="str">
        <f>IFERROR(__xludf.DUMMYFUNCTION("""COMPUTED_VALUE"""),"Expedição:ex-escolas-exponenciais:")</f>
        <v>Expedição:ex-escolas-exponenciais:</v>
      </c>
      <c r="G224" s="39">
        <f t="array" ref="G224">XLOOKUP(B224,'Página9'!A:A,'Página9'!F:F,"")</f>
        <v>13</v>
      </c>
      <c r="H224" s="39">
        <f t="array" ref="H224">XLOOKUP(B224,'Página9'!A:A,'Página9'!C:C,"")</f>
        <v>3</v>
      </c>
      <c r="I224" s="35" t="str">
        <f t="array" ref="I224">XLOOKUP(B224,'Página9'!A:A,'Página9'!G:G,"")</f>
        <v>OK</v>
      </c>
      <c r="J224" s="25" t="str">
        <f t="shared" si="1"/>
        <v>EXPEDIÇÃO</v>
      </c>
      <c r="K224" s="25" t="str">
        <f>IFERROR(__xludf.DUMMYFUNCTION("""COMPUTED_VALUE"""),"Gabriel De Sousa Freitas")</f>
        <v>Gabriel De Sousa Freitas</v>
      </c>
    </row>
    <row r="225">
      <c r="A225" s="37">
        <f>IFERROR(__xludf.DUMMYFUNCTION("""COMPUTED_VALUE"""),45936.0)</f>
        <v>45936</v>
      </c>
      <c r="B225" s="42" t="str">
        <f>IFERROR(__xludf.DUMMYFUNCTION("""COMPUTED_VALUE"""),"MCC015UC0008")</f>
        <v>MCC015UC0008</v>
      </c>
      <c r="C225" s="31" t="str">
        <f>IFERROR(__xludf.DUMMYFUNCTION("""COMPUTED_VALUE"""),"FILME STRETCH 500X25")</f>
        <v>FILME STRETCH 500X25</v>
      </c>
      <c r="D225" s="39">
        <f>IFERROR(__xludf.DUMMYFUNCTION("""COMPUTED_VALUE"""),26.0)</f>
        <v>26</v>
      </c>
      <c r="E225" s="34" t="str">
        <f>IFERROR(__xludf.DUMMYFUNCTION("""COMPUTED_VALUE"""),"Saída")</f>
        <v>Saída</v>
      </c>
      <c r="F225" s="34" t="str">
        <f>IFERROR(__xludf.DUMMYFUNCTION("""COMPUTED_VALUE"""),"PMM:livro-voador:")</f>
        <v>PMM:livro-voador:</v>
      </c>
      <c r="G225" s="39">
        <f t="array" ref="G225">XLOOKUP(B225,'Página9'!A:A,'Página9'!F:F,"")</f>
        <v>-158</v>
      </c>
      <c r="H225" s="39">
        <f t="array" ref="H225">XLOOKUP(B225,'Página9'!A:A,'Página9'!C:C,"")</f>
        <v>40</v>
      </c>
      <c r="I225" s="35" t="str">
        <f t="array" ref="I225">XLOOKUP(B225,'Página9'!A:A,'Página9'!G:G,"")</f>
        <v>REPOR ESTOQUE</v>
      </c>
      <c r="J225" s="25" t="str">
        <f t="shared" si="1"/>
        <v>PMM</v>
      </c>
      <c r="K225" s="25" t="str">
        <f>IFERROR(__xludf.DUMMYFUNCTION("""COMPUTED_VALUE"""),"Francisco Edson Oliveira Dos Santos Vieira")</f>
        <v>Francisco Edson Oliveira Dos Santos Vieira</v>
      </c>
    </row>
    <row r="226">
      <c r="A226" s="37">
        <f>IFERROR(__xludf.DUMMYFUNCTION("""COMPUTED_VALUE"""),45936.0)</f>
        <v>45936</v>
      </c>
      <c r="B226" s="42" t="str">
        <f>IFERROR(__xludf.DUMMYFUNCTION("""COMPUTED_VALUE"""),"MCC015UC0008")</f>
        <v>MCC015UC0008</v>
      </c>
      <c r="C226" s="31" t="str">
        <f>IFERROR(__xludf.DUMMYFUNCTION("""COMPUTED_VALUE"""),"FILME STRETCH 500X25")</f>
        <v>FILME STRETCH 500X25</v>
      </c>
      <c r="D226" s="39">
        <f>IFERROR(__xludf.DUMMYFUNCTION("""COMPUTED_VALUE"""),2.0)</f>
        <v>2</v>
      </c>
      <c r="E226" s="34" t="str">
        <f>IFERROR(__xludf.DUMMYFUNCTION("""COMPUTED_VALUE"""),"Saída")</f>
        <v>Saída</v>
      </c>
      <c r="F226" s="34" t="str">
        <f>IFERROR(__xludf.DUMMYFUNCTION("""COMPUTED_VALUE"""),"Expedição:ex-escolas-exponenciais:")</f>
        <v>Expedição:ex-escolas-exponenciais:</v>
      </c>
      <c r="G226" s="39">
        <f t="array" ref="G226">XLOOKUP(B226,'Página9'!A:A,'Página9'!F:F,"")</f>
        <v>-158</v>
      </c>
      <c r="H226" s="39">
        <f t="array" ref="H226">XLOOKUP(B226,'Página9'!A:A,'Página9'!C:C,"")</f>
        <v>40</v>
      </c>
      <c r="I226" s="35" t="str">
        <f t="array" ref="I226">XLOOKUP(B226,'Página9'!A:A,'Página9'!G:G,"")</f>
        <v>REPOR ESTOQUE</v>
      </c>
      <c r="J226" s="25" t="str">
        <f t="shared" si="1"/>
        <v>EXPEDIÇÃO</v>
      </c>
      <c r="K226" s="25" t="str">
        <f>IFERROR(__xludf.DUMMYFUNCTION("""COMPUTED_VALUE"""),"Francisco Edson Oliveira Dos Santos Vieira")</f>
        <v>Francisco Edson Oliveira Dos Santos Vieira</v>
      </c>
    </row>
    <row r="227">
      <c r="A227" s="37">
        <f>IFERROR(__xludf.DUMMYFUNCTION("""COMPUTED_VALUE"""),45936.0)</f>
        <v>45936</v>
      </c>
      <c r="B227" s="42" t="str">
        <f>IFERROR(__xludf.DUMMYFUNCTION("""COMPUTED_VALUE"""),"MCC015UC0038")</f>
        <v>MCC015UC0038</v>
      </c>
      <c r="C227" s="31" t="str">
        <f>IFERROR(__xludf.DUMMYFUNCTION("""COMPUTED_VALUE"""),"BOBINA SHRINK 500MM")</f>
        <v>BOBINA SHRINK 500MM</v>
      </c>
      <c r="D227" s="39">
        <f>IFERROR(__xludf.DUMMYFUNCTION("""COMPUTED_VALUE"""),2.0)</f>
        <v>2</v>
      </c>
      <c r="E227" s="34" t="str">
        <f>IFERROR(__xludf.DUMMYFUNCTION("""COMPUTED_VALUE"""),"Saída")</f>
        <v>Saída</v>
      </c>
      <c r="F227" s="34" t="str">
        <f>IFERROR(__xludf.DUMMYFUNCTION("""COMPUTED_VALUE"""),"Expedição:ex-escolas-exponenciais:")</f>
        <v>Expedição:ex-escolas-exponenciais:</v>
      </c>
      <c r="G227" s="39">
        <f t="array" ref="G227">XLOOKUP(B227,'Página9'!A:A,'Página9'!F:F,"")</f>
        <v>13</v>
      </c>
      <c r="H227" s="39">
        <f t="array" ref="H227">XLOOKUP(B227,'Página9'!A:A,'Página9'!C:C,"")</f>
        <v>3</v>
      </c>
      <c r="I227" s="35" t="str">
        <f t="array" ref="I227">XLOOKUP(B227,'Página9'!A:A,'Página9'!G:G,"")</f>
        <v>OK</v>
      </c>
      <c r="J227" s="25" t="str">
        <f t="shared" si="1"/>
        <v>EXPEDIÇÃO</v>
      </c>
      <c r="K227" s="25" t="str">
        <f>IFERROR(__xludf.DUMMYFUNCTION("""COMPUTED_VALUE"""),"Francisco Edson Oliveira Dos Santos Vieira")</f>
        <v>Francisco Edson Oliveira Dos Santos Vieira</v>
      </c>
    </row>
    <row r="228">
      <c r="A228" s="37">
        <f>IFERROR(__xludf.DUMMYFUNCTION("""COMPUTED_VALUE"""),45936.0)</f>
        <v>45936</v>
      </c>
      <c r="B228" s="42" t="str">
        <f>IFERROR(__xludf.DUMMYFUNCTION("""COMPUTED_VALUE"""),"MCC015UC0008")</f>
        <v>MCC015UC0008</v>
      </c>
      <c r="C228" s="31" t="str">
        <f>IFERROR(__xludf.DUMMYFUNCTION("""COMPUTED_VALUE"""),"FILME STRETCH 500X25")</f>
        <v>FILME STRETCH 500X25</v>
      </c>
      <c r="D228" s="39">
        <f>IFERROR(__xludf.DUMMYFUNCTION("""COMPUTED_VALUE"""),3.0)</f>
        <v>3</v>
      </c>
      <c r="E228" s="34" t="str">
        <f>IFERROR(__xludf.DUMMYFUNCTION("""COMPUTED_VALUE"""),"Saída")</f>
        <v>Saída</v>
      </c>
      <c r="F228" s="34" t="str">
        <f>IFERROR(__xludf.DUMMYFUNCTION("""COMPUTED_VALUE"""),"Estoque:package:")</f>
        <v>Estoque:package:</v>
      </c>
      <c r="G228" s="39">
        <f t="array" ref="G228">XLOOKUP(B228,'Página9'!A:A,'Página9'!F:F,"")</f>
        <v>-158</v>
      </c>
      <c r="H228" s="39">
        <f t="array" ref="H228">XLOOKUP(B228,'Página9'!A:A,'Página9'!C:C,"")</f>
        <v>40</v>
      </c>
      <c r="I228" s="35" t="str">
        <f t="array" ref="I228">XLOOKUP(B228,'Página9'!A:A,'Página9'!G:G,"")</f>
        <v>REPOR ESTOQUE</v>
      </c>
      <c r="J228" s="25" t="str">
        <f t="shared" si="1"/>
        <v>ESTOQUE</v>
      </c>
      <c r="K228" s="25" t="str">
        <f>IFERROR(__xludf.DUMMYFUNCTION("""COMPUTED_VALUE"""),"Yago Rocha Fernandes")</f>
        <v>Yago Rocha Fernandes</v>
      </c>
    </row>
    <row r="229">
      <c r="A229" s="37">
        <f>IFERROR(__xludf.DUMMYFUNCTION("""COMPUTED_VALUE"""),45936.0)</f>
        <v>45936</v>
      </c>
      <c r="B229" s="42" t="str">
        <f>IFERROR(__xludf.DUMMYFUNCTION("""COMPUTED_VALUE"""),"MCC046UC0599")</f>
        <v>MCC046UC0599</v>
      </c>
      <c r="C229" s="31" t="str">
        <f>IFERROR(__xludf.DUMMYFUNCTION("""COMPUTED_VALUE"""),"ETIQUETA ADESIVA COUCHE AMARELA  - 105X150MM SAS")</f>
        <v>ETIQUETA ADESIVA COUCHE AMARELA  - 105X150MM SAS</v>
      </c>
      <c r="D229" s="39">
        <f>IFERROR(__xludf.DUMMYFUNCTION("""COMPUTED_VALUE"""),1.0)</f>
        <v>1</v>
      </c>
      <c r="E229" s="34" t="str">
        <f>IFERROR(__xludf.DUMMYFUNCTION("""COMPUTED_VALUE"""),"Saída")</f>
        <v>Saída</v>
      </c>
      <c r="F229" s="34" t="str">
        <f>IFERROR(__xludf.DUMMYFUNCTION("""COMPUTED_VALUE"""),"PMM:livro-voador:")</f>
        <v>PMM:livro-voador:</v>
      </c>
      <c r="G229" s="39">
        <f t="array" ref="G229">XLOOKUP(B229,'Página9'!A:A,'Página9'!F:F,"")</f>
        <v>25</v>
      </c>
      <c r="H229" s="39">
        <f t="array" ref="H229">XLOOKUP(B229,'Página9'!A:A,'Página9'!C:C,"")</f>
        <v>5</v>
      </c>
      <c r="I229" s="35" t="str">
        <f t="array" ref="I229">XLOOKUP(B229,'Página9'!A:A,'Página9'!G:G,"")</f>
        <v>OK</v>
      </c>
      <c r="J229" s="25" t="str">
        <f t="shared" si="1"/>
        <v>PMM</v>
      </c>
      <c r="K229" s="25" t="str">
        <f>IFERROR(__xludf.DUMMYFUNCTION("""COMPUTED_VALUE"""),"Paulo Henrique Chagas De Oliveira")</f>
        <v>Paulo Henrique Chagas De Oliveira</v>
      </c>
    </row>
    <row r="230">
      <c r="A230" s="37">
        <f>IFERROR(__xludf.DUMMYFUNCTION("""COMPUTED_VALUE"""),45936.0)</f>
        <v>45936</v>
      </c>
      <c r="B230" s="42" t="str">
        <f>IFERROR(__xludf.DUMMYFUNCTION("""COMPUTED_VALUE"""),"MCC015UC0045")</f>
        <v>MCC015UC0045</v>
      </c>
      <c r="C230" s="31" t="str">
        <f>IFERROR(__xludf.DUMMYFUNCTION("""COMPUTED_VALUE"""),"FITA ADESIVA 69MM X 100M")</f>
        <v>FITA ADESIVA 69MM X 100M</v>
      </c>
      <c r="D230" s="39">
        <f>IFERROR(__xludf.DUMMYFUNCTION("""COMPUTED_VALUE"""),4.0)</f>
        <v>4</v>
      </c>
      <c r="E230" s="34" t="str">
        <f>IFERROR(__xludf.DUMMYFUNCTION("""COMPUTED_VALUE"""),"Saída")</f>
        <v>Saída</v>
      </c>
      <c r="F230" s="34" t="str">
        <f>IFERROR(__xludf.DUMMYFUNCTION("""COMPUTED_VALUE"""),"Recebimento:truck:")</f>
        <v>Recebimento:truck:</v>
      </c>
      <c r="G230" s="39">
        <f t="array" ref="G230">XLOOKUP(B230,'Página9'!A:A,'Página9'!F:F,"")</f>
        <v>287</v>
      </c>
      <c r="H230" s="39">
        <f t="array" ref="H230">XLOOKUP(B230,'Página9'!A:A,'Página9'!C:C,"")</f>
        <v>20</v>
      </c>
      <c r="I230" s="35" t="str">
        <f t="array" ref="I230">XLOOKUP(B230,'Página9'!A:A,'Página9'!G:G,"")</f>
        <v>OK</v>
      </c>
      <c r="J230" s="25" t="str">
        <f t="shared" si="1"/>
        <v>RECEBIMENTO</v>
      </c>
      <c r="K230" s="25" t="str">
        <f>IFERROR(__xludf.DUMMYFUNCTION("""COMPUTED_VALUE"""),"Allison Breno Da Costa Borges Soares")</f>
        <v>Allison Breno Da Costa Borges Soares</v>
      </c>
    </row>
    <row r="231">
      <c r="A231" s="37">
        <f>IFERROR(__xludf.DUMMYFUNCTION("""COMPUTED_VALUE"""),45936.0)</f>
        <v>45936</v>
      </c>
      <c r="B231" s="42" t="str">
        <f>IFERROR(__xludf.DUMMYFUNCTION("""COMPUTED_VALUE"""),"MCC015UC0008")</f>
        <v>MCC015UC0008</v>
      </c>
      <c r="C231" s="31" t="str">
        <f>IFERROR(__xludf.DUMMYFUNCTION("""COMPUTED_VALUE"""),"FILME STRETCH 500X25")</f>
        <v>FILME STRETCH 500X25</v>
      </c>
      <c r="D231" s="39">
        <f>IFERROR(__xludf.DUMMYFUNCTION("""COMPUTED_VALUE"""),1.0)</f>
        <v>1</v>
      </c>
      <c r="E231" s="34" t="str">
        <f>IFERROR(__xludf.DUMMYFUNCTION("""COMPUTED_VALUE"""),"Saída")</f>
        <v>Saída</v>
      </c>
      <c r="F231" s="34" t="str">
        <f>IFERROR(__xludf.DUMMYFUNCTION("""COMPUTED_VALUE"""),"Recebimento:truck:")</f>
        <v>Recebimento:truck:</v>
      </c>
      <c r="G231" s="39">
        <f t="array" ref="G231">XLOOKUP(B231,'Página9'!A:A,'Página9'!F:F,"")</f>
        <v>-158</v>
      </c>
      <c r="H231" s="39">
        <f t="array" ref="H231">XLOOKUP(B231,'Página9'!A:A,'Página9'!C:C,"")</f>
        <v>40</v>
      </c>
      <c r="I231" s="35" t="str">
        <f t="array" ref="I231">XLOOKUP(B231,'Página9'!A:A,'Página9'!G:G,"")</f>
        <v>REPOR ESTOQUE</v>
      </c>
      <c r="J231" s="25" t="str">
        <f t="shared" si="1"/>
        <v>RECEBIMENTO</v>
      </c>
      <c r="K231" s="25" t="str">
        <f>IFERROR(__xludf.DUMMYFUNCTION("""COMPUTED_VALUE"""),"Jose Antoniel Silva Mesquita")</f>
        <v>Jose Antoniel Silva Mesquita</v>
      </c>
    </row>
    <row r="232">
      <c r="A232" s="37">
        <f>IFERROR(__xludf.DUMMYFUNCTION("""COMPUTED_VALUE"""),45936.0)</f>
        <v>45936</v>
      </c>
      <c r="B232" s="42" t="str">
        <f>IFERROR(__xludf.DUMMYFUNCTION("""COMPUTED_VALUE"""),"MCC049UC0604")</f>
        <v>MCC049UC0604</v>
      </c>
      <c r="C232" s="31" t="str">
        <f>IFERROR(__xludf.DUMMYFUNCTION("""COMPUTED_VALUE"""),"FITA DE DEMARCAÇÃO AMARELA")</f>
        <v>FITA DE DEMARCAÇÃO AMARELA</v>
      </c>
      <c r="D232" s="39">
        <f>IFERROR(__xludf.DUMMYFUNCTION("""COMPUTED_VALUE"""),4.0)</f>
        <v>4</v>
      </c>
      <c r="E232" s="34" t="str">
        <f>IFERROR(__xludf.DUMMYFUNCTION("""COMPUTED_VALUE"""),"Saída")</f>
        <v>Saída</v>
      </c>
      <c r="F232" s="34" t="str">
        <f>IFERROR(__xludf.DUMMYFUNCTION("""COMPUTED_VALUE"""),"Recebimento:truck:")</f>
        <v>Recebimento:truck:</v>
      </c>
      <c r="G232" s="39">
        <f t="array" ref="G232">XLOOKUP(B232,'Página9'!A:A,'Página9'!F:F,"")</f>
        <v>-12</v>
      </c>
      <c r="H232" s="39">
        <f t="array" ref="H232">XLOOKUP(B232,'Página9'!A:A,'Página9'!C:C,"")</f>
        <v>3</v>
      </c>
      <c r="I232" s="35" t="str">
        <f t="array" ref="I232">XLOOKUP(B232,'Página9'!A:A,'Página9'!G:G,"")</f>
        <v>REPOR ESTOQUE</v>
      </c>
      <c r="J232" s="25" t="str">
        <f t="shared" si="1"/>
        <v>RECEBIMENTO</v>
      </c>
      <c r="K232" s="25" t="str">
        <f>IFERROR(__xludf.DUMMYFUNCTION("""COMPUTED_VALUE"""),"Fabio Ferreira Pessoa")</f>
        <v>Fabio Ferreira Pessoa</v>
      </c>
    </row>
    <row r="233">
      <c r="A233" s="37">
        <f>IFERROR(__xludf.DUMMYFUNCTION("""COMPUTED_VALUE"""),45936.0)</f>
        <v>45936</v>
      </c>
      <c r="B233" s="42" t="str">
        <f>IFERROR(__xludf.DUMMYFUNCTION("""COMPUTED_VALUE"""),"MCC049UC0606")</f>
        <v>MCC049UC0606</v>
      </c>
      <c r="C233" s="31" t="str">
        <f>IFERROR(__xludf.DUMMYFUNCTION("""COMPUTED_VALUE"""),"FITA DE DEMARCAÇÃO BRANCA")</f>
        <v>FITA DE DEMARCAÇÃO BRANCA</v>
      </c>
      <c r="D233" s="39">
        <f>IFERROR(__xludf.DUMMYFUNCTION("""COMPUTED_VALUE"""),2.0)</f>
        <v>2</v>
      </c>
      <c r="E233" s="34" t="str">
        <f>IFERROR(__xludf.DUMMYFUNCTION("""COMPUTED_VALUE"""),"Saída")</f>
        <v>Saída</v>
      </c>
      <c r="F233" s="34" t="str">
        <f>IFERROR(__xludf.DUMMYFUNCTION("""COMPUTED_VALUE"""),"Recebimento:truck:")</f>
        <v>Recebimento:truck:</v>
      </c>
      <c r="G233" s="39">
        <f t="array" ref="G233">XLOOKUP(B233,'Página9'!A:A,'Página9'!F:F,"")</f>
        <v>4</v>
      </c>
      <c r="H233" s="39">
        <f t="array" ref="H233">XLOOKUP(B233,'Página9'!A:A,'Página9'!C:C,"")</f>
        <v>3</v>
      </c>
      <c r="I233" s="35" t="str">
        <f t="array" ref="I233">XLOOKUP(B233,'Página9'!A:A,'Página9'!G:G,"")</f>
        <v>OK</v>
      </c>
      <c r="J233" s="25" t="str">
        <f t="shared" si="1"/>
        <v>RECEBIMENTO</v>
      </c>
      <c r="K233" s="25" t="str">
        <f>IFERROR(__xludf.DUMMYFUNCTION("""COMPUTED_VALUE"""),"Paulo Henrique Chagas De Oliveira")</f>
        <v>Paulo Henrique Chagas De Oliveira</v>
      </c>
    </row>
    <row r="234">
      <c r="A234" s="37">
        <f>IFERROR(__xludf.DUMMYFUNCTION("""COMPUTED_VALUE"""),45936.0)</f>
        <v>45936</v>
      </c>
      <c r="B234" s="42" t="str">
        <f>IFERROR(__xludf.DUMMYFUNCTION("""COMPUTED_VALUE"""),"MCC015UC0045")</f>
        <v>MCC015UC0045</v>
      </c>
      <c r="C234" s="31" t="str">
        <f>IFERROR(__xludf.DUMMYFUNCTION("""COMPUTED_VALUE"""),"FITA ADESIVA 69MM X 100M")</f>
        <v>FITA ADESIVA 69MM X 100M</v>
      </c>
      <c r="D234" s="39">
        <f>IFERROR(__xludf.DUMMYFUNCTION("""COMPUTED_VALUE"""),4.0)</f>
        <v>4</v>
      </c>
      <c r="E234" s="34" t="str">
        <f>IFERROR(__xludf.DUMMYFUNCTION("""COMPUTED_VALUE"""),"Saída")</f>
        <v>Saída</v>
      </c>
      <c r="F234" s="34" t="str">
        <f>IFERROR(__xludf.DUMMYFUNCTION("""COMPUTED_VALUE"""),"Expedição:ex-escolas-exponenciais:")</f>
        <v>Expedição:ex-escolas-exponenciais:</v>
      </c>
      <c r="G234" s="39">
        <f t="array" ref="G234">XLOOKUP(B234,'Página9'!A:A,'Página9'!F:F,"")</f>
        <v>287</v>
      </c>
      <c r="H234" s="39">
        <f t="array" ref="H234">XLOOKUP(B234,'Página9'!A:A,'Página9'!C:C,"")</f>
        <v>20</v>
      </c>
      <c r="I234" s="35" t="str">
        <f t="array" ref="I234">XLOOKUP(B234,'Página9'!A:A,'Página9'!G:G,"")</f>
        <v>OK</v>
      </c>
      <c r="J234" s="25" t="str">
        <f t="shared" si="1"/>
        <v>EXPEDIÇÃO</v>
      </c>
      <c r="K234" s="25" t="str">
        <f>IFERROR(__xludf.DUMMYFUNCTION("""COMPUTED_VALUE"""),"Jose Antoniel Silva Mesquita")</f>
        <v>Jose Antoniel Silva Mesquita</v>
      </c>
    </row>
    <row r="235">
      <c r="A235" s="37">
        <f>IFERROR(__xludf.DUMMYFUNCTION("""COMPUTED_VALUE"""),45936.0)</f>
        <v>45936</v>
      </c>
      <c r="B235" s="42" t="str">
        <f>IFERROR(__xludf.DUMMYFUNCTION("""COMPUTED_VALUE"""),"MCC015UC0008")</f>
        <v>MCC015UC0008</v>
      </c>
      <c r="C235" s="31" t="str">
        <f>IFERROR(__xludf.DUMMYFUNCTION("""COMPUTED_VALUE"""),"FILME STRETCH 500X25")</f>
        <v>FILME STRETCH 500X25</v>
      </c>
      <c r="D235" s="39">
        <f>IFERROR(__xludf.DUMMYFUNCTION("""COMPUTED_VALUE"""),1.0)</f>
        <v>1</v>
      </c>
      <c r="E235" s="34" t="str">
        <f>IFERROR(__xludf.DUMMYFUNCTION("""COMPUTED_VALUE"""),"Saída")</f>
        <v>Saída</v>
      </c>
      <c r="F235" s="34" t="str">
        <f>IFERROR(__xludf.DUMMYFUNCTION("""COMPUTED_VALUE"""),"Expedição:ex-escolas-exponenciais:")</f>
        <v>Expedição:ex-escolas-exponenciais:</v>
      </c>
      <c r="G235" s="39">
        <f t="array" ref="G235">XLOOKUP(B235,'Página9'!A:A,'Página9'!F:F,"")</f>
        <v>-158</v>
      </c>
      <c r="H235" s="39">
        <f t="array" ref="H235">XLOOKUP(B235,'Página9'!A:A,'Página9'!C:C,"")</f>
        <v>40</v>
      </c>
      <c r="I235" s="35" t="str">
        <f t="array" ref="I235">XLOOKUP(B235,'Página9'!A:A,'Página9'!G:G,"")</f>
        <v>REPOR ESTOQUE</v>
      </c>
      <c r="J235" s="25" t="str">
        <f t="shared" si="1"/>
        <v>EXPEDIÇÃO</v>
      </c>
      <c r="K235" s="25" t="str">
        <f>IFERROR(__xludf.DUMMYFUNCTION("""COMPUTED_VALUE"""),"Jose Antoniel Silva Mesquita")</f>
        <v>Jose Antoniel Silva Mesquita</v>
      </c>
    </row>
    <row r="236">
      <c r="A236" s="37">
        <f>IFERROR(__xludf.DUMMYFUNCTION("""COMPUTED_VALUE"""),45936.0)</f>
        <v>45936</v>
      </c>
      <c r="B236" s="42" t="str">
        <f>IFERROR(__xludf.DUMMYFUNCTION("""COMPUTED_VALUE"""),"MCC046UC0695")</f>
        <v>MCC046UC0695</v>
      </c>
      <c r="C236" s="31" t="str">
        <f>IFERROR(__xludf.DUMMYFUNCTION("""COMPUTED_VALUE"""),"ETIQUETA COUCHE 98X50X1")</f>
        <v>ETIQUETA COUCHE 98X50X1</v>
      </c>
      <c r="D236" s="39">
        <f>IFERROR(__xludf.DUMMYFUNCTION("""COMPUTED_VALUE"""),6.0)</f>
        <v>6</v>
      </c>
      <c r="E236" s="34" t="str">
        <f>IFERROR(__xludf.DUMMYFUNCTION("""COMPUTED_VALUE"""),"Saída")</f>
        <v>Saída</v>
      </c>
      <c r="F236" s="34" t="str">
        <f>IFERROR(__xludf.DUMMYFUNCTION("""COMPUTED_VALUE"""),"Recebimento:truck:")</f>
        <v>Recebimento:truck:</v>
      </c>
      <c r="G236" s="39">
        <f t="array" ref="G236">XLOOKUP(B236,'Página9'!A:A,'Página9'!F:F,"")</f>
        <v>256</v>
      </c>
      <c r="H236" s="39">
        <f t="array" ref="H236">XLOOKUP(B236,'Página9'!A:A,'Página9'!C:C,"")</f>
        <v>20</v>
      </c>
      <c r="I236" s="35" t="str">
        <f t="array" ref="I236">XLOOKUP(B236,'Página9'!A:A,'Página9'!G:G,"")</f>
        <v>OK</v>
      </c>
      <c r="J236" s="25" t="str">
        <f t="shared" si="1"/>
        <v>RECEBIMENTO</v>
      </c>
      <c r="K236" s="25" t="str">
        <f>IFERROR(__xludf.DUMMYFUNCTION("""COMPUTED_VALUE"""),"Paulo Henrique Chagas De Oliveira")</f>
        <v>Paulo Henrique Chagas De Oliveira</v>
      </c>
    </row>
    <row r="237">
      <c r="A237" s="37">
        <f>IFERROR(__xludf.DUMMYFUNCTION("""COMPUTED_VALUE"""),45936.0)</f>
        <v>45936</v>
      </c>
      <c r="B237" s="42" t="str">
        <f>IFERROR(__xludf.DUMMYFUNCTION("""COMPUTED_VALUE"""),"MCC015UC0033")</f>
        <v>MCC015UC0033</v>
      </c>
      <c r="C237" s="31" t="str">
        <f>IFERROR(__xludf.DUMMYFUNCTION("""COMPUTED_VALUE"""),"FITA DE ARQUEAR PET VERDE 16MM X 0,8MM C/ 13KG")</f>
        <v>FITA DE ARQUEAR PET VERDE 16MM X 0,8MM C/ 13KG</v>
      </c>
      <c r="D237" s="39">
        <f>IFERROR(__xludf.DUMMYFUNCTION("""COMPUTED_VALUE"""),1.0)</f>
        <v>1</v>
      </c>
      <c r="E237" s="34" t="str">
        <f>IFERROR(__xludf.DUMMYFUNCTION("""COMPUTED_VALUE"""),"Saída")</f>
        <v>Saída</v>
      </c>
      <c r="F237" s="34" t="str">
        <f>IFERROR(__xludf.DUMMYFUNCTION("""COMPUTED_VALUE"""),"PMM:livro-voador:")</f>
        <v>PMM:livro-voador:</v>
      </c>
      <c r="G237" s="39">
        <f t="array" ref="G237">XLOOKUP(B237,'Página9'!A:A,'Página9'!F:F,"")</f>
        <v>4</v>
      </c>
      <c r="H237" s="39">
        <f t="array" ref="H237">XLOOKUP(B237,'Página9'!A:A,'Página9'!C:C,"")</f>
        <v>3</v>
      </c>
      <c r="I237" s="35" t="str">
        <f t="array" ref="I237">XLOOKUP(B237,'Página9'!A:A,'Página9'!G:G,"")</f>
        <v>OK</v>
      </c>
      <c r="J237" s="25" t="str">
        <f t="shared" si="1"/>
        <v>PMM</v>
      </c>
      <c r="K237" s="25" t="str">
        <f>IFERROR(__xludf.DUMMYFUNCTION("""COMPUTED_VALUE"""),"Allison Breno Da Costa Borges Soares")</f>
        <v>Allison Breno Da Costa Borges Soares</v>
      </c>
    </row>
    <row r="238">
      <c r="A238" s="37">
        <f>IFERROR(__xludf.DUMMYFUNCTION("""COMPUTED_VALUE"""),45936.0)</f>
        <v>45936</v>
      </c>
      <c r="B238" s="42" t="str">
        <f>IFERROR(__xludf.DUMMYFUNCTION("""COMPUTED_VALUE"""),"MCC015UC0033")</f>
        <v>MCC015UC0033</v>
      </c>
      <c r="C238" s="31" t="str">
        <f>IFERROR(__xludf.DUMMYFUNCTION("""COMPUTED_VALUE"""),"FITA DE ARQUEAR PET VERDE 16MM X 0,8MM C/ 13KG")</f>
        <v>FITA DE ARQUEAR PET VERDE 16MM X 0,8MM C/ 13KG</v>
      </c>
      <c r="D238" s="39">
        <f>IFERROR(__xludf.DUMMYFUNCTION("""COMPUTED_VALUE"""),2.0)</f>
        <v>2</v>
      </c>
      <c r="E238" s="34" t="str">
        <f>IFERROR(__xludf.DUMMYFUNCTION("""COMPUTED_VALUE"""),"Saída")</f>
        <v>Saída</v>
      </c>
      <c r="F238" s="34" t="str">
        <f>IFERROR(__xludf.DUMMYFUNCTION("""COMPUTED_VALUE"""),"PMM:livro-voador:")</f>
        <v>PMM:livro-voador:</v>
      </c>
      <c r="G238" s="39">
        <f t="array" ref="G238">XLOOKUP(B238,'Página9'!A:A,'Página9'!F:F,"")</f>
        <v>4</v>
      </c>
      <c r="H238" s="39">
        <f t="array" ref="H238">XLOOKUP(B238,'Página9'!A:A,'Página9'!C:C,"")</f>
        <v>3</v>
      </c>
      <c r="I238" s="35" t="str">
        <f t="array" ref="I238">XLOOKUP(B238,'Página9'!A:A,'Página9'!G:G,"")</f>
        <v>OK</v>
      </c>
      <c r="J238" s="25" t="str">
        <f t="shared" si="1"/>
        <v>PMM</v>
      </c>
      <c r="K238" s="25" t="str">
        <f>IFERROR(__xludf.DUMMYFUNCTION("""COMPUTED_VALUE"""),"Jackson Alves Sales")</f>
        <v>Jackson Alves Sales</v>
      </c>
    </row>
    <row r="239">
      <c r="A239" s="37">
        <f>IFERROR(__xludf.DUMMYFUNCTION("""COMPUTED_VALUE"""),45936.0)</f>
        <v>45936</v>
      </c>
      <c r="B239" s="42" t="str">
        <f>IFERROR(__xludf.DUMMYFUNCTION("""COMPUTED_VALUE"""),"MCC046UC0215")</f>
        <v>MCC046UC0215</v>
      </c>
      <c r="C239" s="31" t="str">
        <f>IFERROR(__xludf.DUMMYFUNCTION("""COMPUTED_VALUE"""),"CANETA ESFEROGRAFICA ECONOMIC AZUL BIC")</f>
        <v>CANETA ESFEROGRAFICA ECONOMIC AZUL BIC</v>
      </c>
      <c r="D239" s="39">
        <f>IFERROR(__xludf.DUMMYFUNCTION("""COMPUTED_VALUE"""),4.0)</f>
        <v>4</v>
      </c>
      <c r="E239" s="34" t="str">
        <f>IFERROR(__xludf.DUMMYFUNCTION("""COMPUTED_VALUE"""),"Saída")</f>
        <v>Saída</v>
      </c>
      <c r="F239" s="34" t="str">
        <f>IFERROR(__xludf.DUMMYFUNCTION("""COMPUTED_VALUE"""),"Estoque:package:")</f>
        <v>Estoque:package:</v>
      </c>
      <c r="G239" s="39">
        <f t="array" ref="G239">XLOOKUP(B239,'Página9'!A:A,'Página9'!F:F,"")</f>
        <v>-20</v>
      </c>
      <c r="H239" s="39">
        <f t="array" ref="H239">XLOOKUP(B239,'Página9'!A:A,'Página9'!C:C,"")</f>
        <v>15</v>
      </c>
      <c r="I239" s="35" t="str">
        <f t="array" ref="I239">XLOOKUP(B239,'Página9'!A:A,'Página9'!G:G,"")</f>
        <v>REPOR ESTOQUE</v>
      </c>
      <c r="J239" s="25" t="str">
        <f t="shared" si="1"/>
        <v>ESTOQUE</v>
      </c>
      <c r="K239" s="25" t="str">
        <f>IFERROR(__xludf.DUMMYFUNCTION("""COMPUTED_VALUE"""),"Allison Breno Da Costa Borges Soares")</f>
        <v>Allison Breno Da Costa Borges Soares</v>
      </c>
    </row>
    <row r="240">
      <c r="A240" s="37">
        <f>IFERROR(__xludf.DUMMYFUNCTION("""COMPUTED_VALUE"""),45936.0)</f>
        <v>45936</v>
      </c>
      <c r="B240" s="42" t="str">
        <f>IFERROR(__xludf.DUMMYFUNCTION("""COMPUTED_VALUE"""),"MCC015UC0045")</f>
        <v>MCC015UC0045</v>
      </c>
      <c r="C240" s="31" t="str">
        <f>IFERROR(__xludf.DUMMYFUNCTION("""COMPUTED_VALUE"""),"FITA ADESIVA 69MM X 100M")</f>
        <v>FITA ADESIVA 69MM X 100M</v>
      </c>
      <c r="D240" s="39">
        <f>IFERROR(__xludf.DUMMYFUNCTION("""COMPUTED_VALUE"""),3.0)</f>
        <v>3</v>
      </c>
      <c r="E240" s="34" t="str">
        <f>IFERROR(__xludf.DUMMYFUNCTION("""COMPUTED_VALUE"""),"Saída")</f>
        <v>Saída</v>
      </c>
      <c r="F240" s="34" t="str">
        <f>IFERROR(__xludf.DUMMYFUNCTION("""COMPUTED_VALUE"""),"Recebimento:truck:")</f>
        <v>Recebimento:truck:</v>
      </c>
      <c r="G240" s="39">
        <f t="array" ref="G240">XLOOKUP(B240,'Página9'!A:A,'Página9'!F:F,"")</f>
        <v>287</v>
      </c>
      <c r="H240" s="39">
        <f t="array" ref="H240">XLOOKUP(B240,'Página9'!A:A,'Página9'!C:C,"")</f>
        <v>20</v>
      </c>
      <c r="I240" s="35" t="str">
        <f t="array" ref="I240">XLOOKUP(B240,'Página9'!A:A,'Página9'!G:G,"")</f>
        <v>OK</v>
      </c>
      <c r="J240" s="25" t="str">
        <f t="shared" si="1"/>
        <v>RECEBIMENTO</v>
      </c>
      <c r="K240" s="25" t="str">
        <f>IFERROR(__xludf.DUMMYFUNCTION("""COMPUTED_VALUE"""),"Matheus De Almeida Rodrigues")</f>
        <v>Matheus De Almeida Rodrigues</v>
      </c>
    </row>
    <row r="241">
      <c r="A241" s="37">
        <f>IFERROR(__xludf.DUMMYFUNCTION("""COMPUTED_VALUE"""),45939.0)</f>
        <v>45939</v>
      </c>
      <c r="B241" s="42" t="str">
        <f>IFERROR(__xludf.DUMMYFUNCTION("""COMPUTED_VALUE"""),"MCC015UC0008")</f>
        <v>MCC015UC0008</v>
      </c>
      <c r="C241" s="31" t="str">
        <f>IFERROR(__xludf.DUMMYFUNCTION("""COMPUTED_VALUE"""),"FILME STRETCH 500X25")</f>
        <v>FILME STRETCH 500X25</v>
      </c>
      <c r="D241" s="39">
        <f>IFERROR(__xludf.DUMMYFUNCTION("""COMPUTED_VALUE"""),10.0)</f>
        <v>10</v>
      </c>
      <c r="E241" s="34" t="str">
        <f>IFERROR(__xludf.DUMMYFUNCTION("""COMPUTED_VALUE"""),"Saída")</f>
        <v>Saída</v>
      </c>
      <c r="F241" s="34" t="str">
        <f>IFERROR(__xludf.DUMMYFUNCTION("""COMPUTED_VALUE"""),"Expedição:ex-escolas-exponenciais:")</f>
        <v>Expedição:ex-escolas-exponenciais:</v>
      </c>
      <c r="G241" s="39">
        <f t="array" ref="G241">XLOOKUP(B241,'Página9'!A:A,'Página9'!F:F,"")</f>
        <v>-158</v>
      </c>
      <c r="H241" s="39">
        <f t="array" ref="H241">XLOOKUP(B241,'Página9'!A:A,'Página9'!C:C,"")</f>
        <v>40</v>
      </c>
      <c r="I241" s="35" t="str">
        <f t="array" ref="I241">XLOOKUP(B241,'Página9'!A:A,'Página9'!G:G,"")</f>
        <v>REPOR ESTOQUE</v>
      </c>
      <c r="J241" s="25" t="str">
        <f t="shared" si="1"/>
        <v>EXPEDIÇÃO</v>
      </c>
      <c r="K241" s="25" t="str">
        <f>IFERROR(__xludf.DUMMYFUNCTION("""COMPUTED_VALUE"""),"Allison Breno Da Costa Borges Soares")</f>
        <v>Allison Breno Da Costa Borges Soares</v>
      </c>
    </row>
    <row r="242">
      <c r="A242" s="37">
        <f>IFERROR(__xludf.DUMMYFUNCTION("""COMPUTED_VALUE"""),45939.0)</f>
        <v>45939</v>
      </c>
      <c r="B242" s="42" t="str">
        <f>IFERROR(__xludf.DUMMYFUNCTION("""COMPUTED_VALUE"""),"MCC046UC0695")</f>
        <v>MCC046UC0695</v>
      </c>
      <c r="C242" s="31" t="str">
        <f>IFERROR(__xludf.DUMMYFUNCTION("""COMPUTED_VALUE"""),"ETIQUETA COUCHE 98X50X1")</f>
        <v>ETIQUETA COUCHE 98X50X1</v>
      </c>
      <c r="D242" s="39">
        <f>IFERROR(__xludf.DUMMYFUNCTION("""COMPUTED_VALUE"""),10.0)</f>
        <v>10</v>
      </c>
      <c r="E242" s="34" t="str">
        <f>IFERROR(__xludf.DUMMYFUNCTION("""COMPUTED_VALUE"""),"Saída")</f>
        <v>Saída</v>
      </c>
      <c r="F242" s="34" t="str">
        <f>IFERROR(__xludf.DUMMYFUNCTION("""COMPUTED_VALUE"""),"Expedição:ex-escolas-exponenciais:")</f>
        <v>Expedição:ex-escolas-exponenciais:</v>
      </c>
      <c r="G242" s="39">
        <f t="array" ref="G242">XLOOKUP(B242,'Página9'!A:A,'Página9'!F:F,"")</f>
        <v>256</v>
      </c>
      <c r="H242" s="39">
        <f t="array" ref="H242">XLOOKUP(B242,'Página9'!A:A,'Página9'!C:C,"")</f>
        <v>20</v>
      </c>
      <c r="I242" s="35" t="str">
        <f t="array" ref="I242">XLOOKUP(B242,'Página9'!A:A,'Página9'!G:G,"")</f>
        <v>OK</v>
      </c>
      <c r="J242" s="25" t="str">
        <f t="shared" si="1"/>
        <v>EXPEDIÇÃO</v>
      </c>
      <c r="K242" s="25" t="str">
        <f>IFERROR(__xludf.DUMMYFUNCTION("""COMPUTED_VALUE"""),"Allison Breno Da Costa Borges Soares")</f>
        <v>Allison Breno Da Costa Borges Soares</v>
      </c>
    </row>
    <row r="243">
      <c r="A243" s="37">
        <f>IFERROR(__xludf.DUMMYFUNCTION("""COMPUTED_VALUE"""),45939.0)</f>
        <v>45939</v>
      </c>
      <c r="B243" s="42" t="str">
        <f>IFERROR(__xludf.DUMMYFUNCTION("""COMPUTED_VALUE"""),"MCC015UC0045")</f>
        <v>MCC015UC0045</v>
      </c>
      <c r="C243" s="31" t="str">
        <f>IFERROR(__xludf.DUMMYFUNCTION("""COMPUTED_VALUE"""),"FITA ADESIVA 69MM X 100M")</f>
        <v>FITA ADESIVA 69MM X 100M</v>
      </c>
      <c r="D243" s="39">
        <f>IFERROR(__xludf.DUMMYFUNCTION("""COMPUTED_VALUE"""),4.0)</f>
        <v>4</v>
      </c>
      <c r="E243" s="34" t="str">
        <f>IFERROR(__xludf.DUMMYFUNCTION("""COMPUTED_VALUE"""),"Saída")</f>
        <v>Saída</v>
      </c>
      <c r="F243" s="34" t="str">
        <f>IFERROR(__xludf.DUMMYFUNCTION("""COMPUTED_VALUE"""),"Recebimento:truck:")</f>
        <v>Recebimento:truck:</v>
      </c>
      <c r="G243" s="39">
        <f t="array" ref="G243">XLOOKUP(B243,'Página9'!A:A,'Página9'!F:F,"")</f>
        <v>287</v>
      </c>
      <c r="H243" s="39">
        <f t="array" ref="H243">XLOOKUP(B243,'Página9'!A:A,'Página9'!C:C,"")</f>
        <v>20</v>
      </c>
      <c r="I243" s="35" t="str">
        <f t="array" ref="I243">XLOOKUP(B243,'Página9'!A:A,'Página9'!G:G,"")</f>
        <v>OK</v>
      </c>
      <c r="J243" s="25" t="str">
        <f t="shared" si="1"/>
        <v>RECEBIMENTO</v>
      </c>
      <c r="K243" s="25" t="str">
        <f>IFERROR(__xludf.DUMMYFUNCTION("""COMPUTED_VALUE"""),"Pericles Cavalcante De Lima Maciel")</f>
        <v>Pericles Cavalcante De Lima Maciel</v>
      </c>
    </row>
    <row r="244">
      <c r="A244" s="37">
        <f>IFERROR(__xludf.DUMMYFUNCTION("""COMPUTED_VALUE"""),45939.0)</f>
        <v>45939</v>
      </c>
      <c r="B244" s="42" t="str">
        <f>IFERROR(__xludf.DUMMYFUNCTION("""COMPUTED_VALUE"""),"MCC049UC0288")</f>
        <v>MCC049UC0288</v>
      </c>
      <c r="C244" s="31" t="str">
        <f>IFERROR(__xludf.DUMMYFUNCTION("""COMPUTED_VALUE"""),"FITILHO POLIPROPILENO P/EMBALAGEM")</f>
        <v>FITILHO POLIPROPILENO P/EMBALAGEM</v>
      </c>
      <c r="D244" s="39">
        <f>IFERROR(__xludf.DUMMYFUNCTION("""COMPUTED_VALUE"""),3.0)</f>
        <v>3</v>
      </c>
      <c r="E244" s="34" t="str">
        <f>IFERROR(__xludf.DUMMYFUNCTION("""COMPUTED_VALUE"""),"Saída")</f>
        <v>Saída</v>
      </c>
      <c r="F244" s="34" t="str">
        <f>IFERROR(__xludf.DUMMYFUNCTION("""COMPUTED_VALUE"""),"PMM:livro-voador:")</f>
        <v>PMM:livro-voador:</v>
      </c>
      <c r="G244" s="39">
        <f t="array" ref="G244">XLOOKUP(B244,'Página9'!A:A,'Página9'!F:F,"")</f>
        <v>-24</v>
      </c>
      <c r="H244" s="39">
        <f t="array" ref="H244">XLOOKUP(B244,'Página9'!A:A,'Página9'!C:C,"")</f>
        <v>2</v>
      </c>
      <c r="I244" s="35" t="str">
        <f t="array" ref="I244">XLOOKUP(B244,'Página9'!A:A,'Página9'!G:G,"")</f>
        <v>REPOR ESTOQUE</v>
      </c>
      <c r="J244" s="25" t="str">
        <f t="shared" si="1"/>
        <v>PMM</v>
      </c>
      <c r="K244" s="25" t="str">
        <f>IFERROR(__xludf.DUMMYFUNCTION("""COMPUTED_VALUE"""),"Matheus De Almeida Rodrigues")</f>
        <v>Matheus De Almeida Rodrigues</v>
      </c>
    </row>
    <row r="245">
      <c r="A245" s="37">
        <f>IFERROR(__xludf.DUMMYFUNCTION("""COMPUTED_VALUE"""),45939.0)</f>
        <v>45939</v>
      </c>
      <c r="B245" s="42" t="str">
        <f>IFERROR(__xludf.DUMMYFUNCTION("""COMPUTED_VALUE"""),"MCC015UC0008")</f>
        <v>MCC015UC0008</v>
      </c>
      <c r="C245" s="31" t="str">
        <f>IFERROR(__xludf.DUMMYFUNCTION("""COMPUTED_VALUE"""),"FILME STRETCH 500X25")</f>
        <v>FILME STRETCH 500X25</v>
      </c>
      <c r="D245" s="39">
        <f>IFERROR(__xludf.DUMMYFUNCTION("""COMPUTED_VALUE"""),2.0)</f>
        <v>2</v>
      </c>
      <c r="E245" s="34" t="str">
        <f>IFERROR(__xludf.DUMMYFUNCTION("""COMPUTED_VALUE"""),"Saída")</f>
        <v>Saída</v>
      </c>
      <c r="F245" s="34" t="str">
        <f>IFERROR(__xludf.DUMMYFUNCTION("""COMPUTED_VALUE"""),"Expedição:ex-escolas-exponenciais:")</f>
        <v>Expedição:ex-escolas-exponenciais:</v>
      </c>
      <c r="G245" s="39">
        <f t="array" ref="G245">XLOOKUP(B245,'Página9'!A:A,'Página9'!F:F,"")</f>
        <v>-158</v>
      </c>
      <c r="H245" s="39">
        <f t="array" ref="H245">XLOOKUP(B245,'Página9'!A:A,'Página9'!C:C,"")</f>
        <v>40</v>
      </c>
      <c r="I245" s="35" t="str">
        <f t="array" ref="I245">XLOOKUP(B245,'Página9'!A:A,'Página9'!G:G,"")</f>
        <v>REPOR ESTOQUE</v>
      </c>
      <c r="J245" s="25" t="str">
        <f t="shared" si="1"/>
        <v>EXPEDIÇÃO</v>
      </c>
      <c r="K245" s="25" t="str">
        <f>IFERROR(__xludf.DUMMYFUNCTION("""COMPUTED_VALUE"""),"Yago Rocha Fernandes")</f>
        <v>Yago Rocha Fernandes</v>
      </c>
    </row>
    <row r="246">
      <c r="A246" s="37">
        <f>IFERROR(__xludf.DUMMYFUNCTION("""COMPUTED_VALUE"""),45939.0)</f>
        <v>45939</v>
      </c>
      <c r="B246" s="42" t="str">
        <f>IFERROR(__xludf.DUMMYFUNCTION("""COMPUTED_VALUE"""),"MCC015UC0045")</f>
        <v>MCC015UC0045</v>
      </c>
      <c r="C246" s="31" t="str">
        <f>IFERROR(__xludf.DUMMYFUNCTION("""COMPUTED_VALUE"""),"FITA ADESIVA 69MM X 100M")</f>
        <v>FITA ADESIVA 69MM X 100M</v>
      </c>
      <c r="D246" s="39">
        <f>IFERROR(__xludf.DUMMYFUNCTION("""COMPUTED_VALUE"""),8.0)</f>
        <v>8</v>
      </c>
      <c r="E246" s="34" t="str">
        <f>IFERROR(__xludf.DUMMYFUNCTION("""COMPUTED_VALUE"""),"Saída")</f>
        <v>Saída</v>
      </c>
      <c r="F246" s="34" t="str">
        <f>IFERROR(__xludf.DUMMYFUNCTION("""COMPUTED_VALUE"""),"Expedição:ex-escolas-exponenciais:")</f>
        <v>Expedição:ex-escolas-exponenciais:</v>
      </c>
      <c r="G246" s="39">
        <f t="array" ref="G246">XLOOKUP(B246,'Página9'!A:A,'Página9'!F:F,"")</f>
        <v>287</v>
      </c>
      <c r="H246" s="39">
        <f t="array" ref="H246">XLOOKUP(B246,'Página9'!A:A,'Página9'!C:C,"")</f>
        <v>20</v>
      </c>
      <c r="I246" s="35" t="str">
        <f t="array" ref="I246">XLOOKUP(B246,'Página9'!A:A,'Página9'!G:G,"")</f>
        <v>OK</v>
      </c>
      <c r="J246" s="25" t="str">
        <f t="shared" si="1"/>
        <v>EXPEDIÇÃO</v>
      </c>
      <c r="K246" s="25" t="str">
        <f>IFERROR(__xludf.DUMMYFUNCTION("""COMPUTED_VALUE"""),"Yago Rocha Fernandes")</f>
        <v>Yago Rocha Fernandes</v>
      </c>
    </row>
    <row r="247">
      <c r="A247" s="37">
        <f>IFERROR(__xludf.DUMMYFUNCTION("""COMPUTED_VALUE"""),45939.0)</f>
        <v>45939</v>
      </c>
      <c r="B247" s="42" t="str">
        <f>IFERROR(__xludf.DUMMYFUNCTION("""COMPUTED_VALUE"""),"MCC046UC0549")</f>
        <v>MCC046UC0549</v>
      </c>
      <c r="C247" s="31" t="str">
        <f>IFERROR(__xludf.DUMMYFUNCTION("""COMPUTED_VALUE"""),"PRANCHETA OFICIO MDF PRENDEDOR METAL ACRIMET 105")</f>
        <v>PRANCHETA OFICIO MDF PRENDEDOR METAL ACRIMET 105</v>
      </c>
      <c r="D247" s="39">
        <f>IFERROR(__xludf.DUMMYFUNCTION("""COMPUTED_VALUE"""),2.0)</f>
        <v>2</v>
      </c>
      <c r="E247" s="34" t="str">
        <f>IFERROR(__xludf.DUMMYFUNCTION("""COMPUTED_VALUE"""),"Saída")</f>
        <v>Saída</v>
      </c>
      <c r="F247" s="34" t="str">
        <f>IFERROR(__xludf.DUMMYFUNCTION("""COMPUTED_VALUE"""),"Expedição:ex-escolas-exponenciais:")</f>
        <v>Expedição:ex-escolas-exponenciais:</v>
      </c>
      <c r="G247" s="39">
        <f t="array" ref="G247">XLOOKUP(B247,'Página9'!A:A,'Página9'!F:F,"")</f>
        <v>-2</v>
      </c>
      <c r="H247" s="39">
        <f t="array" ref="H247">XLOOKUP(B247,'Página9'!A:A,'Página9'!C:C,"")</f>
        <v>5</v>
      </c>
      <c r="I247" s="35" t="str">
        <f t="array" ref="I247">XLOOKUP(B247,'Página9'!A:A,'Página9'!G:G,"")</f>
        <v>REPOR ESTOQUE</v>
      </c>
      <c r="J247" s="25" t="str">
        <f t="shared" si="1"/>
        <v>EXPEDIÇÃO</v>
      </c>
      <c r="K247" s="25" t="str">
        <f>IFERROR(__xludf.DUMMYFUNCTION("""COMPUTED_VALUE"""),"Yago Rocha Fernandes")</f>
        <v>Yago Rocha Fernandes</v>
      </c>
    </row>
    <row r="248">
      <c r="A248" s="37">
        <f>IFERROR(__xludf.DUMMYFUNCTION("""COMPUTED_VALUE"""),45939.0)</f>
        <v>45939</v>
      </c>
      <c r="B248" s="42" t="str">
        <f>IFERROR(__xludf.DUMMYFUNCTION("""COMPUTED_VALUE"""),"MCC049UC0606")</f>
        <v>MCC049UC0606</v>
      </c>
      <c r="C248" s="31" t="str">
        <f>IFERROR(__xludf.DUMMYFUNCTION("""COMPUTED_VALUE"""),"FITA DE DEMARCAÇÃO BRANCA")</f>
        <v>FITA DE DEMARCAÇÃO BRANCA</v>
      </c>
      <c r="D248" s="39">
        <f>IFERROR(__xludf.DUMMYFUNCTION("""COMPUTED_VALUE"""),1.0)</f>
        <v>1</v>
      </c>
      <c r="E248" s="34" t="str">
        <f>IFERROR(__xludf.DUMMYFUNCTION("""COMPUTED_VALUE"""),"Saída")</f>
        <v>Saída</v>
      </c>
      <c r="F248" s="34" t="str">
        <f>IFERROR(__xludf.DUMMYFUNCTION("""COMPUTED_VALUE"""),"PMM:livro-voador:")</f>
        <v>PMM:livro-voador:</v>
      </c>
      <c r="G248" s="39">
        <f t="array" ref="G248">XLOOKUP(B248,'Página9'!A:A,'Página9'!F:F,"")</f>
        <v>4</v>
      </c>
      <c r="H248" s="39">
        <f t="array" ref="H248">XLOOKUP(B248,'Página9'!A:A,'Página9'!C:C,"")</f>
        <v>3</v>
      </c>
      <c r="I248" s="35" t="str">
        <f t="array" ref="I248">XLOOKUP(B248,'Página9'!A:A,'Página9'!G:G,"")</f>
        <v>OK</v>
      </c>
      <c r="J248" s="25" t="str">
        <f t="shared" si="1"/>
        <v>PMM</v>
      </c>
      <c r="K248" s="25" t="str">
        <f>IFERROR(__xludf.DUMMYFUNCTION("""COMPUTED_VALUE"""),"Paulo Henrique Chagas De Oliveira")</f>
        <v>Paulo Henrique Chagas De Oliveira</v>
      </c>
    </row>
    <row r="249">
      <c r="A249" s="37">
        <f>IFERROR(__xludf.DUMMYFUNCTION("""COMPUTED_VALUE"""),45939.0)</f>
        <v>45939</v>
      </c>
      <c r="B249" s="42" t="str">
        <f>IFERROR(__xludf.DUMMYFUNCTION("""COMPUTED_VALUE"""),"MCC015UC0008")</f>
        <v>MCC015UC0008</v>
      </c>
      <c r="C249" s="31" t="str">
        <f>IFERROR(__xludf.DUMMYFUNCTION("""COMPUTED_VALUE"""),"FILME STRETCH 500X25")</f>
        <v>FILME STRETCH 500X25</v>
      </c>
      <c r="D249" s="39">
        <f>IFERROR(__xludf.DUMMYFUNCTION("""COMPUTED_VALUE"""),6.0)</f>
        <v>6</v>
      </c>
      <c r="E249" s="34" t="str">
        <f>IFERROR(__xludf.DUMMYFUNCTION("""COMPUTED_VALUE"""),"Saída")</f>
        <v>Saída</v>
      </c>
      <c r="F249" s="34" t="str">
        <f>IFERROR(__xludf.DUMMYFUNCTION("""COMPUTED_VALUE"""),"Expedição:ex-escolas-exponenciais:")</f>
        <v>Expedição:ex-escolas-exponenciais:</v>
      </c>
      <c r="G249" s="39">
        <f t="array" ref="G249">XLOOKUP(B249,'Página9'!A:A,'Página9'!F:F,"")</f>
        <v>-158</v>
      </c>
      <c r="H249" s="39">
        <f t="array" ref="H249">XLOOKUP(B249,'Página9'!A:A,'Página9'!C:C,"")</f>
        <v>40</v>
      </c>
      <c r="I249" s="35" t="str">
        <f t="array" ref="I249">XLOOKUP(B249,'Página9'!A:A,'Página9'!G:G,"")</f>
        <v>REPOR ESTOQUE</v>
      </c>
      <c r="J249" s="25" t="str">
        <f t="shared" si="1"/>
        <v>EXPEDIÇÃO</v>
      </c>
      <c r="K249" s="25" t="str">
        <f>IFERROR(__xludf.DUMMYFUNCTION("""COMPUTED_VALUE"""),"Jackson Alves Sales")</f>
        <v>Jackson Alves Sales</v>
      </c>
    </row>
    <row r="250">
      <c r="A250" s="37">
        <f>IFERROR(__xludf.DUMMYFUNCTION("""COMPUTED_VALUE"""),45939.0)</f>
        <v>45939</v>
      </c>
      <c r="B250" s="42" t="str">
        <f>IFERROR(__xludf.DUMMYFUNCTION("""COMPUTED_VALUE"""),"MCC049UC0610")</f>
        <v>MCC049UC0610</v>
      </c>
      <c r="C250" s="31" t="str">
        <f>IFERROR(__xludf.DUMMYFUNCTION("""COMPUTED_VALUE"""),"GRAMPO PISTOLA ROCAMA 106/8 CX 5.000 UN")</f>
        <v>GRAMPO PISTOLA ROCAMA 106/8 CX 5.000 UN</v>
      </c>
      <c r="D250" s="39">
        <f>IFERROR(__xludf.DUMMYFUNCTION("""COMPUTED_VALUE"""),1.0)</f>
        <v>1</v>
      </c>
      <c r="E250" s="34" t="str">
        <f>IFERROR(__xludf.DUMMYFUNCTION("""COMPUTED_VALUE"""),"Saída")</f>
        <v>Saída</v>
      </c>
      <c r="F250" s="34" t="str">
        <f>IFERROR(__xludf.DUMMYFUNCTION("""COMPUTED_VALUE"""),"Expedição:ex-escolas-exponenciais:")</f>
        <v>Expedição:ex-escolas-exponenciais:</v>
      </c>
      <c r="G250" s="39">
        <f t="array" ref="G250">XLOOKUP(B250,'Página9'!A:A,'Página9'!F:F,"")</f>
        <v>-14</v>
      </c>
      <c r="H250" s="39">
        <f t="array" ref="H250">XLOOKUP(B250,'Página9'!A:A,'Página9'!C:C,"")</f>
        <v>1</v>
      </c>
      <c r="I250" s="35" t="str">
        <f t="array" ref="I250">XLOOKUP(B250,'Página9'!A:A,'Página9'!G:G,"")</f>
        <v>REPOR ESTOQUE</v>
      </c>
      <c r="J250" s="25" t="str">
        <f t="shared" si="1"/>
        <v>EXPEDIÇÃO</v>
      </c>
      <c r="K250" s="25" t="str">
        <f>IFERROR(__xludf.DUMMYFUNCTION("""COMPUTED_VALUE"""),"Francisco Samuel Trindade Nascimento")</f>
        <v>Francisco Samuel Trindade Nascimento</v>
      </c>
    </row>
    <row r="251">
      <c r="A251" s="37">
        <f>IFERROR(__xludf.DUMMYFUNCTION("""COMPUTED_VALUE"""),45939.0)</f>
        <v>45939</v>
      </c>
      <c r="B251" s="42" t="str">
        <f>IFERROR(__xludf.DUMMYFUNCTION("""COMPUTED_VALUE"""),"MCC049UC0607")</f>
        <v>MCC049UC0607</v>
      </c>
      <c r="C251" s="31" t="str">
        <f>IFERROR(__xludf.DUMMYFUNCTION("""COMPUTED_VALUE"""),"PAPEL A3 RESMA COM 500 FLS")</f>
        <v>PAPEL A3 RESMA COM 500 FLS</v>
      </c>
      <c r="D251" s="39">
        <f>IFERROR(__xludf.DUMMYFUNCTION("""COMPUTED_VALUE"""),3.0)</f>
        <v>3</v>
      </c>
      <c r="E251" s="34" t="str">
        <f>IFERROR(__xludf.DUMMYFUNCTION("""COMPUTED_VALUE"""),"Saída")</f>
        <v>Saída</v>
      </c>
      <c r="F251" s="34" t="str">
        <f>IFERROR(__xludf.DUMMYFUNCTION("""COMPUTED_VALUE"""),"Recebimento:truck:")</f>
        <v>Recebimento:truck:</v>
      </c>
      <c r="G251" s="39">
        <f t="array" ref="G251">XLOOKUP(B251,'Página9'!A:A,'Página9'!F:F,"")</f>
        <v>-47</v>
      </c>
      <c r="H251" s="39">
        <f t="array" ref="H251">XLOOKUP(B251,'Página9'!A:A,'Página9'!C:C,"")</f>
        <v>3</v>
      </c>
      <c r="I251" s="35" t="str">
        <f t="array" ref="I251">XLOOKUP(B251,'Página9'!A:A,'Página9'!G:G,"")</f>
        <v>REPOR ESTOQUE</v>
      </c>
      <c r="J251" s="25" t="str">
        <f t="shared" si="1"/>
        <v>RECEBIMENTO</v>
      </c>
      <c r="K251" s="25" t="str">
        <f>IFERROR(__xludf.DUMMYFUNCTION("""COMPUTED_VALUE"""),"Matheus De Almeida Rodrigues")</f>
        <v>Matheus De Almeida Rodrigues</v>
      </c>
    </row>
    <row r="252">
      <c r="A252" s="37">
        <f>IFERROR(__xludf.DUMMYFUNCTION("""COMPUTED_VALUE"""),45939.0)</f>
        <v>45939</v>
      </c>
      <c r="B252" s="42" t="str">
        <f>IFERROR(__xludf.DUMMYFUNCTION("""COMPUTED_VALUE"""),"MCC049UC0610")</f>
        <v>MCC049UC0610</v>
      </c>
      <c r="C252" s="31" t="str">
        <f>IFERROR(__xludf.DUMMYFUNCTION("""COMPUTED_VALUE"""),"GRAMPO PISTOLA ROCAMA 106/8 CX 5.000 UN")</f>
        <v>GRAMPO PISTOLA ROCAMA 106/8 CX 5.000 UN</v>
      </c>
      <c r="D252" s="39">
        <f>IFERROR(__xludf.DUMMYFUNCTION("""COMPUTED_VALUE"""),1.0)</f>
        <v>1</v>
      </c>
      <c r="E252" s="34" t="str">
        <f>IFERROR(__xludf.DUMMYFUNCTION("""COMPUTED_VALUE"""),"Saída")</f>
        <v>Saída</v>
      </c>
      <c r="F252" s="34" t="str">
        <f>IFERROR(__xludf.DUMMYFUNCTION("""COMPUTED_VALUE"""),"Recebimento:truck:")</f>
        <v>Recebimento:truck:</v>
      </c>
      <c r="G252" s="39">
        <f t="array" ref="G252">XLOOKUP(B252,'Página9'!A:A,'Página9'!F:F,"")</f>
        <v>-14</v>
      </c>
      <c r="H252" s="39">
        <f t="array" ref="H252">XLOOKUP(B252,'Página9'!A:A,'Página9'!C:C,"")</f>
        <v>1</v>
      </c>
      <c r="I252" s="35" t="str">
        <f t="array" ref="I252">XLOOKUP(B252,'Página9'!A:A,'Página9'!G:G,"")</f>
        <v>REPOR ESTOQUE</v>
      </c>
      <c r="J252" s="25" t="str">
        <f t="shared" si="1"/>
        <v>RECEBIMENTO</v>
      </c>
      <c r="K252" s="25" t="str">
        <f>IFERROR(__xludf.DUMMYFUNCTION("""COMPUTED_VALUE"""),"Pericles Cavalcante De Lima Maciel")</f>
        <v>Pericles Cavalcante De Lima Maciel</v>
      </c>
    </row>
    <row r="253">
      <c r="A253" s="37">
        <f>IFERROR(__xludf.DUMMYFUNCTION("""COMPUTED_VALUE"""),45939.0)</f>
        <v>45939</v>
      </c>
      <c r="B253" s="42" t="str">
        <f>IFERROR(__xludf.DUMMYFUNCTION("""COMPUTED_VALUE"""),"MCC015UC0008")</f>
        <v>MCC015UC0008</v>
      </c>
      <c r="C253" s="31" t="str">
        <f>IFERROR(__xludf.DUMMYFUNCTION("""COMPUTED_VALUE"""),"FILME STRETCH 500X25")</f>
        <v>FILME STRETCH 500X25</v>
      </c>
      <c r="D253" s="39">
        <f>IFERROR(__xludf.DUMMYFUNCTION("""COMPUTED_VALUE"""),3.0)</f>
        <v>3</v>
      </c>
      <c r="E253" s="34" t="str">
        <f>IFERROR(__xludf.DUMMYFUNCTION("""COMPUTED_VALUE"""),"Saída")</f>
        <v>Saída</v>
      </c>
      <c r="F253" s="34" t="str">
        <f>IFERROR(__xludf.DUMMYFUNCTION("""COMPUTED_VALUE"""),"PMM:livro-voador:")</f>
        <v>PMM:livro-voador:</v>
      </c>
      <c r="G253" s="39">
        <f t="array" ref="G253">XLOOKUP(B253,'Página9'!A:A,'Página9'!F:F,"")</f>
        <v>-158</v>
      </c>
      <c r="H253" s="39">
        <f t="array" ref="H253">XLOOKUP(B253,'Página9'!A:A,'Página9'!C:C,"")</f>
        <v>40</v>
      </c>
      <c r="I253" s="35" t="str">
        <f t="array" ref="I253">XLOOKUP(B253,'Página9'!A:A,'Página9'!G:G,"")</f>
        <v>REPOR ESTOQUE</v>
      </c>
      <c r="J253" s="25" t="str">
        <f t="shared" si="1"/>
        <v>PMM</v>
      </c>
      <c r="K253" s="25" t="str">
        <f>IFERROR(__xludf.DUMMYFUNCTION("""COMPUTED_VALUE"""),"Philipe Araujo Barroso")</f>
        <v>Philipe Araujo Barroso</v>
      </c>
    </row>
    <row r="254">
      <c r="A254" s="37">
        <f>IFERROR(__xludf.DUMMYFUNCTION("""COMPUTED_VALUE"""),45939.0)</f>
        <v>45939</v>
      </c>
      <c r="B254" s="42" t="str">
        <f>IFERROR(__xludf.DUMMYFUNCTION("""COMPUTED_VALUE"""),"MCC015UC0008")</f>
        <v>MCC015UC0008</v>
      </c>
      <c r="C254" s="31" t="str">
        <f>IFERROR(__xludf.DUMMYFUNCTION("""COMPUTED_VALUE"""),"FILME STRETCH 500X25")</f>
        <v>FILME STRETCH 500X25</v>
      </c>
      <c r="D254" s="39">
        <f>IFERROR(__xludf.DUMMYFUNCTION("""COMPUTED_VALUE"""),3.0)</f>
        <v>3</v>
      </c>
      <c r="E254" s="34" t="str">
        <f>IFERROR(__xludf.DUMMYFUNCTION("""COMPUTED_VALUE"""),"Saída")</f>
        <v>Saída</v>
      </c>
      <c r="F254" s="34" t="str">
        <f>IFERROR(__xludf.DUMMYFUNCTION("""COMPUTED_VALUE"""),"PMM:livro-voador:")</f>
        <v>PMM:livro-voador:</v>
      </c>
      <c r="G254" s="39">
        <f t="array" ref="G254">XLOOKUP(B254,'Página9'!A:A,'Página9'!F:F,"")</f>
        <v>-158</v>
      </c>
      <c r="H254" s="39">
        <f t="array" ref="H254">XLOOKUP(B254,'Página9'!A:A,'Página9'!C:C,"")</f>
        <v>40</v>
      </c>
      <c r="I254" s="35" t="str">
        <f t="array" ref="I254">XLOOKUP(B254,'Página9'!A:A,'Página9'!G:G,"")</f>
        <v>REPOR ESTOQUE</v>
      </c>
      <c r="J254" s="25" t="str">
        <f t="shared" si="1"/>
        <v>PMM</v>
      </c>
      <c r="K254" s="25" t="str">
        <f>IFERROR(__xludf.DUMMYFUNCTION("""COMPUTED_VALUE"""),"Jose Antoniel Silva Mesquita")</f>
        <v>Jose Antoniel Silva Mesquita</v>
      </c>
    </row>
    <row r="255">
      <c r="A255" s="37">
        <f>IFERROR(__xludf.DUMMYFUNCTION("""COMPUTED_VALUE"""),45939.0)</f>
        <v>45939</v>
      </c>
      <c r="B255" s="42" t="str">
        <f>IFERROR(__xludf.DUMMYFUNCTION("""COMPUTED_VALUE"""),"MCC015UC0038")</f>
        <v>MCC015UC0038</v>
      </c>
      <c r="C255" s="31" t="str">
        <f>IFERROR(__xludf.DUMMYFUNCTION("""COMPUTED_VALUE"""),"BOBINA SHRINK 500MM")</f>
        <v>BOBINA SHRINK 500MM</v>
      </c>
      <c r="D255" s="39">
        <f>IFERROR(__xludf.DUMMYFUNCTION("""COMPUTED_VALUE"""),1.0)</f>
        <v>1</v>
      </c>
      <c r="E255" s="34" t="str">
        <f>IFERROR(__xludf.DUMMYFUNCTION("""COMPUTED_VALUE"""),"Saída")</f>
        <v>Saída</v>
      </c>
      <c r="F255" s="34" t="str">
        <f>IFERROR(__xludf.DUMMYFUNCTION("""COMPUTED_VALUE"""),"PMM:livro-voador:")</f>
        <v>PMM:livro-voador:</v>
      </c>
      <c r="G255" s="39">
        <f t="array" ref="G255">XLOOKUP(B255,'Página9'!A:A,'Página9'!F:F,"")</f>
        <v>13</v>
      </c>
      <c r="H255" s="39">
        <f t="array" ref="H255">XLOOKUP(B255,'Página9'!A:A,'Página9'!C:C,"")</f>
        <v>3</v>
      </c>
      <c r="I255" s="35" t="str">
        <f t="array" ref="I255">XLOOKUP(B255,'Página9'!A:A,'Página9'!G:G,"")</f>
        <v>OK</v>
      </c>
      <c r="J255" s="25" t="str">
        <f t="shared" si="1"/>
        <v>PMM</v>
      </c>
      <c r="K255" s="25" t="str">
        <f>IFERROR(__xludf.DUMMYFUNCTION("""COMPUTED_VALUE"""),"Jose Antoniel Silva Mesquita")</f>
        <v>Jose Antoniel Silva Mesquita</v>
      </c>
    </row>
    <row r="256">
      <c r="A256" s="37">
        <f>IFERROR(__xludf.DUMMYFUNCTION("""COMPUTED_VALUE"""),45939.0)</f>
        <v>45939</v>
      </c>
      <c r="B256" s="42" t="str">
        <f>IFERROR(__xludf.DUMMYFUNCTION("""COMPUTED_VALUE"""),"MCC046UC0638")</f>
        <v>MCC046UC0638</v>
      </c>
      <c r="C256" s="31" t="str">
        <f>IFERROR(__xludf.DUMMYFUNCTION("""COMPUTED_VALUE"""),"PILHA ALCALINA ELGIN PALITO AAA")</f>
        <v>PILHA ALCALINA ELGIN PALITO AAA</v>
      </c>
      <c r="D256" s="39">
        <f>IFERROR(__xludf.DUMMYFUNCTION("""COMPUTED_VALUE"""),1.0)</f>
        <v>1</v>
      </c>
      <c r="E256" s="34" t="str">
        <f>IFERROR(__xludf.DUMMYFUNCTION("""COMPUTED_VALUE"""),"Saída")</f>
        <v>Saída</v>
      </c>
      <c r="F256" s="34" t="str">
        <f>IFERROR(__xludf.DUMMYFUNCTION("""COMPUTED_VALUE"""),"PMM:livro-voador:")</f>
        <v>PMM:livro-voador:</v>
      </c>
      <c r="G256" s="39">
        <f t="array" ref="G256">XLOOKUP(B256,'Página9'!A:A,'Página9'!F:F,"")</f>
        <v>32</v>
      </c>
      <c r="H256" s="39">
        <f t="array" ref="H256">XLOOKUP(B256,'Página9'!A:A,'Página9'!C:C,"")</f>
        <v>4</v>
      </c>
      <c r="I256" s="35" t="str">
        <f t="array" ref="I256">XLOOKUP(B256,'Página9'!A:A,'Página9'!G:G,"")</f>
        <v>OK</v>
      </c>
      <c r="J256" s="25" t="str">
        <f t="shared" si="1"/>
        <v>PMM</v>
      </c>
      <c r="K256" s="25" t="str">
        <f>IFERROR(__xludf.DUMMYFUNCTION("""COMPUTED_VALUE"""),"Lisandra Marchi Da Silva")</f>
        <v>Lisandra Marchi Da Silva</v>
      </c>
    </row>
    <row r="257">
      <c r="A257" s="37">
        <f>IFERROR(__xludf.DUMMYFUNCTION("""COMPUTED_VALUE"""),45939.0)</f>
        <v>45939</v>
      </c>
      <c r="B257" s="42" t="str">
        <f>IFERROR(__xludf.DUMMYFUNCTION("""COMPUTED_VALUE"""),"MCC046UC0679")</f>
        <v>MCC046UC0679</v>
      </c>
      <c r="C257" s="31" t="str">
        <f>IFERROR(__xludf.DUMMYFUNCTION("""COMPUTED_VALUE"""),"EXTRATOR DE GRAMPO")</f>
        <v>EXTRATOR DE GRAMPO</v>
      </c>
      <c r="D257" s="39">
        <f>IFERROR(__xludf.DUMMYFUNCTION("""COMPUTED_VALUE"""),1.0)</f>
        <v>1</v>
      </c>
      <c r="E257" s="34" t="str">
        <f>IFERROR(__xludf.DUMMYFUNCTION("""COMPUTED_VALUE"""),"Saída")</f>
        <v>Saída</v>
      </c>
      <c r="F257" s="34" t="str">
        <f>IFERROR(__xludf.DUMMYFUNCTION("""COMPUTED_VALUE"""),"Recebimento:truck:")</f>
        <v>Recebimento:truck:</v>
      </c>
      <c r="G257" s="39">
        <f t="array" ref="G257">XLOOKUP(B257,'Página9'!A:A,'Página9'!F:F,"")</f>
        <v>13</v>
      </c>
      <c r="H257" s="39">
        <f t="array" ref="H257">XLOOKUP(B257,'Página9'!A:A,'Página9'!C:C,"")</f>
        <v>3</v>
      </c>
      <c r="I257" s="35" t="str">
        <f t="array" ref="I257">XLOOKUP(B257,'Página9'!A:A,'Página9'!G:G,"")</f>
        <v>OK</v>
      </c>
      <c r="J257" s="25" t="str">
        <f t="shared" si="1"/>
        <v>RECEBIMENTO</v>
      </c>
      <c r="K257" s="25" t="str">
        <f>IFERROR(__xludf.DUMMYFUNCTION("""COMPUTED_VALUE"""),"Jackson Alves Sales")</f>
        <v>Jackson Alves Sales</v>
      </c>
    </row>
    <row r="258">
      <c r="A258" s="37">
        <f>IFERROR(__xludf.DUMMYFUNCTION("""COMPUTED_VALUE"""),45939.0)</f>
        <v>45939</v>
      </c>
      <c r="B258" s="42" t="str">
        <f>IFERROR(__xludf.DUMMYFUNCTION("""COMPUTED_VALUE"""),"MCC015UC0008")</f>
        <v>MCC015UC0008</v>
      </c>
      <c r="C258" s="31" t="str">
        <f>IFERROR(__xludf.DUMMYFUNCTION("""COMPUTED_VALUE"""),"FILME STRETCH 500X25")</f>
        <v>FILME STRETCH 500X25</v>
      </c>
      <c r="D258" s="39">
        <f>IFERROR(__xludf.DUMMYFUNCTION("""COMPUTED_VALUE"""),1.0)</f>
        <v>1</v>
      </c>
      <c r="E258" s="34" t="str">
        <f>IFERROR(__xludf.DUMMYFUNCTION("""COMPUTED_VALUE"""),"Saída")</f>
        <v>Saída</v>
      </c>
      <c r="F258" s="34" t="str">
        <f>IFERROR(__xludf.DUMMYFUNCTION("""COMPUTED_VALUE"""),"Expedição:ex-escolas-exponenciais:")</f>
        <v>Expedição:ex-escolas-exponenciais:</v>
      </c>
      <c r="G258" s="39">
        <f t="array" ref="G258">XLOOKUP(B258,'Página9'!A:A,'Página9'!F:F,"")</f>
        <v>-158</v>
      </c>
      <c r="H258" s="39">
        <f t="array" ref="H258">XLOOKUP(B258,'Página9'!A:A,'Página9'!C:C,"")</f>
        <v>40</v>
      </c>
      <c r="I258" s="35" t="str">
        <f t="array" ref="I258">XLOOKUP(B258,'Página9'!A:A,'Página9'!G:G,"")</f>
        <v>REPOR ESTOQUE</v>
      </c>
      <c r="J258" s="25" t="str">
        <f t="shared" si="1"/>
        <v>EXPEDIÇÃO</v>
      </c>
      <c r="K258" s="25" t="str">
        <f>IFERROR(__xludf.DUMMYFUNCTION("""COMPUTED_VALUE"""),"Jose Antoniel Silva Mesquita")</f>
        <v>Jose Antoniel Silva Mesquita</v>
      </c>
    </row>
    <row r="259">
      <c r="A259" s="37">
        <f>IFERROR(__xludf.DUMMYFUNCTION("""COMPUTED_VALUE"""),45939.0)</f>
        <v>45939</v>
      </c>
      <c r="B259" s="42" t="str">
        <f>IFERROR(__xludf.DUMMYFUNCTION("""COMPUTED_VALUE"""),"MCC015UC0008")</f>
        <v>MCC015UC0008</v>
      </c>
      <c r="C259" s="31" t="str">
        <f>IFERROR(__xludf.DUMMYFUNCTION("""COMPUTED_VALUE"""),"FILME STRETCH 500X25")</f>
        <v>FILME STRETCH 500X25</v>
      </c>
      <c r="D259" s="39">
        <f>IFERROR(__xludf.DUMMYFUNCTION("""COMPUTED_VALUE"""),8.0)</f>
        <v>8</v>
      </c>
      <c r="E259" s="34" t="str">
        <f>IFERROR(__xludf.DUMMYFUNCTION("""COMPUTED_VALUE"""),"Saída")</f>
        <v>Saída</v>
      </c>
      <c r="F259" s="34" t="str">
        <f>IFERROR(__xludf.DUMMYFUNCTION("""COMPUTED_VALUE"""),"Expedição:ex-escolas-exponenciais:")</f>
        <v>Expedição:ex-escolas-exponenciais:</v>
      </c>
      <c r="G259" s="39">
        <f t="array" ref="G259">XLOOKUP(B259,'Página9'!A:A,'Página9'!F:F,"")</f>
        <v>-158</v>
      </c>
      <c r="H259" s="39">
        <f t="array" ref="H259">XLOOKUP(B259,'Página9'!A:A,'Página9'!C:C,"")</f>
        <v>40</v>
      </c>
      <c r="I259" s="35" t="str">
        <f t="array" ref="I259">XLOOKUP(B259,'Página9'!A:A,'Página9'!G:G,"")</f>
        <v>REPOR ESTOQUE</v>
      </c>
      <c r="J259" s="25" t="str">
        <f t="shared" si="1"/>
        <v>EXPEDIÇÃO</v>
      </c>
      <c r="K259" s="25" t="str">
        <f>IFERROR(__xludf.DUMMYFUNCTION("""COMPUTED_VALUE"""),"Francisco Samuel Trindade Nascimento")</f>
        <v>Francisco Samuel Trindade Nascimento</v>
      </c>
    </row>
    <row r="260">
      <c r="A260" s="37">
        <f>IFERROR(__xludf.DUMMYFUNCTION("""COMPUTED_VALUE"""),45939.0)</f>
        <v>45939</v>
      </c>
      <c r="B260" s="42" t="str">
        <f>IFERROR(__xludf.DUMMYFUNCTION("""COMPUTED_VALUE"""),"MCC046UC0540")</f>
        <v>MCC046UC0540</v>
      </c>
      <c r="C260" s="31" t="str">
        <f>IFERROR(__xludf.DUMMYFUNCTION("""COMPUTED_VALUE"""),"POST-IT 653 C/4 BL 38X50MM VERDE/ROSA 100FLS 3M")</f>
        <v>POST-IT 653 C/4 BL 38X50MM VERDE/ROSA 100FLS 3M</v>
      </c>
      <c r="D260" s="39">
        <f>IFERROR(__xludf.DUMMYFUNCTION("""COMPUTED_VALUE"""),1.0)</f>
        <v>1</v>
      </c>
      <c r="E260" s="34" t="str">
        <f>IFERROR(__xludf.DUMMYFUNCTION("""COMPUTED_VALUE"""),"Saída")</f>
        <v>Saída</v>
      </c>
      <c r="F260" s="34" t="str">
        <f>IFERROR(__xludf.DUMMYFUNCTION("""COMPUTED_VALUE"""),"Expedição:ex-escolas-exponenciais:")</f>
        <v>Expedição:ex-escolas-exponenciais:</v>
      </c>
      <c r="G260" s="39">
        <f t="array" ref="G260">XLOOKUP(B260,'Página9'!A:A,'Página9'!F:F,"")</f>
        <v>0</v>
      </c>
      <c r="H260" s="39">
        <f t="array" ref="H260">XLOOKUP(B260,'Página9'!A:A,'Página9'!C:C,"")</f>
        <v>3</v>
      </c>
      <c r="I260" s="35" t="str">
        <f t="array" ref="I260">XLOOKUP(B260,'Página9'!A:A,'Página9'!G:G,"")</f>
        <v>REPOR ESTOQUE</v>
      </c>
      <c r="J260" s="25" t="str">
        <f t="shared" si="1"/>
        <v>EXPEDIÇÃO</v>
      </c>
      <c r="K260" s="25" t="str">
        <f>IFERROR(__xludf.DUMMYFUNCTION("""COMPUTED_VALUE"""),"Diego Araujo Dias")</f>
        <v>Diego Araujo Dias</v>
      </c>
    </row>
    <row r="261">
      <c r="A261" s="37">
        <f>IFERROR(__xludf.DUMMYFUNCTION("""COMPUTED_VALUE"""),45944.0)</f>
        <v>45944</v>
      </c>
      <c r="B261" s="42" t="str">
        <f>IFERROR(__xludf.DUMMYFUNCTION("""COMPUTED_VALUE"""),"MCC015UC0008")</f>
        <v>MCC015UC0008</v>
      </c>
      <c r="C261" s="31" t="str">
        <f>IFERROR(__xludf.DUMMYFUNCTION("""COMPUTED_VALUE"""),"FILME STRETCH 500X25")</f>
        <v>FILME STRETCH 500X25</v>
      </c>
      <c r="D261" s="39">
        <f>IFERROR(__xludf.DUMMYFUNCTION("""COMPUTED_VALUE"""),3.0)</f>
        <v>3</v>
      </c>
      <c r="E261" s="34" t="str">
        <f>IFERROR(__xludf.DUMMYFUNCTION("""COMPUTED_VALUE"""),"Saída")</f>
        <v>Saída</v>
      </c>
      <c r="F261" s="34" t="str">
        <f>IFERROR(__xludf.DUMMYFUNCTION("""COMPUTED_VALUE"""),"Expedição:ex-escolas-exponenciais:")</f>
        <v>Expedição:ex-escolas-exponenciais:</v>
      </c>
      <c r="G261" s="39">
        <f t="array" ref="G261">XLOOKUP(B261,'Página9'!A:A,'Página9'!F:F,"")</f>
        <v>-158</v>
      </c>
      <c r="H261" s="39">
        <f t="array" ref="H261">XLOOKUP(B261,'Página9'!A:A,'Página9'!C:C,"")</f>
        <v>40</v>
      </c>
      <c r="I261" s="35" t="str">
        <f t="array" ref="I261">XLOOKUP(B261,'Página9'!A:A,'Página9'!G:G,"")</f>
        <v>REPOR ESTOQUE</v>
      </c>
      <c r="J261" s="25" t="str">
        <f t="shared" si="1"/>
        <v>EXPEDIÇÃO</v>
      </c>
      <c r="K261" s="25" t="str">
        <f>IFERROR(__xludf.DUMMYFUNCTION("""COMPUTED_VALUE"""),"Jose Antoniel Silva Mesquita")</f>
        <v>Jose Antoniel Silva Mesquita</v>
      </c>
    </row>
    <row r="262">
      <c r="A262" s="37">
        <f>IFERROR(__xludf.DUMMYFUNCTION("""COMPUTED_VALUE"""),45944.0)</f>
        <v>45944</v>
      </c>
      <c r="B262" s="42" t="str">
        <f>IFERROR(__xludf.DUMMYFUNCTION("""COMPUTED_VALUE"""),"MCC015UC0008")</f>
        <v>MCC015UC0008</v>
      </c>
      <c r="C262" s="31" t="str">
        <f>IFERROR(__xludf.DUMMYFUNCTION("""COMPUTED_VALUE"""),"FILME STRETCH 500X25")</f>
        <v>FILME STRETCH 500X25</v>
      </c>
      <c r="D262" s="39">
        <f>IFERROR(__xludf.DUMMYFUNCTION("""COMPUTED_VALUE"""),20.0)</f>
        <v>20</v>
      </c>
      <c r="E262" s="34" t="str">
        <f>IFERROR(__xludf.DUMMYFUNCTION("""COMPUTED_VALUE"""),"Saída")</f>
        <v>Saída</v>
      </c>
      <c r="F262" s="34" t="str">
        <f>IFERROR(__xludf.DUMMYFUNCTION("""COMPUTED_VALUE"""),"Recebimento:truck:")</f>
        <v>Recebimento:truck:</v>
      </c>
      <c r="G262" s="39">
        <f t="array" ref="G262">XLOOKUP(B262,'Página9'!A:A,'Página9'!F:F,"")</f>
        <v>-158</v>
      </c>
      <c r="H262" s="39">
        <f t="array" ref="H262">XLOOKUP(B262,'Página9'!A:A,'Página9'!C:C,"")</f>
        <v>40</v>
      </c>
      <c r="I262" s="35" t="str">
        <f t="array" ref="I262">XLOOKUP(B262,'Página9'!A:A,'Página9'!G:G,"")</f>
        <v>REPOR ESTOQUE</v>
      </c>
      <c r="J262" s="25" t="str">
        <f t="shared" si="1"/>
        <v>RECEBIMENTO</v>
      </c>
      <c r="K262" s="25" t="str">
        <f>IFERROR(__xludf.DUMMYFUNCTION("""COMPUTED_VALUE"""),"Allison Breno Da Costa Borges Soares")</f>
        <v>Allison Breno Da Costa Borges Soares</v>
      </c>
    </row>
    <row r="263">
      <c r="A263" s="37">
        <f>IFERROR(__xludf.DUMMYFUNCTION("""COMPUTED_VALUE"""),45944.0)</f>
        <v>45944</v>
      </c>
      <c r="B263" s="42" t="str">
        <f>IFERROR(__xludf.DUMMYFUNCTION("""COMPUTED_VALUE"""),"MCC015UC0045")</f>
        <v>MCC015UC0045</v>
      </c>
      <c r="C263" s="31" t="str">
        <f>IFERROR(__xludf.DUMMYFUNCTION("""COMPUTED_VALUE"""),"FITA ADESIVA 69MM X 100M")</f>
        <v>FITA ADESIVA 69MM X 100M</v>
      </c>
      <c r="D263" s="39">
        <f>IFERROR(__xludf.DUMMYFUNCTION("""COMPUTED_VALUE"""),3.0)</f>
        <v>3</v>
      </c>
      <c r="E263" s="34" t="str">
        <f>IFERROR(__xludf.DUMMYFUNCTION("""COMPUTED_VALUE"""),"Saída")</f>
        <v>Saída</v>
      </c>
      <c r="F263" s="34" t="str">
        <f>IFERROR(__xludf.DUMMYFUNCTION("""COMPUTED_VALUE"""),"Expedição:ex-escolas-exponenciais:")</f>
        <v>Expedição:ex-escolas-exponenciais:</v>
      </c>
      <c r="G263" s="39">
        <f t="array" ref="G263">XLOOKUP(B263,'Página9'!A:A,'Página9'!F:F,"")</f>
        <v>287</v>
      </c>
      <c r="H263" s="39">
        <f t="array" ref="H263">XLOOKUP(B263,'Página9'!A:A,'Página9'!C:C,"")</f>
        <v>20</v>
      </c>
      <c r="I263" s="35" t="str">
        <f t="array" ref="I263">XLOOKUP(B263,'Página9'!A:A,'Página9'!G:G,"")</f>
        <v>OK</v>
      </c>
      <c r="J263" s="25" t="str">
        <f t="shared" si="1"/>
        <v>EXPEDIÇÃO</v>
      </c>
      <c r="K263" s="25" t="str">
        <f>IFERROR(__xludf.DUMMYFUNCTION("""COMPUTED_VALUE"""),"Matheus De Almeida Rodrigues")</f>
        <v>Matheus De Almeida Rodrigues</v>
      </c>
    </row>
    <row r="264">
      <c r="A264" s="37">
        <f>IFERROR(__xludf.DUMMYFUNCTION("""COMPUTED_VALUE"""),45944.0)</f>
        <v>45944</v>
      </c>
      <c r="B264" s="42" t="str">
        <f>IFERROR(__xludf.DUMMYFUNCTION("""COMPUTED_VALUE"""),"MCC015UC0045")</f>
        <v>MCC015UC0045</v>
      </c>
      <c r="C264" s="31" t="str">
        <f>IFERROR(__xludf.DUMMYFUNCTION("""COMPUTED_VALUE"""),"FITA ADESIVA 69MM X 100M")</f>
        <v>FITA ADESIVA 69MM X 100M</v>
      </c>
      <c r="D264" s="39">
        <f>IFERROR(__xludf.DUMMYFUNCTION("""COMPUTED_VALUE"""),24.0)</f>
        <v>24</v>
      </c>
      <c r="E264" s="34" t="str">
        <f>IFERROR(__xludf.DUMMYFUNCTION("""COMPUTED_VALUE"""),"Saída")</f>
        <v>Saída</v>
      </c>
      <c r="F264" s="34" t="str">
        <f>IFERROR(__xludf.DUMMYFUNCTION("""COMPUTED_VALUE"""),"Expedição:ex-escolas-exponenciais:")</f>
        <v>Expedição:ex-escolas-exponenciais:</v>
      </c>
      <c r="G264" s="39">
        <f t="array" ref="G264">XLOOKUP(B264,'Página9'!A:A,'Página9'!F:F,"")</f>
        <v>287</v>
      </c>
      <c r="H264" s="39">
        <f t="array" ref="H264">XLOOKUP(B264,'Página9'!A:A,'Página9'!C:C,"")</f>
        <v>20</v>
      </c>
      <c r="I264" s="35" t="str">
        <f t="array" ref="I264">XLOOKUP(B264,'Página9'!A:A,'Página9'!G:G,"")</f>
        <v>OK</v>
      </c>
      <c r="J264" s="25" t="str">
        <f t="shared" si="1"/>
        <v>EXPEDIÇÃO</v>
      </c>
      <c r="K264" s="25" t="str">
        <f>IFERROR(__xludf.DUMMYFUNCTION("""COMPUTED_VALUE"""),"Silvana Da Silva Pereira")</f>
        <v>Silvana Da Silva Pereira</v>
      </c>
    </row>
    <row r="265">
      <c r="A265" s="37">
        <f>IFERROR(__xludf.DUMMYFUNCTION("""COMPUTED_VALUE"""),45944.0)</f>
        <v>45944</v>
      </c>
      <c r="B265" s="42" t="str">
        <f>IFERROR(__xludf.DUMMYFUNCTION("""COMPUTED_VALUE"""),"MCC049UC0600")</f>
        <v>MCC049UC0600</v>
      </c>
      <c r="C265" s="31" t="str">
        <f>IFERROR(__xludf.DUMMYFUNCTION("""COMPUTED_VALUE"""),"FITA ADESIVA P/ CACHORRO PERSONALIZADA")</f>
        <v>FITA ADESIVA P/ CACHORRO PERSONALIZADA</v>
      </c>
      <c r="D265" s="39">
        <f>IFERROR(__xludf.DUMMYFUNCTION("""COMPUTED_VALUE"""),12.0)</f>
        <v>12</v>
      </c>
      <c r="E265" s="34" t="str">
        <f>IFERROR(__xludf.DUMMYFUNCTION("""COMPUTED_VALUE"""),"Saída")</f>
        <v>Saída</v>
      </c>
      <c r="F265" s="34" t="str">
        <f>IFERROR(__xludf.DUMMYFUNCTION("""COMPUTED_VALUE"""),"Recebimento:truck:")</f>
        <v>Recebimento:truck:</v>
      </c>
      <c r="G265" s="39">
        <f t="array" ref="G265">XLOOKUP(B265,'Página9'!A:A,'Página9'!F:F,"")</f>
        <v>156</v>
      </c>
      <c r="H265" s="39">
        <f t="array" ref="H265">XLOOKUP(B265,'Página9'!A:A,'Página9'!C:C,"")</f>
        <v>10</v>
      </c>
      <c r="I265" s="35" t="str">
        <f t="array" ref="I265">XLOOKUP(B265,'Página9'!A:A,'Página9'!G:G,"")</f>
        <v>OK</v>
      </c>
      <c r="J265" s="25" t="str">
        <f t="shared" si="1"/>
        <v>RECEBIMENTO</v>
      </c>
      <c r="K265" s="25" t="str">
        <f>IFERROR(__xludf.DUMMYFUNCTION("""COMPUTED_VALUE"""),"Silvana Da Silva Pereira")</f>
        <v>Silvana Da Silva Pereira</v>
      </c>
    </row>
    <row r="266">
      <c r="A266" s="37">
        <f>IFERROR(__xludf.DUMMYFUNCTION("""COMPUTED_VALUE"""),45944.0)</f>
        <v>45944</v>
      </c>
      <c r="B266" s="42" t="str">
        <f>IFERROR(__xludf.DUMMYFUNCTION("""COMPUTED_VALUE"""),"MCC049UC0600")</f>
        <v>MCC049UC0600</v>
      </c>
      <c r="C266" s="31" t="str">
        <f>IFERROR(__xludf.DUMMYFUNCTION("""COMPUTED_VALUE"""),"FITA ADESIVA P/ CACHORRO PERSONALIZADA")</f>
        <v>FITA ADESIVA P/ CACHORRO PERSONALIZADA</v>
      </c>
      <c r="D266" s="39">
        <f>IFERROR(__xludf.DUMMYFUNCTION("""COMPUTED_VALUE"""),12.0)</f>
        <v>12</v>
      </c>
      <c r="E266" s="34" t="str">
        <f>IFERROR(__xludf.DUMMYFUNCTION("""COMPUTED_VALUE"""),"Saída")</f>
        <v>Saída</v>
      </c>
      <c r="F266" s="34" t="str">
        <f>IFERROR(__xludf.DUMMYFUNCTION("""COMPUTED_VALUE"""),"Expedição:ex-escolas-exponenciais:")</f>
        <v>Expedição:ex-escolas-exponenciais:</v>
      </c>
      <c r="G266" s="39">
        <f t="array" ref="G266">XLOOKUP(B266,'Página9'!A:A,'Página9'!F:F,"")</f>
        <v>156</v>
      </c>
      <c r="H266" s="39">
        <f t="array" ref="H266">XLOOKUP(B266,'Página9'!A:A,'Página9'!C:C,"")</f>
        <v>10</v>
      </c>
      <c r="I266" s="35" t="str">
        <f t="array" ref="I266">XLOOKUP(B266,'Página9'!A:A,'Página9'!G:G,"")</f>
        <v>OK</v>
      </c>
      <c r="J266" s="25" t="str">
        <f t="shared" si="1"/>
        <v>EXPEDIÇÃO</v>
      </c>
      <c r="K266" s="25" t="str">
        <f>IFERROR(__xludf.DUMMYFUNCTION("""COMPUTED_VALUE"""),"Silvana Da Silva Pereira")</f>
        <v>Silvana Da Silva Pereira</v>
      </c>
    </row>
    <row r="267">
      <c r="A267" s="37">
        <f>IFERROR(__xludf.DUMMYFUNCTION("""COMPUTED_VALUE"""),45944.0)</f>
        <v>45944</v>
      </c>
      <c r="B267" s="42" t="str">
        <f>IFERROR(__xludf.DUMMYFUNCTION("""COMPUTED_VALUE"""),"MCC015UC0008")</f>
        <v>MCC015UC0008</v>
      </c>
      <c r="C267" s="31" t="str">
        <f>IFERROR(__xludf.DUMMYFUNCTION("""COMPUTED_VALUE"""),"FILME STRETCH 500X25")</f>
        <v>FILME STRETCH 500X25</v>
      </c>
      <c r="D267" s="39">
        <f>IFERROR(__xludf.DUMMYFUNCTION("""COMPUTED_VALUE"""),6.0)</f>
        <v>6</v>
      </c>
      <c r="E267" s="34" t="str">
        <f>IFERROR(__xludf.DUMMYFUNCTION("""COMPUTED_VALUE"""),"Saída")</f>
        <v>Saída</v>
      </c>
      <c r="F267" s="34" t="str">
        <f>IFERROR(__xludf.DUMMYFUNCTION("""COMPUTED_VALUE"""),"Expedição:ex-escolas-exponenciais:")</f>
        <v>Expedição:ex-escolas-exponenciais:</v>
      </c>
      <c r="G267" s="39">
        <f t="array" ref="G267">XLOOKUP(B267,'Página9'!A:A,'Página9'!F:F,"")</f>
        <v>-158</v>
      </c>
      <c r="H267" s="39">
        <f t="array" ref="H267">XLOOKUP(B267,'Página9'!A:A,'Página9'!C:C,"")</f>
        <v>40</v>
      </c>
      <c r="I267" s="35" t="str">
        <f t="array" ref="I267">XLOOKUP(B267,'Página9'!A:A,'Página9'!G:G,"")</f>
        <v>REPOR ESTOQUE</v>
      </c>
      <c r="J267" s="25" t="str">
        <f t="shared" si="1"/>
        <v>EXPEDIÇÃO</v>
      </c>
      <c r="K267" s="25" t="str">
        <f>IFERROR(__xludf.DUMMYFUNCTION("""COMPUTED_VALUE"""),"Jackson Alves Sales")</f>
        <v>Jackson Alves Sales</v>
      </c>
    </row>
    <row r="268">
      <c r="A268" s="37">
        <f>IFERROR(__xludf.DUMMYFUNCTION("""COMPUTED_VALUE"""),45944.0)</f>
        <v>45944</v>
      </c>
      <c r="B268" s="42" t="str">
        <f>IFERROR(__xludf.DUMMYFUNCTION("""COMPUTED_VALUE"""),"MCC046UC0215")</f>
        <v>MCC046UC0215</v>
      </c>
      <c r="C268" s="31" t="str">
        <f>IFERROR(__xludf.DUMMYFUNCTION("""COMPUTED_VALUE"""),"CANETA ESFEROGRAFICA ECONOMIC AZUL BIC")</f>
        <v>CANETA ESFEROGRAFICA ECONOMIC AZUL BIC</v>
      </c>
      <c r="D268" s="39">
        <f>IFERROR(__xludf.DUMMYFUNCTION("""COMPUTED_VALUE"""),7.0)</f>
        <v>7</v>
      </c>
      <c r="E268" s="34" t="str">
        <f>IFERROR(__xludf.DUMMYFUNCTION("""COMPUTED_VALUE"""),"Saída")</f>
        <v>Saída</v>
      </c>
      <c r="F268" s="34" t="str">
        <f>IFERROR(__xludf.DUMMYFUNCTION("""COMPUTED_VALUE"""),"Expedição:ex-escolas-exponenciais:")</f>
        <v>Expedição:ex-escolas-exponenciais:</v>
      </c>
      <c r="G268" s="39">
        <f t="array" ref="G268">XLOOKUP(B268,'Página9'!A:A,'Página9'!F:F,"")</f>
        <v>-20</v>
      </c>
      <c r="H268" s="39">
        <f t="array" ref="H268">XLOOKUP(B268,'Página9'!A:A,'Página9'!C:C,"")</f>
        <v>15</v>
      </c>
      <c r="I268" s="35" t="str">
        <f t="array" ref="I268">XLOOKUP(B268,'Página9'!A:A,'Página9'!G:G,"")</f>
        <v>REPOR ESTOQUE</v>
      </c>
      <c r="J268" s="25" t="str">
        <f t="shared" si="1"/>
        <v>EXPEDIÇÃO</v>
      </c>
      <c r="K268" s="25" t="str">
        <f>IFERROR(__xludf.DUMMYFUNCTION("""COMPUTED_VALUE"""),"Antonio Marcos De Albuquerque")</f>
        <v>Antonio Marcos De Albuquerque</v>
      </c>
    </row>
    <row r="269">
      <c r="A269" s="37">
        <f>IFERROR(__xludf.DUMMYFUNCTION("""COMPUTED_VALUE"""),45944.0)</f>
        <v>45944</v>
      </c>
      <c r="B269" s="42" t="str">
        <f>IFERROR(__xludf.DUMMYFUNCTION("""COMPUTED_VALUE"""),"MCC015UC0008")</f>
        <v>MCC015UC0008</v>
      </c>
      <c r="C269" s="31" t="str">
        <f>IFERROR(__xludf.DUMMYFUNCTION("""COMPUTED_VALUE"""),"FILME STRETCH 500X25")</f>
        <v>FILME STRETCH 500X25</v>
      </c>
      <c r="D269" s="39">
        <f>IFERROR(__xludf.DUMMYFUNCTION("""COMPUTED_VALUE"""),6.0)</f>
        <v>6</v>
      </c>
      <c r="E269" s="34" t="str">
        <f>IFERROR(__xludf.DUMMYFUNCTION("""COMPUTED_VALUE"""),"Saída")</f>
        <v>Saída</v>
      </c>
      <c r="F269" s="34" t="str">
        <f>IFERROR(__xludf.DUMMYFUNCTION("""COMPUTED_VALUE"""),"Expedição:ex-escolas-exponenciais:")</f>
        <v>Expedição:ex-escolas-exponenciais:</v>
      </c>
      <c r="G269" s="39">
        <f t="array" ref="G269">XLOOKUP(B269,'Página9'!A:A,'Página9'!F:F,"")</f>
        <v>-158</v>
      </c>
      <c r="H269" s="39">
        <f t="array" ref="H269">XLOOKUP(B269,'Página9'!A:A,'Página9'!C:C,"")</f>
        <v>40</v>
      </c>
      <c r="I269" s="35" t="str">
        <f t="array" ref="I269">XLOOKUP(B269,'Página9'!A:A,'Página9'!G:G,"")</f>
        <v>REPOR ESTOQUE</v>
      </c>
      <c r="J269" s="25" t="str">
        <f t="shared" si="1"/>
        <v>EXPEDIÇÃO</v>
      </c>
      <c r="K269" s="25" t="str">
        <f>IFERROR(__xludf.DUMMYFUNCTION("""COMPUTED_VALUE"""),"Jackson Alves Sales")</f>
        <v>Jackson Alves Sales</v>
      </c>
    </row>
    <row r="270">
      <c r="A270" s="37">
        <f>IFERROR(__xludf.DUMMYFUNCTION("""COMPUTED_VALUE"""),45944.0)</f>
        <v>45944</v>
      </c>
      <c r="B270" s="42" t="str">
        <f>IFERROR(__xludf.DUMMYFUNCTION("""COMPUTED_VALUE"""),"MCC015UC0008")</f>
        <v>MCC015UC0008</v>
      </c>
      <c r="C270" s="31" t="str">
        <f>IFERROR(__xludf.DUMMYFUNCTION("""COMPUTED_VALUE"""),"FILME STRETCH 500X25")</f>
        <v>FILME STRETCH 500X25</v>
      </c>
      <c r="D270" s="39">
        <f>IFERROR(__xludf.DUMMYFUNCTION("""COMPUTED_VALUE"""),2.0)</f>
        <v>2</v>
      </c>
      <c r="E270" s="34" t="str">
        <f>IFERROR(__xludf.DUMMYFUNCTION("""COMPUTED_VALUE"""),"Saída")</f>
        <v>Saída</v>
      </c>
      <c r="F270" s="34" t="str">
        <f>IFERROR(__xludf.DUMMYFUNCTION("""COMPUTED_VALUE"""),"Expedição:ex-escolas-exponenciais:")</f>
        <v>Expedição:ex-escolas-exponenciais:</v>
      </c>
      <c r="G270" s="39">
        <f t="array" ref="G270">XLOOKUP(B270,'Página9'!A:A,'Página9'!F:F,"")</f>
        <v>-158</v>
      </c>
      <c r="H270" s="39">
        <f t="array" ref="H270">XLOOKUP(B270,'Página9'!A:A,'Página9'!C:C,"")</f>
        <v>40</v>
      </c>
      <c r="I270" s="35" t="str">
        <f t="array" ref="I270">XLOOKUP(B270,'Página9'!A:A,'Página9'!G:G,"")</f>
        <v>REPOR ESTOQUE</v>
      </c>
      <c r="J270" s="25" t="str">
        <f t="shared" si="1"/>
        <v>EXPEDIÇÃO</v>
      </c>
      <c r="K270" s="25" t="str">
        <f>IFERROR(__xludf.DUMMYFUNCTION("""COMPUTED_VALUE"""),"Jose Antoniel Silva Mesquita")</f>
        <v>Jose Antoniel Silva Mesquita</v>
      </c>
    </row>
    <row r="271">
      <c r="A271" s="37">
        <f>IFERROR(__xludf.DUMMYFUNCTION("""COMPUTED_VALUE"""),45944.0)</f>
        <v>45944</v>
      </c>
      <c r="B271" s="42" t="str">
        <f>IFERROR(__xludf.DUMMYFUNCTION("""COMPUTED_VALUE"""),"MCC015UC0008")</f>
        <v>MCC015UC0008</v>
      </c>
      <c r="C271" s="31" t="str">
        <f>IFERROR(__xludf.DUMMYFUNCTION("""COMPUTED_VALUE"""),"FILME STRETCH 500X25")</f>
        <v>FILME STRETCH 500X25</v>
      </c>
      <c r="D271" s="39">
        <f>IFERROR(__xludf.DUMMYFUNCTION("""COMPUTED_VALUE"""),2.0)</f>
        <v>2</v>
      </c>
      <c r="E271" s="34" t="str">
        <f>IFERROR(__xludf.DUMMYFUNCTION("""COMPUTED_VALUE"""),"Saída")</f>
        <v>Saída</v>
      </c>
      <c r="F271" s="34" t="str">
        <f>IFERROR(__xludf.DUMMYFUNCTION("""COMPUTED_VALUE"""),"Estoque:package:")</f>
        <v>Estoque:package:</v>
      </c>
      <c r="G271" s="39">
        <f t="array" ref="G271">XLOOKUP(B271,'Página9'!A:A,'Página9'!F:F,"")</f>
        <v>-158</v>
      </c>
      <c r="H271" s="39">
        <f t="array" ref="H271">XLOOKUP(B271,'Página9'!A:A,'Página9'!C:C,"")</f>
        <v>40</v>
      </c>
      <c r="I271" s="35" t="str">
        <f t="array" ref="I271">XLOOKUP(B271,'Página9'!A:A,'Página9'!G:G,"")</f>
        <v>REPOR ESTOQUE</v>
      </c>
      <c r="J271" s="25" t="str">
        <f t="shared" si="1"/>
        <v>ESTOQUE</v>
      </c>
      <c r="K271" s="25" t="str">
        <f>IFERROR(__xludf.DUMMYFUNCTION("""COMPUTED_VALUE"""),"Rodrigo Aragao Goncalves")</f>
        <v>Rodrigo Aragao Goncalves</v>
      </c>
    </row>
    <row r="272">
      <c r="A272" s="37">
        <f>IFERROR(__xludf.DUMMYFUNCTION("""COMPUTED_VALUE"""),45944.0)</f>
        <v>45944</v>
      </c>
      <c r="B272" s="42" t="str">
        <f>IFERROR(__xludf.DUMMYFUNCTION("""COMPUTED_VALUE"""),"MCC049UC0603")</f>
        <v>MCC049UC0603</v>
      </c>
      <c r="C272" s="31" t="str">
        <f>IFERROR(__xludf.DUMMYFUNCTION("""COMPUTED_VALUE"""),"PLASTICO PLASTIF. A-4 220/307 C/100 UN PROLAM")</f>
        <v>PLASTICO PLASTIF. A-4 220/307 C/100 UN PROLAM</v>
      </c>
      <c r="D272" s="39">
        <f>IFERROR(__xludf.DUMMYFUNCTION("""COMPUTED_VALUE"""),6.0)</f>
        <v>6</v>
      </c>
      <c r="E272" s="34" t="str">
        <f>IFERROR(__xludf.DUMMYFUNCTION("""COMPUTED_VALUE"""),"Saída")</f>
        <v>Saída</v>
      </c>
      <c r="F272" s="34" t="str">
        <f>IFERROR(__xludf.DUMMYFUNCTION("""COMPUTED_VALUE"""),"Recebimento:truck:")</f>
        <v>Recebimento:truck:</v>
      </c>
      <c r="G272" s="39">
        <f t="array" ref="G272">XLOOKUP(B272,'Página9'!A:A,'Página9'!F:F,"")</f>
        <v>-504</v>
      </c>
      <c r="H272" s="39">
        <f t="array" ref="H272">XLOOKUP(B272,'Página9'!A:A,'Página9'!C:C,"")</f>
        <v>150</v>
      </c>
      <c r="I272" s="35" t="str">
        <f t="array" ref="I272">XLOOKUP(B272,'Página9'!A:A,'Página9'!G:G,"")</f>
        <v>REPOR ESTOQUE</v>
      </c>
      <c r="J272" s="25" t="str">
        <f t="shared" si="1"/>
        <v>RECEBIMENTO</v>
      </c>
      <c r="K272" s="25" t="str">
        <f>IFERROR(__xludf.DUMMYFUNCTION("""COMPUTED_VALUE"""),"Jackson Alves Sales")</f>
        <v>Jackson Alves Sales</v>
      </c>
    </row>
    <row r="273">
      <c r="A273" s="37">
        <f>IFERROR(__xludf.DUMMYFUNCTION("""COMPUTED_VALUE"""),45944.0)</f>
        <v>45944</v>
      </c>
      <c r="B273" s="42" t="str">
        <f>IFERROR(__xludf.DUMMYFUNCTION("""COMPUTED_VALUE"""),"MCC015UC0045")</f>
        <v>MCC015UC0045</v>
      </c>
      <c r="C273" s="31" t="str">
        <f>IFERROR(__xludf.DUMMYFUNCTION("""COMPUTED_VALUE"""),"FITA ADESIVA 69MM X 100M")</f>
        <v>FITA ADESIVA 69MM X 100M</v>
      </c>
      <c r="D273" s="39">
        <f>IFERROR(__xludf.DUMMYFUNCTION("""COMPUTED_VALUE"""),8.0)</f>
        <v>8</v>
      </c>
      <c r="E273" s="34" t="str">
        <f>IFERROR(__xludf.DUMMYFUNCTION("""COMPUTED_VALUE"""),"Saída")</f>
        <v>Saída</v>
      </c>
      <c r="F273" s="34" t="str">
        <f>IFERROR(__xludf.DUMMYFUNCTION("""COMPUTED_VALUE"""),"CIQ :qualidade:")</f>
        <v>CIQ :qualidade:</v>
      </c>
      <c r="G273" s="39">
        <f t="array" ref="G273">XLOOKUP(B273,'Página9'!A:A,'Página9'!F:F,"")</f>
        <v>287</v>
      </c>
      <c r="H273" s="39">
        <f t="array" ref="H273">XLOOKUP(B273,'Página9'!A:A,'Página9'!C:C,"")</f>
        <v>20</v>
      </c>
      <c r="I273" s="35" t="str">
        <f t="array" ref="I273">XLOOKUP(B273,'Página9'!A:A,'Página9'!G:G,"")</f>
        <v>OK</v>
      </c>
      <c r="J273" s="25" t="str">
        <f t="shared" si="1"/>
        <v>CIQ</v>
      </c>
      <c r="K273" s="25" t="str">
        <f>IFERROR(__xludf.DUMMYFUNCTION("""COMPUTED_VALUE"""),"Allison Breno Da Costa Borges Soares")</f>
        <v>Allison Breno Da Costa Borges Soares</v>
      </c>
    </row>
    <row r="274">
      <c r="A274" s="37">
        <f>IFERROR(__xludf.DUMMYFUNCTION("""COMPUTED_VALUE"""),45944.0)</f>
        <v>45944</v>
      </c>
      <c r="B274" s="42" t="str">
        <f>IFERROR(__xludf.DUMMYFUNCTION("""COMPUTED_VALUE"""),"MCC049UC0602")</f>
        <v>MCC049UC0602</v>
      </c>
      <c r="C274" s="31" t="str">
        <f>IFERROR(__xludf.DUMMYFUNCTION("""COMPUTED_VALUE"""),"PLASTICO PLASTIF. A3 C/100 UN PROLAM")</f>
        <v>PLASTICO PLASTIF. A3 C/100 UN PROLAM</v>
      </c>
      <c r="D274" s="39">
        <f>IFERROR(__xludf.DUMMYFUNCTION("""COMPUTED_VALUE"""),20.0)</f>
        <v>20</v>
      </c>
      <c r="E274" s="34" t="str">
        <f>IFERROR(__xludf.DUMMYFUNCTION("""COMPUTED_VALUE"""),"Saída")</f>
        <v>Saída</v>
      </c>
      <c r="F274" s="34" t="str">
        <f>IFERROR(__xludf.DUMMYFUNCTION("""COMPUTED_VALUE"""),"Recebimento:truck:")</f>
        <v>Recebimento:truck:</v>
      </c>
      <c r="G274" s="39">
        <f t="array" ref="G274">XLOOKUP(B274,'Página9'!A:A,'Página9'!F:F,"")</f>
        <v>79</v>
      </c>
      <c r="H274" s="39">
        <f t="array" ref="H274">XLOOKUP(B274,'Página9'!A:A,'Página9'!C:C,"")</f>
        <v>1</v>
      </c>
      <c r="I274" s="35" t="str">
        <f t="array" ref="I274">XLOOKUP(B274,'Página9'!A:A,'Página9'!G:G,"")</f>
        <v>OK</v>
      </c>
      <c r="J274" s="25" t="str">
        <f t="shared" si="1"/>
        <v>RECEBIMENTO</v>
      </c>
      <c r="K274" s="25" t="str">
        <f>IFERROR(__xludf.DUMMYFUNCTION("""COMPUTED_VALUE"""),"Fabio Ferreira Pessoa")</f>
        <v>Fabio Ferreira Pessoa</v>
      </c>
    </row>
    <row r="275">
      <c r="A275" s="37">
        <f>IFERROR(__xludf.DUMMYFUNCTION("""COMPUTED_VALUE"""),45945.0)</f>
        <v>45945</v>
      </c>
      <c r="B275" s="42" t="str">
        <f>IFERROR(__xludf.DUMMYFUNCTION("""COMPUTED_VALUE"""),"MCC049UC0393")</f>
        <v>MCC049UC0393</v>
      </c>
      <c r="C275" s="31" t="str">
        <f>IFERROR(__xludf.DUMMYFUNCTION("""COMPUTED_VALUE"""),"PAPEL KRAFT TTC GREENLINE 70 G/M² PACOTE 360 M X 0,38 M")</f>
        <v>PAPEL KRAFT TTC GREENLINE 70 G/M² PACOTE 360 M X 0,38 M</v>
      </c>
      <c r="D275" s="39">
        <f>IFERROR(__xludf.DUMMYFUNCTION("""COMPUTED_VALUE"""),1.0)</f>
        <v>1</v>
      </c>
      <c r="E275" s="34" t="str">
        <f>IFERROR(__xludf.DUMMYFUNCTION("""COMPUTED_VALUE"""),"Saída")</f>
        <v>Saída</v>
      </c>
      <c r="F275" s="34" t="str">
        <f>IFERROR(__xludf.DUMMYFUNCTION("""COMPUTED_VALUE"""),"Estoque:package:")</f>
        <v>Estoque:package:</v>
      </c>
      <c r="G275" s="39">
        <f t="array" ref="G275">XLOOKUP(B275,'Página9'!A:A,'Página9'!F:F,"")</f>
        <v>12</v>
      </c>
      <c r="H275" s="39">
        <f t="array" ref="H275">XLOOKUP(B275,'Página9'!A:A,'Página9'!C:C,"")</f>
        <v>1</v>
      </c>
      <c r="I275" s="35" t="str">
        <f t="array" ref="I275">XLOOKUP(B275,'Página9'!A:A,'Página9'!G:G,"")</f>
        <v>OK</v>
      </c>
      <c r="J275" s="25" t="str">
        <f t="shared" si="1"/>
        <v>ESTOQUE</v>
      </c>
      <c r="K275" s="25" t="str">
        <f>IFERROR(__xludf.DUMMYFUNCTION("""COMPUTED_VALUE"""),"Matheus De Almeida Rodrigues")</f>
        <v>Matheus De Almeida Rodrigues</v>
      </c>
    </row>
    <row r="276">
      <c r="A276" s="37">
        <f>IFERROR(__xludf.DUMMYFUNCTION("""COMPUTED_VALUE"""),45945.0)</f>
        <v>45945</v>
      </c>
      <c r="B276" s="42" t="str">
        <f>IFERROR(__xludf.DUMMYFUNCTION("""COMPUTED_VALUE"""),"MCC049UC0604")</f>
        <v>MCC049UC0604</v>
      </c>
      <c r="C276" s="31" t="str">
        <f>IFERROR(__xludf.DUMMYFUNCTION("""COMPUTED_VALUE"""),"FITA DE DEMARCAÇÃO AMARELA")</f>
        <v>FITA DE DEMARCAÇÃO AMARELA</v>
      </c>
      <c r="D276" s="39">
        <f>IFERROR(__xludf.DUMMYFUNCTION("""COMPUTED_VALUE"""),1.0)</f>
        <v>1</v>
      </c>
      <c r="E276" s="34" t="str">
        <f>IFERROR(__xludf.DUMMYFUNCTION("""COMPUTED_VALUE"""),"Saída")</f>
        <v>Saída</v>
      </c>
      <c r="F276" s="34" t="str">
        <f>IFERROR(__xludf.DUMMYFUNCTION("""COMPUTED_VALUE"""),"PMM:livro-voador:")</f>
        <v>PMM:livro-voador:</v>
      </c>
      <c r="G276" s="39">
        <f t="array" ref="G276">XLOOKUP(B276,'Página9'!A:A,'Página9'!F:F,"")</f>
        <v>-12</v>
      </c>
      <c r="H276" s="39">
        <f t="array" ref="H276">XLOOKUP(B276,'Página9'!A:A,'Página9'!C:C,"")</f>
        <v>3</v>
      </c>
      <c r="I276" s="35" t="str">
        <f t="array" ref="I276">XLOOKUP(B276,'Página9'!A:A,'Página9'!G:G,"")</f>
        <v>REPOR ESTOQUE</v>
      </c>
      <c r="J276" s="25" t="str">
        <f t="shared" si="1"/>
        <v>PMM</v>
      </c>
      <c r="K276" s="25" t="str">
        <f>IFERROR(__xludf.DUMMYFUNCTION("""COMPUTED_VALUE"""),"Paulo Henrique Chagas De Oliveira")</f>
        <v>Paulo Henrique Chagas De Oliveira</v>
      </c>
    </row>
    <row r="277">
      <c r="A277" s="37">
        <f>IFERROR(__xludf.DUMMYFUNCTION("""COMPUTED_VALUE"""),45945.0)</f>
        <v>45945</v>
      </c>
      <c r="B277" s="42" t="str">
        <f>IFERROR(__xludf.DUMMYFUNCTION("""COMPUTED_VALUE"""),"MCC049UC0603")</f>
        <v>MCC049UC0603</v>
      </c>
      <c r="C277" s="31" t="str">
        <f>IFERROR(__xludf.DUMMYFUNCTION("""COMPUTED_VALUE"""),"PLASTICO PLASTIF. A-4 220/307 C/100 UN PROLAM")</f>
        <v>PLASTICO PLASTIF. A-4 220/307 C/100 UN PROLAM</v>
      </c>
      <c r="D277" s="39">
        <f>IFERROR(__xludf.DUMMYFUNCTION("""COMPUTED_VALUE"""),2.0)</f>
        <v>2</v>
      </c>
      <c r="E277" s="34" t="str">
        <f>IFERROR(__xludf.DUMMYFUNCTION("""COMPUTED_VALUE"""),"Saída")</f>
        <v>Saída</v>
      </c>
      <c r="F277" s="34" t="str">
        <f>IFERROR(__xludf.DUMMYFUNCTION("""COMPUTED_VALUE"""),"PMM:livro-voador:")</f>
        <v>PMM:livro-voador:</v>
      </c>
      <c r="G277" s="39">
        <f t="array" ref="G277">XLOOKUP(B277,'Página9'!A:A,'Página9'!F:F,"")</f>
        <v>-504</v>
      </c>
      <c r="H277" s="39">
        <f t="array" ref="H277">XLOOKUP(B277,'Página9'!A:A,'Página9'!C:C,"")</f>
        <v>150</v>
      </c>
      <c r="I277" s="35" t="str">
        <f t="array" ref="I277">XLOOKUP(B277,'Página9'!A:A,'Página9'!G:G,"")</f>
        <v>REPOR ESTOQUE</v>
      </c>
      <c r="J277" s="25" t="str">
        <f t="shared" si="1"/>
        <v>PMM</v>
      </c>
      <c r="K277" s="25" t="str">
        <f>IFERROR(__xludf.DUMMYFUNCTION("""COMPUTED_VALUE"""),"Jose Antoniel Silva Mesquita")</f>
        <v>Jose Antoniel Silva Mesquita</v>
      </c>
    </row>
    <row r="278">
      <c r="A278" s="37">
        <f>IFERROR(__xludf.DUMMYFUNCTION("""COMPUTED_VALUE"""),45945.0)</f>
        <v>45945</v>
      </c>
      <c r="B278" s="42" t="str">
        <f>IFERROR(__xludf.DUMMYFUNCTION("""COMPUTED_VALUE"""),"MCC049UC0607")</f>
        <v>MCC049UC0607</v>
      </c>
      <c r="C278" s="31" t="str">
        <f>IFERROR(__xludf.DUMMYFUNCTION("""COMPUTED_VALUE"""),"PAPEL A3 RESMA COM 500 FLS")</f>
        <v>PAPEL A3 RESMA COM 500 FLS</v>
      </c>
      <c r="D278" s="39">
        <f>IFERROR(__xludf.DUMMYFUNCTION("""COMPUTED_VALUE"""),2.0)</f>
        <v>2</v>
      </c>
      <c r="E278" s="34" t="str">
        <f>IFERROR(__xludf.DUMMYFUNCTION("""COMPUTED_VALUE"""),"Saída")</f>
        <v>Saída</v>
      </c>
      <c r="F278" s="34" t="str">
        <f>IFERROR(__xludf.DUMMYFUNCTION("""COMPUTED_VALUE"""),"Expedição:ex-escolas-exponenciais:")</f>
        <v>Expedição:ex-escolas-exponenciais:</v>
      </c>
      <c r="G278" s="39">
        <f t="array" ref="G278">XLOOKUP(B278,'Página9'!A:A,'Página9'!F:F,"")</f>
        <v>-47</v>
      </c>
      <c r="H278" s="39">
        <f t="array" ref="H278">XLOOKUP(B278,'Página9'!A:A,'Página9'!C:C,"")</f>
        <v>3</v>
      </c>
      <c r="I278" s="35" t="str">
        <f t="array" ref="I278">XLOOKUP(B278,'Página9'!A:A,'Página9'!G:G,"")</f>
        <v>REPOR ESTOQUE</v>
      </c>
      <c r="J278" s="25" t="str">
        <f t="shared" si="1"/>
        <v>EXPEDIÇÃO</v>
      </c>
      <c r="K278" s="25" t="str">
        <f>IFERROR(__xludf.DUMMYFUNCTION("""COMPUTED_VALUE"""),"Jackson Alves Sales")</f>
        <v>Jackson Alves Sales</v>
      </c>
    </row>
    <row r="279">
      <c r="A279" s="37">
        <f>IFERROR(__xludf.DUMMYFUNCTION("""COMPUTED_VALUE"""),45945.0)</f>
        <v>45945</v>
      </c>
      <c r="B279" s="42" t="str">
        <f>IFERROR(__xludf.DUMMYFUNCTION("""COMPUTED_VALUE"""),"MCC015UC0045")</f>
        <v>MCC015UC0045</v>
      </c>
      <c r="C279" s="31" t="str">
        <f>IFERROR(__xludf.DUMMYFUNCTION("""COMPUTED_VALUE"""),"FITA ADESIVA 69MM X 100M")</f>
        <v>FITA ADESIVA 69MM X 100M</v>
      </c>
      <c r="D279" s="39">
        <f>IFERROR(__xludf.DUMMYFUNCTION("""COMPUTED_VALUE"""),6.0)</f>
        <v>6</v>
      </c>
      <c r="E279" s="34" t="str">
        <f>IFERROR(__xludf.DUMMYFUNCTION("""COMPUTED_VALUE"""),"Saída")</f>
        <v>Saída</v>
      </c>
      <c r="F279" s="34" t="str">
        <f>IFERROR(__xludf.DUMMYFUNCTION("""COMPUTED_VALUE"""),"Expedição:ex-escolas-exponenciais:")</f>
        <v>Expedição:ex-escolas-exponenciais:</v>
      </c>
      <c r="G279" s="39">
        <f t="array" ref="G279">XLOOKUP(B279,'Página9'!A:A,'Página9'!F:F,"")</f>
        <v>287</v>
      </c>
      <c r="H279" s="39">
        <f t="array" ref="H279">XLOOKUP(B279,'Página9'!A:A,'Página9'!C:C,"")</f>
        <v>20</v>
      </c>
      <c r="I279" s="35" t="str">
        <f t="array" ref="I279">XLOOKUP(B279,'Página9'!A:A,'Página9'!G:G,"")</f>
        <v>OK</v>
      </c>
      <c r="J279" s="25" t="str">
        <f t="shared" si="1"/>
        <v>EXPEDIÇÃO</v>
      </c>
      <c r="K279" s="25" t="str">
        <f>IFERROR(__xludf.DUMMYFUNCTION("""COMPUTED_VALUE"""),"Jackson Alves Sales")</f>
        <v>Jackson Alves Sales</v>
      </c>
    </row>
    <row r="280">
      <c r="A280" s="37">
        <f>IFERROR(__xludf.DUMMYFUNCTION("""COMPUTED_VALUE"""),45945.0)</f>
        <v>45945</v>
      </c>
      <c r="B280" s="42" t="str">
        <f>IFERROR(__xludf.DUMMYFUNCTION("""COMPUTED_VALUE"""),"MCC046UC0082")</f>
        <v>MCC046UC0082</v>
      </c>
      <c r="C280" s="31" t="str">
        <f>IFERROR(__xludf.DUMMYFUNCTION("""COMPUTED_VALUE"""),"PAPEL SULFITE A4 75G 500 FOLHAS")</f>
        <v>PAPEL SULFITE A4 75G 500 FOLHAS</v>
      </c>
      <c r="D280" s="39">
        <f>IFERROR(__xludf.DUMMYFUNCTION("""COMPUTED_VALUE"""),2.0)</f>
        <v>2</v>
      </c>
      <c r="E280" s="34" t="str">
        <f>IFERROR(__xludf.DUMMYFUNCTION("""COMPUTED_VALUE"""),"Saída")</f>
        <v>Saída</v>
      </c>
      <c r="F280" s="34" t="str">
        <f>IFERROR(__xludf.DUMMYFUNCTION("""COMPUTED_VALUE"""),"Recebimento:truck:")</f>
        <v>Recebimento:truck:</v>
      </c>
      <c r="G280" s="39">
        <f t="array" ref="G280">XLOOKUP(B280,'Página9'!A:A,'Página9'!F:F,"")</f>
        <v>163</v>
      </c>
      <c r="H280" s="39">
        <f t="array" ref="H280">XLOOKUP(B280,'Página9'!A:A,'Página9'!C:C,"")</f>
        <v>10</v>
      </c>
      <c r="I280" s="35" t="str">
        <f t="array" ref="I280">XLOOKUP(B280,'Página9'!A:A,'Página9'!G:G,"")</f>
        <v>OK</v>
      </c>
      <c r="J280" s="25" t="str">
        <f t="shared" si="1"/>
        <v>RECEBIMENTO</v>
      </c>
      <c r="K280" s="25" t="str">
        <f>IFERROR(__xludf.DUMMYFUNCTION("""COMPUTED_VALUE"""),"Jackson Alves Sales")</f>
        <v>Jackson Alves Sales</v>
      </c>
    </row>
    <row r="281">
      <c r="A281" s="37">
        <f>IFERROR(__xludf.DUMMYFUNCTION("""COMPUTED_VALUE"""),45945.0)</f>
        <v>45945</v>
      </c>
      <c r="B281" s="42" t="str">
        <f>IFERROR(__xludf.DUMMYFUNCTION("""COMPUTED_VALUE"""),"MCC015UC0008")</f>
        <v>MCC015UC0008</v>
      </c>
      <c r="C281" s="31" t="str">
        <f>IFERROR(__xludf.DUMMYFUNCTION("""COMPUTED_VALUE"""),"FILME STRETCH 500X25")</f>
        <v>FILME STRETCH 500X25</v>
      </c>
      <c r="D281" s="39">
        <f>IFERROR(__xludf.DUMMYFUNCTION("""COMPUTED_VALUE"""),2.0)</f>
        <v>2</v>
      </c>
      <c r="E281" s="34" t="str">
        <f>IFERROR(__xludf.DUMMYFUNCTION("""COMPUTED_VALUE"""),"Saída")</f>
        <v>Saída</v>
      </c>
      <c r="F281" s="34" t="str">
        <f>IFERROR(__xludf.DUMMYFUNCTION("""COMPUTED_VALUE"""),"Expedição:ex-escolas-exponenciais:")</f>
        <v>Expedição:ex-escolas-exponenciais:</v>
      </c>
      <c r="G281" s="39">
        <f t="array" ref="G281">XLOOKUP(B281,'Página9'!A:A,'Página9'!F:F,"")</f>
        <v>-158</v>
      </c>
      <c r="H281" s="39">
        <f t="array" ref="H281">XLOOKUP(B281,'Página9'!A:A,'Página9'!C:C,"")</f>
        <v>40</v>
      </c>
      <c r="I281" s="35" t="str">
        <f t="array" ref="I281">XLOOKUP(B281,'Página9'!A:A,'Página9'!G:G,"")</f>
        <v>REPOR ESTOQUE</v>
      </c>
      <c r="J281" s="25" t="str">
        <f t="shared" si="1"/>
        <v>EXPEDIÇÃO</v>
      </c>
      <c r="K281" s="25" t="str">
        <f>IFERROR(__xludf.DUMMYFUNCTION("""COMPUTED_VALUE"""),"Yago Rocha Fernandes")</f>
        <v>Yago Rocha Fernandes</v>
      </c>
    </row>
    <row r="282">
      <c r="A282" s="37">
        <f>IFERROR(__xludf.DUMMYFUNCTION("""COMPUTED_VALUE"""),45945.0)</f>
        <v>45945</v>
      </c>
      <c r="B282" s="42" t="str">
        <f>IFERROR(__xludf.DUMMYFUNCTION("""COMPUTED_VALUE"""),"MCC015UC0008")</f>
        <v>MCC015UC0008</v>
      </c>
      <c r="C282" s="31" t="str">
        <f>IFERROR(__xludf.DUMMYFUNCTION("""COMPUTED_VALUE"""),"FILME STRETCH 500X25")</f>
        <v>FILME STRETCH 500X25</v>
      </c>
      <c r="D282" s="39">
        <f>IFERROR(__xludf.DUMMYFUNCTION("""COMPUTED_VALUE"""),3.0)</f>
        <v>3</v>
      </c>
      <c r="E282" s="34" t="str">
        <f>IFERROR(__xludf.DUMMYFUNCTION("""COMPUTED_VALUE"""),"Saída")</f>
        <v>Saída</v>
      </c>
      <c r="F282" s="34" t="str">
        <f>IFERROR(__xludf.DUMMYFUNCTION("""COMPUTED_VALUE"""),"Expedição:ex-escolas-exponenciais:")</f>
        <v>Expedição:ex-escolas-exponenciais:</v>
      </c>
      <c r="G282" s="39">
        <f t="array" ref="G282">XLOOKUP(B282,'Página9'!A:A,'Página9'!F:F,"")</f>
        <v>-158</v>
      </c>
      <c r="H282" s="39">
        <f t="array" ref="H282">XLOOKUP(B282,'Página9'!A:A,'Página9'!C:C,"")</f>
        <v>40</v>
      </c>
      <c r="I282" s="35" t="str">
        <f t="array" ref="I282">XLOOKUP(B282,'Página9'!A:A,'Página9'!G:G,"")</f>
        <v>REPOR ESTOQUE</v>
      </c>
      <c r="J282" s="25" t="str">
        <f t="shared" si="1"/>
        <v>EXPEDIÇÃO</v>
      </c>
      <c r="K282" s="25" t="str">
        <f>IFERROR(__xludf.DUMMYFUNCTION("""COMPUTED_VALUE"""),"Jose Antoniel Silva Mesquita")</f>
        <v>Jose Antoniel Silva Mesquita</v>
      </c>
    </row>
    <row r="283">
      <c r="A283" s="37">
        <f>IFERROR(__xludf.DUMMYFUNCTION("""COMPUTED_VALUE"""),45945.0)</f>
        <v>45945</v>
      </c>
      <c r="B283" s="42" t="str">
        <f>IFERROR(__xludf.DUMMYFUNCTION("""COMPUTED_VALUE"""),"MCC015UC0045")</f>
        <v>MCC015UC0045</v>
      </c>
      <c r="C283" s="31" t="str">
        <f>IFERROR(__xludf.DUMMYFUNCTION("""COMPUTED_VALUE"""),"FITA ADESIVA 69MM X 100M")</f>
        <v>FITA ADESIVA 69MM X 100M</v>
      </c>
      <c r="D283" s="39">
        <f>IFERROR(__xludf.DUMMYFUNCTION("""COMPUTED_VALUE"""),1.0)</f>
        <v>1</v>
      </c>
      <c r="E283" s="34" t="str">
        <f>IFERROR(__xludf.DUMMYFUNCTION("""COMPUTED_VALUE"""),"Saída")</f>
        <v>Saída</v>
      </c>
      <c r="F283" s="34" t="str">
        <f>IFERROR(__xludf.DUMMYFUNCTION("""COMPUTED_VALUE"""),"Expedição:ex-escolas-exponenciais:")</f>
        <v>Expedição:ex-escolas-exponenciais:</v>
      </c>
      <c r="G283" s="39">
        <f t="array" ref="G283">XLOOKUP(B283,'Página9'!A:A,'Página9'!F:F,"")</f>
        <v>287</v>
      </c>
      <c r="H283" s="39">
        <f t="array" ref="H283">XLOOKUP(B283,'Página9'!A:A,'Página9'!C:C,"")</f>
        <v>20</v>
      </c>
      <c r="I283" s="35" t="str">
        <f t="array" ref="I283">XLOOKUP(B283,'Página9'!A:A,'Página9'!G:G,"")</f>
        <v>OK</v>
      </c>
      <c r="J283" s="25" t="str">
        <f t="shared" si="1"/>
        <v>EXPEDIÇÃO</v>
      </c>
      <c r="K283" s="25" t="str">
        <f>IFERROR(__xludf.DUMMYFUNCTION("""COMPUTED_VALUE"""),"Matheus De Almeida Rodrigues")</f>
        <v>Matheus De Almeida Rodrigues</v>
      </c>
    </row>
    <row r="284">
      <c r="A284" s="37">
        <f>IFERROR(__xludf.DUMMYFUNCTION("""COMPUTED_VALUE"""),45945.0)</f>
        <v>45945</v>
      </c>
      <c r="B284" s="42" t="str">
        <f>IFERROR(__xludf.DUMMYFUNCTION("""COMPUTED_VALUE"""),"MCC015UC0008")</f>
        <v>MCC015UC0008</v>
      </c>
      <c r="C284" s="31" t="str">
        <f>IFERROR(__xludf.DUMMYFUNCTION("""COMPUTED_VALUE"""),"FILME STRETCH 500X25")</f>
        <v>FILME STRETCH 500X25</v>
      </c>
      <c r="D284" s="39">
        <f>IFERROR(__xludf.DUMMYFUNCTION("""COMPUTED_VALUE"""),25.0)</f>
        <v>25</v>
      </c>
      <c r="E284" s="34" t="str">
        <f>IFERROR(__xludf.DUMMYFUNCTION("""COMPUTED_VALUE"""),"Saída")</f>
        <v>Saída</v>
      </c>
      <c r="F284" s="34" t="str">
        <f>IFERROR(__xludf.DUMMYFUNCTION("""COMPUTED_VALUE"""),"Expedição:ex-escolas-exponenciais:")</f>
        <v>Expedição:ex-escolas-exponenciais:</v>
      </c>
      <c r="G284" s="39">
        <f t="array" ref="G284">XLOOKUP(B284,'Página9'!A:A,'Página9'!F:F,"")</f>
        <v>-158</v>
      </c>
      <c r="H284" s="39">
        <f t="array" ref="H284">XLOOKUP(B284,'Página9'!A:A,'Página9'!C:C,"")</f>
        <v>40</v>
      </c>
      <c r="I284" s="35" t="str">
        <f t="array" ref="I284">XLOOKUP(B284,'Página9'!A:A,'Página9'!G:G,"")</f>
        <v>REPOR ESTOQUE</v>
      </c>
      <c r="J284" s="25" t="str">
        <f t="shared" si="1"/>
        <v>EXPEDIÇÃO</v>
      </c>
      <c r="K284" s="25" t="str">
        <f>IFERROR(__xludf.DUMMYFUNCTION("""COMPUTED_VALUE"""),"Allison Breno Da Costa Borges Soares")</f>
        <v>Allison Breno Da Costa Borges Soares</v>
      </c>
    </row>
    <row r="285">
      <c r="A285" s="37">
        <f>IFERROR(__xludf.DUMMYFUNCTION("""COMPUTED_VALUE"""),45945.0)</f>
        <v>45945</v>
      </c>
      <c r="B285" s="42" t="str">
        <f>IFERROR(__xludf.DUMMYFUNCTION("""COMPUTED_VALUE"""),"MCC049UC0604")</f>
        <v>MCC049UC0604</v>
      </c>
      <c r="C285" s="31" t="str">
        <f>IFERROR(__xludf.DUMMYFUNCTION("""COMPUTED_VALUE"""),"FITA DE DEMARCAÇÃO AMARELA")</f>
        <v>FITA DE DEMARCAÇÃO AMARELA</v>
      </c>
      <c r="D285" s="39">
        <f>IFERROR(__xludf.DUMMYFUNCTION("""COMPUTED_VALUE"""),1.0)</f>
        <v>1</v>
      </c>
      <c r="E285" s="34" t="str">
        <f>IFERROR(__xludf.DUMMYFUNCTION("""COMPUTED_VALUE"""),"Saída")</f>
        <v>Saída</v>
      </c>
      <c r="F285" s="34" t="str">
        <f>IFERROR(__xludf.DUMMYFUNCTION("""COMPUTED_VALUE"""),"Expedição:ex-escolas-exponenciais:")</f>
        <v>Expedição:ex-escolas-exponenciais:</v>
      </c>
      <c r="G285" s="39">
        <f t="array" ref="G285">XLOOKUP(B285,'Página9'!A:A,'Página9'!F:F,"")</f>
        <v>-12</v>
      </c>
      <c r="H285" s="39">
        <f t="array" ref="H285">XLOOKUP(B285,'Página9'!A:A,'Página9'!C:C,"")</f>
        <v>3</v>
      </c>
      <c r="I285" s="35" t="str">
        <f t="array" ref="I285">XLOOKUP(B285,'Página9'!A:A,'Página9'!G:G,"")</f>
        <v>REPOR ESTOQUE</v>
      </c>
      <c r="J285" s="25" t="str">
        <f t="shared" si="1"/>
        <v>EXPEDIÇÃO</v>
      </c>
      <c r="K285" s="25" t="str">
        <f>IFERROR(__xludf.DUMMYFUNCTION("""COMPUTED_VALUE"""),"Paulo Henrique Chagas De Oliveira")</f>
        <v>Paulo Henrique Chagas De Oliveira</v>
      </c>
    </row>
    <row r="286">
      <c r="A286" s="37">
        <f>IFERROR(__xludf.DUMMYFUNCTION("""COMPUTED_VALUE"""),45945.0)</f>
        <v>45945</v>
      </c>
      <c r="B286" s="42" t="str">
        <f>IFERROR(__xludf.DUMMYFUNCTION("""COMPUTED_VALUE"""),"MCC015UC0045")</f>
        <v>MCC015UC0045</v>
      </c>
      <c r="C286" s="31" t="str">
        <f>IFERROR(__xludf.DUMMYFUNCTION("""COMPUTED_VALUE"""),"FITA ADESIVA 69MM X 100M")</f>
        <v>FITA ADESIVA 69MM X 100M</v>
      </c>
      <c r="D286" s="39">
        <f>IFERROR(__xludf.DUMMYFUNCTION("""COMPUTED_VALUE"""),4.0)</f>
        <v>4</v>
      </c>
      <c r="E286" s="34" t="str">
        <f>IFERROR(__xludf.DUMMYFUNCTION("""COMPUTED_VALUE"""),"Saída")</f>
        <v>Saída</v>
      </c>
      <c r="F286" s="34" t="str">
        <f>IFERROR(__xludf.DUMMYFUNCTION("""COMPUTED_VALUE"""),"Expedição:ex-escolas-exponenciais:")</f>
        <v>Expedição:ex-escolas-exponenciais:</v>
      </c>
      <c r="G286" s="39">
        <f t="array" ref="G286">XLOOKUP(B286,'Página9'!A:A,'Página9'!F:F,"")</f>
        <v>287</v>
      </c>
      <c r="H286" s="39">
        <f t="array" ref="H286">XLOOKUP(B286,'Página9'!A:A,'Página9'!C:C,"")</f>
        <v>20</v>
      </c>
      <c r="I286" s="35" t="str">
        <f t="array" ref="I286">XLOOKUP(B286,'Página9'!A:A,'Página9'!G:G,"")</f>
        <v>OK</v>
      </c>
      <c r="J286" s="25" t="str">
        <f t="shared" si="1"/>
        <v>EXPEDIÇÃO</v>
      </c>
      <c r="K286" s="25" t="str">
        <f>IFERROR(__xludf.DUMMYFUNCTION("""COMPUTED_VALUE"""),"Gabriel De Sousa Freitas")</f>
        <v>Gabriel De Sousa Freitas</v>
      </c>
    </row>
    <row r="287">
      <c r="A287" s="37">
        <f>IFERROR(__xludf.DUMMYFUNCTION("""COMPUTED_VALUE"""),45945.0)</f>
        <v>45945</v>
      </c>
      <c r="B287" s="42" t="str">
        <f>IFERROR(__xludf.DUMMYFUNCTION("""COMPUTED_VALUE"""),"MCC046UC0695")</f>
        <v>MCC046UC0695</v>
      </c>
      <c r="C287" s="31" t="str">
        <f>IFERROR(__xludf.DUMMYFUNCTION("""COMPUTED_VALUE"""),"ETIQUETA COUCHE 98X50X1")</f>
        <v>ETIQUETA COUCHE 98X50X1</v>
      </c>
      <c r="D287" s="39">
        <f>IFERROR(__xludf.DUMMYFUNCTION("""COMPUTED_VALUE"""),10.0)</f>
        <v>10</v>
      </c>
      <c r="E287" s="34" t="str">
        <f>IFERROR(__xludf.DUMMYFUNCTION("""COMPUTED_VALUE"""),"Saída")</f>
        <v>Saída</v>
      </c>
      <c r="F287" s="34" t="str">
        <f>IFERROR(__xludf.DUMMYFUNCTION("""COMPUTED_VALUE"""),"Expedição:ex-escolas-exponenciais:")</f>
        <v>Expedição:ex-escolas-exponenciais:</v>
      </c>
      <c r="G287" s="39">
        <f t="array" ref="G287">XLOOKUP(B287,'Página9'!A:A,'Página9'!F:F,"")</f>
        <v>256</v>
      </c>
      <c r="H287" s="39">
        <f t="array" ref="H287">XLOOKUP(B287,'Página9'!A:A,'Página9'!C:C,"")</f>
        <v>20</v>
      </c>
      <c r="I287" s="35" t="str">
        <f t="array" ref="I287">XLOOKUP(B287,'Página9'!A:A,'Página9'!G:G,"")</f>
        <v>OK</v>
      </c>
      <c r="J287" s="25" t="str">
        <f t="shared" si="1"/>
        <v>EXPEDIÇÃO</v>
      </c>
      <c r="K287" s="25" t="str">
        <f>IFERROR(__xludf.DUMMYFUNCTION("""COMPUTED_VALUE"""),"Paulo Henrique Chagas De Oliveira")</f>
        <v>Paulo Henrique Chagas De Oliveira</v>
      </c>
    </row>
    <row r="288">
      <c r="A288" s="37">
        <f>IFERROR(__xludf.DUMMYFUNCTION("""COMPUTED_VALUE"""),45945.0)</f>
        <v>45945</v>
      </c>
      <c r="B288" s="42" t="str">
        <f>IFERROR(__xludf.DUMMYFUNCTION("""COMPUTED_VALUE"""),"MCC015UC0045")</f>
        <v>MCC015UC0045</v>
      </c>
      <c r="C288" s="31" t="str">
        <f>IFERROR(__xludf.DUMMYFUNCTION("""COMPUTED_VALUE"""),"FITA ADESIVA 69MM X 100M")</f>
        <v>FITA ADESIVA 69MM X 100M</v>
      </c>
      <c r="D288" s="39">
        <f>IFERROR(__xludf.DUMMYFUNCTION("""COMPUTED_VALUE"""),11.0)</f>
        <v>11</v>
      </c>
      <c r="E288" s="34" t="str">
        <f>IFERROR(__xludf.DUMMYFUNCTION("""COMPUTED_VALUE"""),"Saída")</f>
        <v>Saída</v>
      </c>
      <c r="F288" s="34" t="str">
        <f>IFERROR(__xludf.DUMMYFUNCTION("""COMPUTED_VALUE"""),"PMM:livro-voador:")</f>
        <v>PMM:livro-voador:</v>
      </c>
      <c r="G288" s="39">
        <f t="array" ref="G288">XLOOKUP(B288,'Página9'!A:A,'Página9'!F:F,"")</f>
        <v>287</v>
      </c>
      <c r="H288" s="39">
        <f t="array" ref="H288">XLOOKUP(B288,'Página9'!A:A,'Página9'!C:C,"")</f>
        <v>20</v>
      </c>
      <c r="I288" s="35" t="str">
        <f t="array" ref="I288">XLOOKUP(B288,'Página9'!A:A,'Página9'!G:G,"")</f>
        <v>OK</v>
      </c>
      <c r="J288" s="25" t="str">
        <f t="shared" si="1"/>
        <v>PMM</v>
      </c>
      <c r="K288" s="25" t="str">
        <f>IFERROR(__xludf.DUMMYFUNCTION("""COMPUTED_VALUE"""),"Jose Antoniel Silva Mesquita")</f>
        <v>Jose Antoniel Silva Mesquita</v>
      </c>
    </row>
    <row r="289">
      <c r="A289" s="37">
        <f>IFERROR(__xludf.DUMMYFUNCTION("""COMPUTED_VALUE"""),45945.0)</f>
        <v>45945</v>
      </c>
      <c r="B289" s="42" t="str">
        <f>IFERROR(__xludf.DUMMYFUNCTION("""COMPUTED_VALUE"""),"MCC015UC0008")</f>
        <v>MCC015UC0008</v>
      </c>
      <c r="C289" s="31" t="str">
        <f>IFERROR(__xludf.DUMMYFUNCTION("""COMPUTED_VALUE"""),"FILME STRETCH 500X25")</f>
        <v>FILME STRETCH 500X25</v>
      </c>
      <c r="D289" s="39">
        <f>IFERROR(__xludf.DUMMYFUNCTION("""COMPUTED_VALUE"""),10.0)</f>
        <v>10</v>
      </c>
      <c r="E289" s="34" t="str">
        <f>IFERROR(__xludf.DUMMYFUNCTION("""COMPUTED_VALUE"""),"Saída")</f>
        <v>Saída</v>
      </c>
      <c r="F289" s="34" t="str">
        <f>IFERROR(__xludf.DUMMYFUNCTION("""COMPUTED_VALUE"""),"PMM:livro-voador:")</f>
        <v>PMM:livro-voador:</v>
      </c>
      <c r="G289" s="39">
        <f t="array" ref="G289">XLOOKUP(B289,'Página9'!A:A,'Página9'!F:F,"")</f>
        <v>-158</v>
      </c>
      <c r="H289" s="39">
        <f t="array" ref="H289">XLOOKUP(B289,'Página9'!A:A,'Página9'!C:C,"")</f>
        <v>40</v>
      </c>
      <c r="I289" s="35" t="str">
        <f t="array" ref="I289">XLOOKUP(B289,'Página9'!A:A,'Página9'!G:G,"")</f>
        <v>REPOR ESTOQUE</v>
      </c>
      <c r="J289" s="25" t="str">
        <f t="shared" si="1"/>
        <v>PMM</v>
      </c>
      <c r="K289" s="25" t="str">
        <f>IFERROR(__xludf.DUMMYFUNCTION("""COMPUTED_VALUE"""),"Jose Antoniel Silva Mesquita")</f>
        <v>Jose Antoniel Silva Mesquita</v>
      </c>
    </row>
    <row r="290">
      <c r="A290" s="37">
        <f>IFERROR(__xludf.DUMMYFUNCTION("""COMPUTED_VALUE"""),45945.0)</f>
        <v>45945</v>
      </c>
      <c r="B290" s="42" t="str">
        <f>IFERROR(__xludf.DUMMYFUNCTION("""COMPUTED_VALUE"""),"MCC015UC0045")</f>
        <v>MCC015UC0045</v>
      </c>
      <c r="C290" s="31" t="str">
        <f>IFERROR(__xludf.DUMMYFUNCTION("""COMPUTED_VALUE"""),"FITA ADESIVA 69MM X 100M")</f>
        <v>FITA ADESIVA 69MM X 100M</v>
      </c>
      <c r="D290" s="39">
        <f>IFERROR(__xludf.DUMMYFUNCTION("""COMPUTED_VALUE"""),20.0)</f>
        <v>20</v>
      </c>
      <c r="E290" s="34" t="str">
        <f>IFERROR(__xludf.DUMMYFUNCTION("""COMPUTED_VALUE"""),"Saída")</f>
        <v>Saída</v>
      </c>
      <c r="F290" s="34" t="str">
        <f>IFERROR(__xludf.DUMMYFUNCTION("""COMPUTED_VALUE"""),"Expedição:ex-escolas-exponenciais:")</f>
        <v>Expedição:ex-escolas-exponenciais:</v>
      </c>
      <c r="G290" s="39">
        <f t="array" ref="G290">XLOOKUP(B290,'Página9'!A:A,'Página9'!F:F,"")</f>
        <v>287</v>
      </c>
      <c r="H290" s="39">
        <f t="array" ref="H290">XLOOKUP(B290,'Página9'!A:A,'Página9'!C:C,"")</f>
        <v>20</v>
      </c>
      <c r="I290" s="35" t="str">
        <f t="array" ref="I290">XLOOKUP(B290,'Página9'!A:A,'Página9'!G:G,"")</f>
        <v>OK</v>
      </c>
      <c r="J290" s="25" t="str">
        <f t="shared" si="1"/>
        <v>EXPEDIÇÃO</v>
      </c>
      <c r="K290" s="25" t="str">
        <f>IFERROR(__xludf.DUMMYFUNCTION("""COMPUTED_VALUE"""),"Philipe Araujo Barroso")</f>
        <v>Philipe Araujo Barroso</v>
      </c>
    </row>
    <row r="291">
      <c r="A291" s="37">
        <f>IFERROR(__xludf.DUMMYFUNCTION("""COMPUTED_VALUE"""),45945.0)</f>
        <v>45945</v>
      </c>
      <c r="B291" s="42" t="str">
        <f>IFERROR(__xludf.DUMMYFUNCTION("""COMPUTED_VALUE"""),"MCC015UC0038")</f>
        <v>MCC015UC0038</v>
      </c>
      <c r="C291" s="31" t="str">
        <f>IFERROR(__xludf.DUMMYFUNCTION("""COMPUTED_VALUE"""),"BOBINA SHRINK 500MM")</f>
        <v>BOBINA SHRINK 500MM</v>
      </c>
      <c r="D291" s="39">
        <f>IFERROR(__xludf.DUMMYFUNCTION("""COMPUTED_VALUE"""),1.0)</f>
        <v>1</v>
      </c>
      <c r="E291" s="34" t="str">
        <f>IFERROR(__xludf.DUMMYFUNCTION("""COMPUTED_VALUE"""),"Saída")</f>
        <v>Saída</v>
      </c>
      <c r="F291" s="34" t="str">
        <f>IFERROR(__xludf.DUMMYFUNCTION("""COMPUTED_VALUE"""),"PMM:livro-voador:")</f>
        <v>PMM:livro-voador:</v>
      </c>
      <c r="G291" s="39">
        <f t="array" ref="G291">XLOOKUP(B291,'Página9'!A:A,'Página9'!F:F,"")</f>
        <v>13</v>
      </c>
      <c r="H291" s="39">
        <f t="array" ref="H291">XLOOKUP(B291,'Página9'!A:A,'Página9'!C:C,"")</f>
        <v>3</v>
      </c>
      <c r="I291" s="35" t="str">
        <f t="array" ref="I291">XLOOKUP(B291,'Página9'!A:A,'Página9'!G:G,"")</f>
        <v>OK</v>
      </c>
      <c r="J291" s="25" t="str">
        <f t="shared" si="1"/>
        <v>PMM</v>
      </c>
      <c r="K291" s="25" t="str">
        <f>IFERROR(__xludf.DUMMYFUNCTION("""COMPUTED_VALUE"""),"Paulo Henrique Chagas De Oliveira")</f>
        <v>Paulo Henrique Chagas De Oliveira</v>
      </c>
    </row>
    <row r="292">
      <c r="A292" s="37">
        <f>IFERROR(__xludf.DUMMYFUNCTION("""COMPUTED_VALUE"""),45945.0)</f>
        <v>45945</v>
      </c>
      <c r="B292" s="42" t="str">
        <f>IFERROR(__xludf.DUMMYFUNCTION("""COMPUTED_VALUE"""),"MCC015UC0045")</f>
        <v>MCC015UC0045</v>
      </c>
      <c r="C292" s="31" t="str">
        <f>IFERROR(__xludf.DUMMYFUNCTION("""COMPUTED_VALUE"""),"FITA ADESIVA 69MM X 100M")</f>
        <v>FITA ADESIVA 69MM X 100M</v>
      </c>
      <c r="D292" s="39">
        <f>IFERROR(__xludf.DUMMYFUNCTION("""COMPUTED_VALUE"""),4.0)</f>
        <v>4</v>
      </c>
      <c r="E292" s="34" t="str">
        <f>IFERROR(__xludf.DUMMYFUNCTION("""COMPUTED_VALUE"""),"Saída")</f>
        <v>Saída</v>
      </c>
      <c r="F292" s="34" t="str">
        <f>IFERROR(__xludf.DUMMYFUNCTION("""COMPUTED_VALUE"""),"PMM:livro-voador:")</f>
        <v>PMM:livro-voador:</v>
      </c>
      <c r="G292" s="39">
        <f t="array" ref="G292">XLOOKUP(B292,'Página9'!A:A,'Página9'!F:F,"")</f>
        <v>287</v>
      </c>
      <c r="H292" s="39">
        <f t="array" ref="H292">XLOOKUP(B292,'Página9'!A:A,'Página9'!C:C,"")</f>
        <v>20</v>
      </c>
      <c r="I292" s="35" t="str">
        <f t="array" ref="I292">XLOOKUP(B292,'Página9'!A:A,'Página9'!G:G,"")</f>
        <v>OK</v>
      </c>
      <c r="J292" s="25" t="str">
        <f t="shared" si="1"/>
        <v>PMM</v>
      </c>
      <c r="K292" s="25" t="str">
        <f>IFERROR(__xludf.DUMMYFUNCTION("""COMPUTED_VALUE"""),"Philipe Araujo Barroso")</f>
        <v>Philipe Araujo Barroso</v>
      </c>
    </row>
    <row r="293">
      <c r="A293" s="37">
        <f>IFERROR(__xludf.DUMMYFUNCTION("""COMPUTED_VALUE"""),45951.0)</f>
        <v>45951</v>
      </c>
      <c r="B293" s="42" t="str">
        <f>IFERROR(__xludf.DUMMYFUNCTION("""COMPUTED_VALUE"""),"MCC046UC0164")</f>
        <v>MCC046UC0164</v>
      </c>
      <c r="C293" s="31" t="str">
        <f>IFERROR(__xludf.DUMMYFUNCTION("""COMPUTED_VALUE"""),"APAGADOR P/ QUADRO BRANCO RADEX")</f>
        <v>APAGADOR P/ QUADRO BRANCO RADEX</v>
      </c>
      <c r="D293" s="39">
        <f>IFERROR(__xludf.DUMMYFUNCTION("""COMPUTED_VALUE"""),1.0)</f>
        <v>1</v>
      </c>
      <c r="E293" s="34" t="str">
        <f>IFERROR(__xludf.DUMMYFUNCTION("""COMPUTED_VALUE"""),"Saída")</f>
        <v>Saída</v>
      </c>
      <c r="F293" s="34" t="str">
        <f>IFERROR(__xludf.DUMMYFUNCTION("""COMPUTED_VALUE"""),"Recebimento:truck:")</f>
        <v>Recebimento:truck:</v>
      </c>
      <c r="G293" s="39">
        <f t="array" ref="G293">XLOOKUP(B293,'Página9'!A:A,'Página9'!F:F,"")</f>
        <v>-1</v>
      </c>
      <c r="H293" s="39">
        <f t="array" ref="H293">XLOOKUP(B293,'Página9'!A:A,'Página9'!C:C,"")</f>
        <v>1</v>
      </c>
      <c r="I293" s="35" t="str">
        <f t="array" ref="I293">XLOOKUP(B293,'Página9'!A:A,'Página9'!G:G,"")</f>
        <v>REPOR ESTOQUE</v>
      </c>
      <c r="J293" s="25" t="str">
        <f t="shared" si="1"/>
        <v>RECEBIMENTO</v>
      </c>
      <c r="K293" s="25" t="str">
        <f>IFERROR(__xludf.DUMMYFUNCTION("""COMPUTED_VALUE"""),"Pericles Cavalcante De Lima Maciel")</f>
        <v>Pericles Cavalcante De Lima Maciel</v>
      </c>
    </row>
    <row r="294">
      <c r="A294" s="37">
        <f>IFERROR(__xludf.DUMMYFUNCTION("""COMPUTED_VALUE"""),45951.0)</f>
        <v>45951</v>
      </c>
      <c r="B294" s="42" t="str">
        <f>IFERROR(__xludf.DUMMYFUNCTION("""COMPUTED_VALUE"""),"MCC015UC0045")</f>
        <v>MCC015UC0045</v>
      </c>
      <c r="C294" s="31" t="str">
        <f>IFERROR(__xludf.DUMMYFUNCTION("""COMPUTED_VALUE"""),"FITA ADESIVA 69MM X 100M")</f>
        <v>FITA ADESIVA 69MM X 100M</v>
      </c>
      <c r="D294" s="39">
        <f>IFERROR(__xludf.DUMMYFUNCTION("""COMPUTED_VALUE"""),3.0)</f>
        <v>3</v>
      </c>
      <c r="E294" s="34" t="str">
        <f>IFERROR(__xludf.DUMMYFUNCTION("""COMPUTED_VALUE"""),"Saída")</f>
        <v>Saída</v>
      </c>
      <c r="F294" s="34" t="str">
        <f>IFERROR(__xludf.DUMMYFUNCTION("""COMPUTED_VALUE"""),"Estoque:package:")</f>
        <v>Estoque:package:</v>
      </c>
      <c r="G294" s="39">
        <f t="array" ref="G294">XLOOKUP(B294,'Página9'!A:A,'Página9'!F:F,"")</f>
        <v>287</v>
      </c>
      <c r="H294" s="39">
        <f t="array" ref="H294">XLOOKUP(B294,'Página9'!A:A,'Página9'!C:C,"")</f>
        <v>20</v>
      </c>
      <c r="I294" s="35" t="str">
        <f t="array" ref="I294">XLOOKUP(B294,'Página9'!A:A,'Página9'!G:G,"")</f>
        <v>OK</v>
      </c>
      <c r="J294" s="25" t="str">
        <f t="shared" si="1"/>
        <v>ESTOQUE</v>
      </c>
      <c r="K294" s="25" t="str">
        <f>IFERROR(__xludf.DUMMYFUNCTION("""COMPUTED_VALUE"""),"Matheus De Almeida Rodrigues")</f>
        <v>Matheus De Almeida Rodrigues</v>
      </c>
    </row>
    <row r="295">
      <c r="A295" s="37">
        <f>IFERROR(__xludf.DUMMYFUNCTION("""COMPUTED_VALUE"""),45951.0)</f>
        <v>45951</v>
      </c>
      <c r="B295" s="42" t="str">
        <f>IFERROR(__xludf.DUMMYFUNCTION("""COMPUTED_VALUE"""),"MCC046UC0639")</f>
        <v>MCC046UC0639</v>
      </c>
      <c r="C295" s="31" t="str">
        <f>IFERROR(__xludf.DUMMYFUNCTION("""COMPUTED_VALUE"""),"PILHA ALCALINA ELGIN PEQ.AA")</f>
        <v>PILHA ALCALINA ELGIN PEQ.AA</v>
      </c>
      <c r="D295" s="39">
        <f>IFERROR(__xludf.DUMMYFUNCTION("""COMPUTED_VALUE"""),1.0)</f>
        <v>1</v>
      </c>
      <c r="E295" s="34" t="str">
        <f>IFERROR(__xludf.DUMMYFUNCTION("""COMPUTED_VALUE"""),"Saída")</f>
        <v>Saída</v>
      </c>
      <c r="F295" s="34" t="str">
        <f>IFERROR(__xludf.DUMMYFUNCTION("""COMPUTED_VALUE"""),"Expedição:ex-escolas-exponenciais:")</f>
        <v>Expedição:ex-escolas-exponenciais:</v>
      </c>
      <c r="G295" s="39">
        <f t="array" ref="G295">XLOOKUP(B295,'Página9'!A:A,'Página9'!F:F,"")</f>
        <v>-5</v>
      </c>
      <c r="H295" s="39">
        <f t="array" ref="H295">XLOOKUP(B295,'Página9'!A:A,'Página9'!C:C,"")</f>
        <v>4</v>
      </c>
      <c r="I295" s="35" t="str">
        <f t="array" ref="I295">XLOOKUP(B295,'Página9'!A:A,'Página9'!G:G,"")</f>
        <v>REPOR ESTOQUE</v>
      </c>
      <c r="J295" s="25" t="str">
        <f t="shared" si="1"/>
        <v>EXPEDIÇÃO</v>
      </c>
      <c r="K295" s="25" t="str">
        <f>IFERROR(__xludf.DUMMYFUNCTION("""COMPUTED_VALUE"""),"Raimundo Reurison Belarmino Da Gama")</f>
        <v>Raimundo Reurison Belarmino Da Gama</v>
      </c>
    </row>
    <row r="296">
      <c r="A296" s="37">
        <f>IFERROR(__xludf.DUMMYFUNCTION("""COMPUTED_VALUE"""),45951.0)</f>
        <v>45951</v>
      </c>
      <c r="B296" s="42" t="str">
        <f>IFERROR(__xludf.DUMMYFUNCTION("""COMPUTED_VALUE"""),"MCC015UC0008")</f>
        <v>MCC015UC0008</v>
      </c>
      <c r="C296" s="31" t="str">
        <f>IFERROR(__xludf.DUMMYFUNCTION("""COMPUTED_VALUE"""),"FILME STRETCH 500X25")</f>
        <v>FILME STRETCH 500X25</v>
      </c>
      <c r="D296" s="39">
        <f>IFERROR(__xludf.DUMMYFUNCTION("""COMPUTED_VALUE"""),8.0)</f>
        <v>8</v>
      </c>
      <c r="E296" s="34" t="str">
        <f>IFERROR(__xludf.DUMMYFUNCTION("""COMPUTED_VALUE"""),"Saída")</f>
        <v>Saída</v>
      </c>
      <c r="F296" s="34" t="str">
        <f>IFERROR(__xludf.DUMMYFUNCTION("""COMPUTED_VALUE"""),"Expedição:ex-escolas-exponenciais:")</f>
        <v>Expedição:ex-escolas-exponenciais:</v>
      </c>
      <c r="G296" s="39">
        <f t="array" ref="G296">XLOOKUP(B296,'Página9'!A:A,'Página9'!F:F,"")</f>
        <v>-158</v>
      </c>
      <c r="H296" s="39">
        <f t="array" ref="H296">XLOOKUP(B296,'Página9'!A:A,'Página9'!C:C,"")</f>
        <v>40</v>
      </c>
      <c r="I296" s="35" t="str">
        <f t="array" ref="I296">XLOOKUP(B296,'Página9'!A:A,'Página9'!G:G,"")</f>
        <v>REPOR ESTOQUE</v>
      </c>
      <c r="J296" s="25" t="str">
        <f t="shared" si="1"/>
        <v>EXPEDIÇÃO</v>
      </c>
      <c r="K296" s="25" t="str">
        <f>IFERROR(__xludf.DUMMYFUNCTION("""COMPUTED_VALUE"""),"Jackson Alves Sales")</f>
        <v>Jackson Alves Sales</v>
      </c>
    </row>
    <row r="297">
      <c r="A297" s="37">
        <f>IFERROR(__xludf.DUMMYFUNCTION("""COMPUTED_VALUE"""),45951.0)</f>
        <v>45951</v>
      </c>
      <c r="B297" s="42" t="str">
        <f>IFERROR(__xludf.DUMMYFUNCTION("""COMPUTED_VALUE"""),"MCC015UC0008")</f>
        <v>MCC015UC0008</v>
      </c>
      <c r="C297" s="31" t="str">
        <f>IFERROR(__xludf.DUMMYFUNCTION("""COMPUTED_VALUE"""),"FILME STRETCH 500X25")</f>
        <v>FILME STRETCH 500X25</v>
      </c>
      <c r="D297" s="39">
        <f>IFERROR(__xludf.DUMMYFUNCTION("""COMPUTED_VALUE"""),30.0)</f>
        <v>30</v>
      </c>
      <c r="E297" s="34" t="str">
        <f>IFERROR(__xludf.DUMMYFUNCTION("""COMPUTED_VALUE"""),"Saída")</f>
        <v>Saída</v>
      </c>
      <c r="F297" s="34" t="str">
        <f>IFERROR(__xludf.DUMMYFUNCTION("""COMPUTED_VALUE"""),"Expedição:ex-escolas-exponenciais:")</f>
        <v>Expedição:ex-escolas-exponenciais:</v>
      </c>
      <c r="G297" s="43">
        <f t="array" ref="G297">XLOOKUP(B297,'Página9'!A:A,'Página9'!F:F,"")</f>
        <v>-158</v>
      </c>
      <c r="H297" s="43">
        <f t="array" ref="H297">XLOOKUP(B297,'Página9'!A:A,'Página9'!C:C,"")</f>
        <v>40</v>
      </c>
      <c r="I297" s="35" t="str">
        <f t="array" ref="I297">XLOOKUP(B297,'Página9'!A:A,'Página9'!G:G,"")</f>
        <v>REPOR ESTOQUE</v>
      </c>
      <c r="J297" s="25" t="str">
        <f t="shared" si="1"/>
        <v>EXPEDIÇÃO</v>
      </c>
      <c r="K297" s="25" t="str">
        <f>IFERROR(__xludf.DUMMYFUNCTION("""COMPUTED_VALUE"""),"Allison Breno Da Costa Borges Soares")</f>
        <v>Allison Breno Da Costa Borges Soares</v>
      </c>
    </row>
    <row r="298">
      <c r="A298" s="37">
        <f>IFERROR(__xludf.DUMMYFUNCTION("""COMPUTED_VALUE"""),45951.0)</f>
        <v>45951</v>
      </c>
      <c r="B298" s="42" t="str">
        <f>IFERROR(__xludf.DUMMYFUNCTION("""COMPUTED_VALUE"""),"MCC015UC0008")</f>
        <v>MCC015UC0008</v>
      </c>
      <c r="C298" s="31" t="str">
        <f>IFERROR(__xludf.DUMMYFUNCTION("""COMPUTED_VALUE"""),"FILME STRETCH 500X25")</f>
        <v>FILME STRETCH 500X25</v>
      </c>
      <c r="D298" s="39">
        <f>IFERROR(__xludf.DUMMYFUNCTION("""COMPUTED_VALUE"""),10.0)</f>
        <v>10</v>
      </c>
      <c r="E298" s="34" t="str">
        <f>IFERROR(__xludf.DUMMYFUNCTION("""COMPUTED_VALUE"""),"Saída")</f>
        <v>Saída</v>
      </c>
      <c r="F298" s="34" t="str">
        <f>IFERROR(__xludf.DUMMYFUNCTION("""COMPUTED_VALUE"""),"Expedição:ex-escolas-exponenciais:")</f>
        <v>Expedição:ex-escolas-exponenciais:</v>
      </c>
      <c r="G298" s="39">
        <f t="array" ref="G298">XLOOKUP(B298,'Página9'!A:A,'Página9'!F:F,"")</f>
        <v>-158</v>
      </c>
      <c r="H298" s="39">
        <f t="array" ref="H298">XLOOKUP(B298,'Página9'!A:A,'Página9'!C:C,"")</f>
        <v>40</v>
      </c>
      <c r="I298" s="35" t="str">
        <f t="array" ref="I298">XLOOKUP(B298,'Página9'!A:A,'Página9'!G:G,"")</f>
        <v>REPOR ESTOQUE</v>
      </c>
      <c r="J298" s="25" t="str">
        <f t="shared" si="1"/>
        <v>EXPEDIÇÃO</v>
      </c>
      <c r="K298" s="25" t="str">
        <f>IFERROR(__xludf.DUMMYFUNCTION("""COMPUTED_VALUE"""),"Marcio Sthefani Bessa De Oliveira")</f>
        <v>Marcio Sthefani Bessa De Oliveira</v>
      </c>
    </row>
    <row r="299">
      <c r="A299" s="37">
        <f>IFERROR(__xludf.DUMMYFUNCTION("""COMPUTED_VALUE"""),45951.0)</f>
        <v>45951</v>
      </c>
      <c r="B299" s="42" t="str">
        <f>IFERROR(__xludf.DUMMYFUNCTION("""COMPUTED_VALUE"""),"MCC015UC0008")</f>
        <v>MCC015UC0008</v>
      </c>
      <c r="C299" s="31" t="str">
        <f>IFERROR(__xludf.DUMMYFUNCTION("""COMPUTED_VALUE"""),"FILME STRETCH 500X25")</f>
        <v>FILME STRETCH 500X25</v>
      </c>
      <c r="D299" s="39">
        <f>IFERROR(__xludf.DUMMYFUNCTION("""COMPUTED_VALUE"""),5.0)</f>
        <v>5</v>
      </c>
      <c r="E299" s="34" t="str">
        <f>IFERROR(__xludf.DUMMYFUNCTION("""COMPUTED_VALUE"""),"Saída")</f>
        <v>Saída</v>
      </c>
      <c r="F299" s="34" t="str">
        <f>IFERROR(__xludf.DUMMYFUNCTION("""COMPUTED_VALUE"""),"Expedição:ex-escolas-exponenciais:")</f>
        <v>Expedição:ex-escolas-exponenciais:</v>
      </c>
      <c r="G299" s="39">
        <f t="array" ref="G299">XLOOKUP(B299,'Página9'!A:A,'Página9'!F:F,"")</f>
        <v>-158</v>
      </c>
      <c r="H299" s="39">
        <f t="array" ref="H299">XLOOKUP(B299,'Página9'!A:A,'Página9'!C:C,"")</f>
        <v>40</v>
      </c>
      <c r="I299" s="35" t="str">
        <f t="array" ref="I299">XLOOKUP(B299,'Página9'!A:A,'Página9'!G:G,"")</f>
        <v>REPOR ESTOQUE</v>
      </c>
      <c r="J299" s="25" t="str">
        <f t="shared" si="1"/>
        <v>EXPEDIÇÃO</v>
      </c>
      <c r="K299" s="25" t="str">
        <f>IFERROR(__xludf.DUMMYFUNCTION("""COMPUTED_VALUE"""),"Rodrigo Aragao Goncalves")</f>
        <v>Rodrigo Aragao Goncalves</v>
      </c>
    </row>
    <row r="300">
      <c r="A300" s="37">
        <f>IFERROR(__xludf.DUMMYFUNCTION("""COMPUTED_VALUE"""),45951.0)</f>
        <v>45951</v>
      </c>
      <c r="B300" s="42" t="str">
        <f>IFERROR(__xludf.DUMMYFUNCTION("""COMPUTED_VALUE"""),"MCC015UC0008")</f>
        <v>MCC015UC0008</v>
      </c>
      <c r="C300" s="31" t="str">
        <f>IFERROR(__xludf.DUMMYFUNCTION("""COMPUTED_VALUE"""),"FILME STRETCH 500X25")</f>
        <v>FILME STRETCH 500X25</v>
      </c>
      <c r="D300" s="39">
        <f>IFERROR(__xludf.DUMMYFUNCTION("""COMPUTED_VALUE"""),5.0)</f>
        <v>5</v>
      </c>
      <c r="E300" s="34" t="str">
        <f>IFERROR(__xludf.DUMMYFUNCTION("""COMPUTED_VALUE"""),"Saída")</f>
        <v>Saída</v>
      </c>
      <c r="F300" s="34" t="str">
        <f>IFERROR(__xludf.DUMMYFUNCTION("""COMPUTED_VALUE"""),"Expedição:ex-escolas-exponenciais:")</f>
        <v>Expedição:ex-escolas-exponenciais:</v>
      </c>
      <c r="G300" s="39">
        <f t="array" ref="G300">XLOOKUP(B300,'Página9'!A:A,'Página9'!F:F,"")</f>
        <v>-158</v>
      </c>
      <c r="H300" s="39">
        <f t="array" ref="H300">XLOOKUP(B300,'Página9'!A:A,'Página9'!C:C,"")</f>
        <v>40</v>
      </c>
      <c r="I300" s="35" t="str">
        <f t="array" ref="I300">XLOOKUP(B300,'Página9'!A:A,'Página9'!G:G,"")</f>
        <v>REPOR ESTOQUE</v>
      </c>
      <c r="J300" s="25" t="str">
        <f t="shared" si="1"/>
        <v>EXPEDIÇÃO</v>
      </c>
      <c r="K300" s="25" t="str">
        <f>IFERROR(__xludf.DUMMYFUNCTION("""COMPUTED_VALUE"""),"Pedro Lucas Matias Do Nascimento")</f>
        <v>Pedro Lucas Matias Do Nascimento</v>
      </c>
    </row>
    <row r="301">
      <c r="A301" s="37">
        <f>IFERROR(__xludf.DUMMYFUNCTION("""COMPUTED_VALUE"""),45951.0)</f>
        <v>45951</v>
      </c>
      <c r="B301" s="42" t="str">
        <f>IFERROR(__xludf.DUMMYFUNCTION("""COMPUTED_VALUE"""),"MCC046UC0587")</f>
        <v>MCC046UC0587</v>
      </c>
      <c r="C301" s="31" t="str">
        <f>IFERROR(__xludf.DUMMYFUNCTION("""COMPUTED_VALUE"""),"TESOURA USO GERAL 21CM MUNDIAL 160-8N")</f>
        <v>TESOURA USO GERAL 21CM MUNDIAL 160-8N</v>
      </c>
      <c r="D301" s="39">
        <f>IFERROR(__xludf.DUMMYFUNCTION("""COMPUTED_VALUE"""),1.0)</f>
        <v>1</v>
      </c>
      <c r="E301" s="34" t="str">
        <f>IFERROR(__xludf.DUMMYFUNCTION("""COMPUTED_VALUE"""),"Saída")</f>
        <v>Saída</v>
      </c>
      <c r="F301" s="34" t="str">
        <f>IFERROR(__xludf.DUMMYFUNCTION("""COMPUTED_VALUE"""),"Recebimento:truck:")</f>
        <v>Recebimento:truck:</v>
      </c>
      <c r="G301" s="39">
        <f t="array" ref="G301">XLOOKUP(B301,'Página9'!A:A,'Página9'!F:F,"")</f>
        <v>-1</v>
      </c>
      <c r="H301" s="39">
        <f t="array" ref="H301">XLOOKUP(B301,'Página9'!A:A,'Página9'!C:C,"")</f>
        <v>2</v>
      </c>
      <c r="I301" s="35" t="str">
        <f t="array" ref="I301">XLOOKUP(B301,'Página9'!A:A,'Página9'!G:G,"")</f>
        <v>REPOR ESTOQUE</v>
      </c>
      <c r="J301" s="25" t="str">
        <f t="shared" si="1"/>
        <v>RECEBIMENTO</v>
      </c>
      <c r="K301" s="25" t="str">
        <f>IFERROR(__xludf.DUMMYFUNCTION("""COMPUTED_VALUE"""),"Jose Antoniel Silva Mesquita")</f>
        <v>Jose Antoniel Silva Mesquita</v>
      </c>
    </row>
    <row r="302">
      <c r="A302" s="37">
        <f>IFERROR(__xludf.DUMMYFUNCTION("""COMPUTED_VALUE"""),45951.0)</f>
        <v>45951</v>
      </c>
      <c r="B302" s="42" t="str">
        <f>IFERROR(__xludf.DUMMYFUNCTION("""COMPUTED_VALUE"""),"MCC015UC0008")</f>
        <v>MCC015UC0008</v>
      </c>
      <c r="C302" s="31" t="str">
        <f>IFERROR(__xludf.DUMMYFUNCTION("""COMPUTED_VALUE"""),"FILME STRETCH 500X25")</f>
        <v>FILME STRETCH 500X25</v>
      </c>
      <c r="D302" s="39">
        <f>IFERROR(__xludf.DUMMYFUNCTION("""COMPUTED_VALUE"""),5.0)</f>
        <v>5</v>
      </c>
      <c r="E302" s="34" t="str">
        <f>IFERROR(__xludf.DUMMYFUNCTION("""COMPUTED_VALUE"""),"Saída")</f>
        <v>Saída</v>
      </c>
      <c r="F302" s="34" t="str">
        <f>IFERROR(__xludf.DUMMYFUNCTION("""COMPUTED_VALUE"""),"Expedição:ex-escolas-exponenciais:")</f>
        <v>Expedição:ex-escolas-exponenciais:</v>
      </c>
      <c r="G302" s="39">
        <f t="array" ref="G302">XLOOKUP(B302,'Página9'!A:A,'Página9'!F:F,"")</f>
        <v>-158</v>
      </c>
      <c r="H302" s="39">
        <f t="array" ref="H302">XLOOKUP(B302,'Página9'!A:A,'Página9'!C:C,"")</f>
        <v>40</v>
      </c>
      <c r="I302" s="35" t="str">
        <f t="array" ref="I302">XLOOKUP(B302,'Página9'!A:A,'Página9'!G:G,"")</f>
        <v>REPOR ESTOQUE</v>
      </c>
      <c r="J302" s="25" t="str">
        <f t="shared" si="1"/>
        <v>EXPEDIÇÃO</v>
      </c>
      <c r="K302" s="25" t="str">
        <f>IFERROR(__xludf.DUMMYFUNCTION("""COMPUTED_VALUE"""),"Francisco Samuel Trindade Nascimento")</f>
        <v>Francisco Samuel Trindade Nascimento</v>
      </c>
    </row>
    <row r="303">
      <c r="A303" s="37">
        <f>IFERROR(__xludf.DUMMYFUNCTION("""COMPUTED_VALUE"""),45951.0)</f>
        <v>45951</v>
      </c>
      <c r="B303" s="42" t="str">
        <f>IFERROR(__xludf.DUMMYFUNCTION("""COMPUTED_VALUE"""),"MCC015UC0008")</f>
        <v>MCC015UC0008</v>
      </c>
      <c r="C303" s="31" t="str">
        <f>IFERROR(__xludf.DUMMYFUNCTION("""COMPUTED_VALUE"""),"FILME STRETCH 500X25")</f>
        <v>FILME STRETCH 500X25</v>
      </c>
      <c r="D303" s="39">
        <f>IFERROR(__xludf.DUMMYFUNCTION("""COMPUTED_VALUE"""),15.0)</f>
        <v>15</v>
      </c>
      <c r="E303" s="34" t="str">
        <f>IFERROR(__xludf.DUMMYFUNCTION("""COMPUTED_VALUE"""),"Saída")</f>
        <v>Saída</v>
      </c>
      <c r="F303" s="34" t="str">
        <f>IFERROR(__xludf.DUMMYFUNCTION("""COMPUTED_VALUE"""),"Expedição:ex-escolas-exponenciais:")</f>
        <v>Expedição:ex-escolas-exponenciais:</v>
      </c>
      <c r="G303" s="39">
        <f t="array" ref="G303">XLOOKUP(B303,'Página9'!A:A,'Página9'!F:F,"")</f>
        <v>-158</v>
      </c>
      <c r="H303" s="39">
        <f t="array" ref="H303">XLOOKUP(B303,'Página9'!A:A,'Página9'!C:C,"")</f>
        <v>40</v>
      </c>
      <c r="I303" s="35" t="str">
        <f t="array" ref="I303">XLOOKUP(B303,'Página9'!A:A,'Página9'!G:G,"")</f>
        <v>REPOR ESTOQUE</v>
      </c>
      <c r="J303" s="25" t="str">
        <f t="shared" si="1"/>
        <v>EXPEDIÇÃO</v>
      </c>
      <c r="K303" s="25" t="str">
        <f>IFERROR(__xludf.DUMMYFUNCTION("""COMPUTED_VALUE"""),"Pedro Lucas Matias Do Nascimento")</f>
        <v>Pedro Lucas Matias Do Nascimento</v>
      </c>
    </row>
    <row r="304">
      <c r="A304" s="37">
        <f>IFERROR(__xludf.DUMMYFUNCTION("""COMPUTED_VALUE"""),45951.0)</f>
        <v>45951</v>
      </c>
      <c r="B304" s="42" t="str">
        <f>IFERROR(__xludf.DUMMYFUNCTION("""COMPUTED_VALUE"""),"EMC015MO0007")</f>
        <v>EMC015MO0007</v>
      </c>
      <c r="C304" s="31" t="str">
        <f>IFERROR(__xludf.DUMMYFUNCTION("""COMPUTED_VALUE"""),"RIBBON CERA PRETO 110MMX74M")</f>
        <v>RIBBON CERA PRETO 110MMX74M</v>
      </c>
      <c r="D304" s="39">
        <f>IFERROR(__xludf.DUMMYFUNCTION("""COMPUTED_VALUE"""),6.0)</f>
        <v>6</v>
      </c>
      <c r="E304" s="34" t="str">
        <f>IFERROR(__xludf.DUMMYFUNCTION("""COMPUTED_VALUE"""),"Saída")</f>
        <v>Saída</v>
      </c>
      <c r="F304" s="34" t="str">
        <f>IFERROR(__xludf.DUMMYFUNCTION("""COMPUTED_VALUE"""),"Expedição:ex-escolas-exponenciais:")</f>
        <v>Expedição:ex-escolas-exponenciais:</v>
      </c>
      <c r="G304" s="39">
        <f t="array" ref="G304">XLOOKUP(B304,'Página9'!A:A,'Página9'!F:F,"")</f>
        <v>646</v>
      </c>
      <c r="H304" s="39">
        <f t="array" ref="H304">XLOOKUP(B304,'Página9'!A:A,'Página9'!C:C,"")</f>
        <v>5</v>
      </c>
      <c r="I304" s="35" t="str">
        <f t="array" ref="I304">XLOOKUP(B304,'Página9'!A:A,'Página9'!G:G,"")</f>
        <v>OK</v>
      </c>
      <c r="J304" s="25" t="str">
        <f t="shared" si="1"/>
        <v>EXPEDIÇÃO</v>
      </c>
      <c r="K304" s="25" t="str">
        <f>IFERROR(__xludf.DUMMYFUNCTION("""COMPUTED_VALUE"""),"Francisco Edson Oliveira Dos Santos Vieira")</f>
        <v>Francisco Edson Oliveira Dos Santos Vieira</v>
      </c>
    </row>
    <row r="305">
      <c r="A305" s="37">
        <f>IFERROR(__xludf.DUMMYFUNCTION("""COMPUTED_VALUE"""),45951.0)</f>
        <v>45951</v>
      </c>
      <c r="B305" s="42" t="str">
        <f>IFERROR(__xludf.DUMMYFUNCTION("""COMPUTED_VALUE"""),"MCC046UC0695")</f>
        <v>MCC046UC0695</v>
      </c>
      <c r="C305" s="31" t="str">
        <f>IFERROR(__xludf.DUMMYFUNCTION("""COMPUTED_VALUE"""),"ETIQUETA COUCHE 98X50X1")</f>
        <v>ETIQUETA COUCHE 98X50X1</v>
      </c>
      <c r="D305" s="39">
        <f>IFERROR(__xludf.DUMMYFUNCTION("""COMPUTED_VALUE"""),4.0)</f>
        <v>4</v>
      </c>
      <c r="E305" s="34" t="str">
        <f>IFERROR(__xludf.DUMMYFUNCTION("""COMPUTED_VALUE"""),"Saída")</f>
        <v>Saída</v>
      </c>
      <c r="F305" s="34" t="str">
        <f>IFERROR(__xludf.DUMMYFUNCTION("""COMPUTED_VALUE"""),"Expedição:ex-escolas-exponenciais:")</f>
        <v>Expedição:ex-escolas-exponenciais:</v>
      </c>
      <c r="G305" s="39">
        <f t="array" ref="G305">XLOOKUP(B305,'Página9'!A:A,'Página9'!F:F,"")</f>
        <v>256</v>
      </c>
      <c r="H305" s="39">
        <f t="array" ref="H305">XLOOKUP(B305,'Página9'!A:A,'Página9'!C:C,"")</f>
        <v>20</v>
      </c>
      <c r="I305" s="35" t="str">
        <f t="array" ref="I305">XLOOKUP(B305,'Página9'!A:A,'Página9'!G:G,"")</f>
        <v>OK</v>
      </c>
      <c r="J305" s="25" t="str">
        <f t="shared" si="1"/>
        <v>EXPEDIÇÃO</v>
      </c>
      <c r="K305" s="25" t="str">
        <f>IFERROR(__xludf.DUMMYFUNCTION("""COMPUTED_VALUE"""),"Francisco Edson Oliveira Dos Santos Vieira")</f>
        <v>Francisco Edson Oliveira Dos Santos Vieira</v>
      </c>
    </row>
    <row r="306">
      <c r="A306" s="37">
        <f>IFERROR(__xludf.DUMMYFUNCTION("""COMPUTED_VALUE"""),45951.0)</f>
        <v>45951</v>
      </c>
      <c r="B306" s="42" t="str">
        <f>IFERROR(__xludf.DUMMYFUNCTION("""COMPUTED_VALUE"""),"MCC015UC0033")</f>
        <v>MCC015UC0033</v>
      </c>
      <c r="C306" s="31" t="str">
        <f>IFERROR(__xludf.DUMMYFUNCTION("""COMPUTED_VALUE"""),"FITA DE ARQUEAR PET VERDE 16MM X 0,8MM C/ 13KG")</f>
        <v>FITA DE ARQUEAR PET VERDE 16MM X 0,8MM C/ 13KG</v>
      </c>
      <c r="D306" s="39">
        <f>IFERROR(__xludf.DUMMYFUNCTION("""COMPUTED_VALUE"""),1.0)</f>
        <v>1</v>
      </c>
      <c r="E306" s="34" t="str">
        <f>IFERROR(__xludf.DUMMYFUNCTION("""COMPUTED_VALUE"""),"Saída")</f>
        <v>Saída</v>
      </c>
      <c r="F306" s="34" t="str">
        <f>IFERROR(__xludf.DUMMYFUNCTION("""COMPUTED_VALUE"""),"Expedição:ex-escolas-exponenciais:")</f>
        <v>Expedição:ex-escolas-exponenciais:</v>
      </c>
      <c r="G306" s="39">
        <f t="array" ref="G306">XLOOKUP(B306,'Página9'!A:A,'Página9'!F:F,"")</f>
        <v>4</v>
      </c>
      <c r="H306" s="39">
        <f t="array" ref="H306">XLOOKUP(B306,'Página9'!A:A,'Página9'!C:C,"")</f>
        <v>3</v>
      </c>
      <c r="I306" s="35" t="str">
        <f t="array" ref="I306">XLOOKUP(B306,'Página9'!A:A,'Página9'!G:G,"")</f>
        <v>OK</v>
      </c>
      <c r="J306" s="25" t="str">
        <f t="shared" si="1"/>
        <v>EXPEDIÇÃO</v>
      </c>
      <c r="K306" s="25" t="str">
        <f>IFERROR(__xludf.DUMMYFUNCTION("""COMPUTED_VALUE"""),"Pericles Cavalcante De Lima Maciel")</f>
        <v>Pericles Cavalcante De Lima Maciel</v>
      </c>
    </row>
    <row r="307">
      <c r="A307" s="37">
        <f>IFERROR(__xludf.DUMMYFUNCTION("""COMPUTED_VALUE"""),45951.0)</f>
        <v>45951</v>
      </c>
      <c r="B307" s="42" t="str">
        <f>IFERROR(__xludf.DUMMYFUNCTION("""COMPUTED_VALUE"""),"MCC046UC0526")</f>
        <v>MCC046UC0526</v>
      </c>
      <c r="C307" s="31" t="str">
        <f>IFERROR(__xludf.DUMMYFUNCTION("""COMPUTED_VALUE"""),"CANETA PINCEL ATOMICO PRETA PILOT 1100")</f>
        <v>CANETA PINCEL ATOMICO PRETA PILOT 1100</v>
      </c>
      <c r="D307" s="39">
        <f>IFERROR(__xludf.DUMMYFUNCTION("""COMPUTED_VALUE"""),1.0)</f>
        <v>1</v>
      </c>
      <c r="E307" s="34" t="str">
        <f>IFERROR(__xludf.DUMMYFUNCTION("""COMPUTED_VALUE"""),"Saída")</f>
        <v>Saída</v>
      </c>
      <c r="F307" s="34" t="str">
        <f>IFERROR(__xludf.DUMMYFUNCTION("""COMPUTED_VALUE"""),"Estoque:package:")</f>
        <v>Estoque:package:</v>
      </c>
      <c r="G307" s="39">
        <f t="array" ref="G307">XLOOKUP(B307,'Página9'!A:A,'Página9'!F:F,"")</f>
        <v>1</v>
      </c>
      <c r="H307" s="39">
        <f t="array" ref="H307">XLOOKUP(B307,'Página9'!A:A,'Página9'!C:C,"")</f>
        <v>3</v>
      </c>
      <c r="I307" s="35" t="str">
        <f t="array" ref="I307">XLOOKUP(B307,'Página9'!A:A,'Página9'!G:G,"")</f>
        <v>REPOR ESTOQUE</v>
      </c>
      <c r="J307" s="25" t="str">
        <f t="shared" si="1"/>
        <v>ESTOQUE</v>
      </c>
      <c r="K307" s="25" t="str">
        <f>IFERROR(__xludf.DUMMYFUNCTION("""COMPUTED_VALUE"""),"Cosme Marcio Barros Barbosa")</f>
        <v>Cosme Marcio Barros Barbosa</v>
      </c>
    </row>
    <row r="308">
      <c r="A308" s="37">
        <f>IFERROR(__xludf.DUMMYFUNCTION("""COMPUTED_VALUE"""),45951.0)</f>
        <v>45951</v>
      </c>
      <c r="B308" s="42" t="str">
        <f>IFERROR(__xludf.DUMMYFUNCTION("""COMPUTED_VALUE"""),"MCC046UC0525")</f>
        <v>MCC046UC0525</v>
      </c>
      <c r="C308" s="31" t="str">
        <f>IFERROR(__xludf.DUMMYFUNCTION("""COMPUTED_VALUE"""),"CANETA PINCEL ATOMICO AZUL PILOT 1100")</f>
        <v>CANETA PINCEL ATOMICO AZUL PILOT 1100</v>
      </c>
      <c r="D308" s="39">
        <f>IFERROR(__xludf.DUMMYFUNCTION("""COMPUTED_VALUE"""),1.0)</f>
        <v>1</v>
      </c>
      <c r="E308" s="34" t="str">
        <f>IFERROR(__xludf.DUMMYFUNCTION("""COMPUTED_VALUE"""),"Saída")</f>
        <v>Saída</v>
      </c>
      <c r="F308" s="34" t="str">
        <f>IFERROR(__xludf.DUMMYFUNCTION("""COMPUTED_VALUE"""),"Expedição:ex-escolas-exponenciais:")</f>
        <v>Expedição:ex-escolas-exponenciais:</v>
      </c>
      <c r="G308" s="39">
        <f t="array" ref="G308">XLOOKUP(B308,'Página9'!A:A,'Página9'!F:F,"")</f>
        <v>5</v>
      </c>
      <c r="H308" s="39">
        <f t="array" ref="H308">XLOOKUP(B308,'Página9'!A:A,'Página9'!C:C,"")</f>
        <v>3</v>
      </c>
      <c r="I308" s="35" t="str">
        <f t="array" ref="I308">XLOOKUP(B308,'Página9'!A:A,'Página9'!G:G,"")</f>
        <v>OK</v>
      </c>
      <c r="J308" s="25" t="str">
        <f t="shared" si="1"/>
        <v>EXPEDIÇÃO</v>
      </c>
      <c r="K308" s="25" t="str">
        <f>IFERROR(__xludf.DUMMYFUNCTION("""COMPUTED_VALUE"""),"Matheus De Almeida Rodrigues")</f>
        <v>Matheus De Almeida Rodrigues</v>
      </c>
    </row>
    <row r="309">
      <c r="A309" s="37">
        <f>IFERROR(__xludf.DUMMYFUNCTION("""COMPUTED_VALUE"""),45951.0)</f>
        <v>45951</v>
      </c>
      <c r="B309" s="42" t="str">
        <f>IFERROR(__xludf.DUMMYFUNCTION("""COMPUTED_VALUE"""),"EMC015MO0001")</f>
        <v>EMC015MO0001</v>
      </c>
      <c r="C309" s="31" t="str">
        <f>IFERROR(__xludf.DUMMYFUNCTION("""COMPUTED_VALUE"""),"RIBBON CERA PRETO 110MMX300M")</f>
        <v>RIBBON CERA PRETO 110MMX300M</v>
      </c>
      <c r="D309" s="39">
        <f>IFERROR(__xludf.DUMMYFUNCTION("""COMPUTED_VALUE"""),1.0)</f>
        <v>1</v>
      </c>
      <c r="E309" s="34" t="str">
        <f>IFERROR(__xludf.DUMMYFUNCTION("""COMPUTED_VALUE"""),"Saída")</f>
        <v>Saída</v>
      </c>
      <c r="F309" s="34" t="str">
        <f>IFERROR(__xludf.DUMMYFUNCTION("""COMPUTED_VALUE"""),"Estoque:package:")</f>
        <v>Estoque:package:</v>
      </c>
      <c r="G309" s="39">
        <f t="array" ref="G309">XLOOKUP(B309,'Página9'!A:A,'Página9'!F:F,"")</f>
        <v>390</v>
      </c>
      <c r="H309" s="39">
        <f t="array" ref="H309">XLOOKUP(B309,'Página9'!A:A,'Página9'!C:C,"")</f>
        <v>5</v>
      </c>
      <c r="I309" s="35" t="str">
        <f t="array" ref="I309">XLOOKUP(B309,'Página9'!A:A,'Página9'!G:G,"")</f>
        <v>OK</v>
      </c>
      <c r="J309" s="25" t="str">
        <f t="shared" si="1"/>
        <v>ESTOQUE</v>
      </c>
      <c r="K309" s="25" t="str">
        <f>IFERROR(__xludf.DUMMYFUNCTION("""COMPUTED_VALUE"""),"Allison Breno Da Costa Borges Soares")</f>
        <v>Allison Breno Da Costa Borges Soares</v>
      </c>
    </row>
    <row r="310">
      <c r="A310" s="37">
        <f>IFERROR(__xludf.DUMMYFUNCTION("""COMPUTED_VALUE"""),45951.0)</f>
        <v>45951</v>
      </c>
      <c r="B310" s="42" t="str">
        <f>IFERROR(__xludf.DUMMYFUNCTION("""COMPUTED_VALUE"""),"MCC046UC0398")</f>
        <v>MCC046UC0398</v>
      </c>
      <c r="C310" s="31" t="str">
        <f>IFERROR(__xludf.DUMMYFUNCTION("""COMPUTED_VALUE"""),"GRAMPO 26/6 COBREADO CX.C/5000 BACCHI")</f>
        <v>GRAMPO 26/6 COBREADO CX.C/5000 BACCHI</v>
      </c>
      <c r="D310" s="39">
        <f>IFERROR(__xludf.DUMMYFUNCTION("""COMPUTED_VALUE"""),1.0)</f>
        <v>1</v>
      </c>
      <c r="E310" s="34" t="str">
        <f>IFERROR(__xludf.DUMMYFUNCTION("""COMPUTED_VALUE"""),"Saída")</f>
        <v>Saída</v>
      </c>
      <c r="F310" s="34" t="str">
        <f>IFERROR(__xludf.DUMMYFUNCTION("""COMPUTED_VALUE"""),"CIQ :qualidade:")</f>
        <v>CIQ :qualidade:</v>
      </c>
      <c r="G310" s="39">
        <f t="array" ref="G310">XLOOKUP(B310,'Página9'!A:A,'Página9'!F:F,"")</f>
        <v>-13</v>
      </c>
      <c r="H310" s="39">
        <f t="array" ref="H310">XLOOKUP(B310,'Página9'!A:A,'Página9'!C:C,"")</f>
        <v>3</v>
      </c>
      <c r="I310" s="35" t="str">
        <f t="array" ref="I310">XLOOKUP(B310,'Página9'!A:A,'Página9'!G:G,"")</f>
        <v>REPOR ESTOQUE</v>
      </c>
      <c r="J310" s="25" t="str">
        <f t="shared" si="1"/>
        <v>CIQ</v>
      </c>
      <c r="K310" s="25" t="str">
        <f>IFERROR(__xludf.DUMMYFUNCTION("""COMPUTED_VALUE"""),"Pericles Cavalcante De Lima Maciel")</f>
        <v>Pericles Cavalcante De Lima Maciel</v>
      </c>
    </row>
    <row r="311">
      <c r="A311" s="37">
        <f>IFERROR(__xludf.DUMMYFUNCTION("""COMPUTED_VALUE"""),45951.0)</f>
        <v>45951</v>
      </c>
      <c r="B311" s="42" t="str">
        <f>IFERROR(__xludf.DUMMYFUNCTION("""COMPUTED_VALUE"""),"MCC046UC0398")</f>
        <v>MCC046UC0398</v>
      </c>
      <c r="C311" s="31" t="str">
        <f>IFERROR(__xludf.DUMMYFUNCTION("""COMPUTED_VALUE"""),"GRAMPO 26/6 COBREADO CX.C/5000 BACCHI")</f>
        <v>GRAMPO 26/6 COBREADO CX.C/5000 BACCHI</v>
      </c>
      <c r="D311" s="39">
        <f>IFERROR(__xludf.DUMMYFUNCTION("""COMPUTED_VALUE"""),2.0)</f>
        <v>2</v>
      </c>
      <c r="E311" s="34" t="str">
        <f>IFERROR(__xludf.DUMMYFUNCTION("""COMPUTED_VALUE"""),"Saída")</f>
        <v>Saída</v>
      </c>
      <c r="F311" s="34" t="str">
        <f>IFERROR(__xludf.DUMMYFUNCTION("""COMPUTED_VALUE"""),"Expedição:ex-escolas-exponenciais:")</f>
        <v>Expedição:ex-escolas-exponenciais:</v>
      </c>
      <c r="G311" s="39">
        <f t="array" ref="G311">XLOOKUP(B311,'Página9'!A:A,'Página9'!F:F,"")</f>
        <v>-13</v>
      </c>
      <c r="H311" s="39">
        <f t="array" ref="H311">XLOOKUP(B311,'Página9'!A:A,'Página9'!C:C,"")</f>
        <v>3</v>
      </c>
      <c r="I311" s="35" t="str">
        <f t="array" ref="I311">XLOOKUP(B311,'Página9'!A:A,'Página9'!G:G,"")</f>
        <v>REPOR ESTOQUE</v>
      </c>
      <c r="J311" s="25" t="str">
        <f t="shared" si="1"/>
        <v>EXPEDIÇÃO</v>
      </c>
      <c r="K311" s="25" t="str">
        <f>IFERROR(__xludf.DUMMYFUNCTION("""COMPUTED_VALUE"""),"Jose Antoniel Silva Mesquita")</f>
        <v>Jose Antoniel Silva Mesquita</v>
      </c>
    </row>
    <row r="312">
      <c r="A312" s="37">
        <f>IFERROR(__xludf.DUMMYFUNCTION("""COMPUTED_VALUE"""),45951.0)</f>
        <v>45951</v>
      </c>
      <c r="B312" s="42" t="str">
        <f>IFERROR(__xludf.DUMMYFUNCTION("""COMPUTED_VALUE"""),"MCC046UC0638")</f>
        <v>MCC046UC0638</v>
      </c>
      <c r="C312" s="31" t="str">
        <f>IFERROR(__xludf.DUMMYFUNCTION("""COMPUTED_VALUE"""),"PILHA ALCALINA ELGIN PALITO AAA")</f>
        <v>PILHA ALCALINA ELGIN PALITO AAA</v>
      </c>
      <c r="D312" s="39">
        <f>IFERROR(__xludf.DUMMYFUNCTION("""COMPUTED_VALUE"""),2.0)</f>
        <v>2</v>
      </c>
      <c r="E312" s="34" t="str">
        <f>IFERROR(__xludf.DUMMYFUNCTION("""COMPUTED_VALUE"""),"Saída")</f>
        <v>Saída</v>
      </c>
      <c r="F312" s="34" t="str">
        <f>IFERROR(__xludf.DUMMYFUNCTION("""COMPUTED_VALUE"""),"Expedição:ex-escolas-exponenciais:")</f>
        <v>Expedição:ex-escolas-exponenciais:</v>
      </c>
      <c r="G312" s="39">
        <f t="array" ref="G312">XLOOKUP(B312,'Página9'!A:A,'Página9'!F:F,"")</f>
        <v>32</v>
      </c>
      <c r="H312" s="39">
        <f t="array" ref="H312">XLOOKUP(B312,'Página9'!A:A,'Página9'!C:C,"")</f>
        <v>4</v>
      </c>
      <c r="I312" s="35" t="str">
        <f t="array" ref="I312">XLOOKUP(B312,'Página9'!A:A,'Página9'!G:G,"")</f>
        <v>OK</v>
      </c>
      <c r="J312" s="25" t="str">
        <f t="shared" si="1"/>
        <v>EXPEDIÇÃO</v>
      </c>
      <c r="K312" s="25" t="str">
        <f>IFERROR(__xludf.DUMMYFUNCTION("""COMPUTED_VALUE"""),"Francisco Edson Oliveira Dos Santos Vieira")</f>
        <v>Francisco Edson Oliveira Dos Santos Vieira</v>
      </c>
    </row>
    <row r="313">
      <c r="A313" s="37">
        <f>IFERROR(__xludf.DUMMYFUNCTION("""COMPUTED_VALUE"""),45951.0)</f>
        <v>45951</v>
      </c>
      <c r="B313" s="42" t="str">
        <f>IFERROR(__xludf.DUMMYFUNCTION("""COMPUTED_VALUE"""),"MCC015UC0033")</f>
        <v>MCC015UC0033</v>
      </c>
      <c r="C313" s="31" t="str">
        <f>IFERROR(__xludf.DUMMYFUNCTION("""COMPUTED_VALUE"""),"FITA DE ARQUEAR PET VERDE 16MM X 0,8MM C/ 13KG")</f>
        <v>FITA DE ARQUEAR PET VERDE 16MM X 0,8MM C/ 13KG</v>
      </c>
      <c r="D313" s="39">
        <f>IFERROR(__xludf.DUMMYFUNCTION("""COMPUTED_VALUE"""),1.0)</f>
        <v>1</v>
      </c>
      <c r="E313" s="34" t="str">
        <f>IFERROR(__xludf.DUMMYFUNCTION("""COMPUTED_VALUE"""),"Saída")</f>
        <v>Saída</v>
      </c>
      <c r="F313" s="34" t="str">
        <f>IFERROR(__xludf.DUMMYFUNCTION("""COMPUTED_VALUE"""),"Recebimento:truck:")</f>
        <v>Recebimento:truck:</v>
      </c>
      <c r="G313" s="39">
        <f t="array" ref="G313">XLOOKUP(B313,'Página9'!A:A,'Página9'!F:F,"")</f>
        <v>4</v>
      </c>
      <c r="H313" s="39">
        <f t="array" ref="H313">XLOOKUP(B313,'Página9'!A:A,'Página9'!C:C,"")</f>
        <v>3</v>
      </c>
      <c r="I313" s="35" t="str">
        <f t="array" ref="I313">XLOOKUP(B313,'Página9'!A:A,'Página9'!G:G,"")</f>
        <v>OK</v>
      </c>
      <c r="J313" s="25" t="str">
        <f t="shared" si="1"/>
        <v>RECEBIMENTO</v>
      </c>
      <c r="K313" s="25" t="str">
        <f>IFERROR(__xludf.DUMMYFUNCTION("""COMPUTED_VALUE"""),"Pedro Lucas Matias Do Nascimento")</f>
        <v>Pedro Lucas Matias Do Nascimento</v>
      </c>
    </row>
    <row r="314">
      <c r="A314" s="37">
        <f>IFERROR(__xludf.DUMMYFUNCTION("""COMPUTED_VALUE"""),45951.0)</f>
        <v>45951</v>
      </c>
      <c r="B314" s="42" t="str">
        <f>IFERROR(__xludf.DUMMYFUNCTION("""COMPUTED_VALUE"""),"MCC015UC0038")</f>
        <v>MCC015UC0038</v>
      </c>
      <c r="C314" s="31" t="str">
        <f>IFERROR(__xludf.DUMMYFUNCTION("""COMPUTED_VALUE"""),"BOBINA SHRINK 500MM")</f>
        <v>BOBINA SHRINK 500MM</v>
      </c>
      <c r="D314" s="39">
        <f>IFERROR(__xludf.DUMMYFUNCTION("""COMPUTED_VALUE"""),1.0)</f>
        <v>1</v>
      </c>
      <c r="E314" s="34" t="str">
        <f>IFERROR(__xludf.DUMMYFUNCTION("""COMPUTED_VALUE"""),"Saída")</f>
        <v>Saída</v>
      </c>
      <c r="F314" s="34" t="str">
        <f>IFERROR(__xludf.DUMMYFUNCTION("""COMPUTED_VALUE"""),"Expedição:ex-escolas-exponenciais:")</f>
        <v>Expedição:ex-escolas-exponenciais:</v>
      </c>
      <c r="G314" s="39">
        <f t="array" ref="G314">XLOOKUP(B314,'Página9'!A:A,'Página9'!F:F,"")</f>
        <v>13</v>
      </c>
      <c r="H314" s="39">
        <f t="array" ref="H314">XLOOKUP(B314,'Página9'!A:A,'Página9'!C:C,"")</f>
        <v>3</v>
      </c>
      <c r="I314" s="35" t="str">
        <f t="array" ref="I314">XLOOKUP(B314,'Página9'!A:A,'Página9'!G:G,"")</f>
        <v>OK</v>
      </c>
      <c r="J314" s="25" t="str">
        <f t="shared" si="1"/>
        <v>EXPEDIÇÃO</v>
      </c>
      <c r="K314" s="25" t="str">
        <f>IFERROR(__xludf.DUMMYFUNCTION("""COMPUTED_VALUE"""),"Paulo Henrique Chagas De Oliveira")</f>
        <v>Paulo Henrique Chagas De Oliveira</v>
      </c>
    </row>
    <row r="315">
      <c r="A315" s="37">
        <f>IFERROR(__xludf.DUMMYFUNCTION("""COMPUTED_VALUE"""),45951.0)</f>
        <v>45951</v>
      </c>
      <c r="B315" s="42" t="str">
        <f>IFERROR(__xludf.DUMMYFUNCTION("""COMPUTED_VALUE"""),"MCC015UC0033")</f>
        <v>MCC015UC0033</v>
      </c>
      <c r="C315" s="31" t="str">
        <f>IFERROR(__xludf.DUMMYFUNCTION("""COMPUTED_VALUE"""),"FITA DE ARQUEAR PET VERDE 16MM X 0,8MM C/ 13KG")</f>
        <v>FITA DE ARQUEAR PET VERDE 16MM X 0,8MM C/ 13KG</v>
      </c>
      <c r="D315" s="39">
        <f>IFERROR(__xludf.DUMMYFUNCTION("""COMPUTED_VALUE"""),1.0)</f>
        <v>1</v>
      </c>
      <c r="E315" s="34" t="str">
        <f>IFERROR(__xludf.DUMMYFUNCTION("""COMPUTED_VALUE"""),"Saída")</f>
        <v>Saída</v>
      </c>
      <c r="F315" s="34" t="str">
        <f>IFERROR(__xludf.DUMMYFUNCTION("""COMPUTED_VALUE"""),"Expedição:ex-escolas-exponenciais:")</f>
        <v>Expedição:ex-escolas-exponenciais:</v>
      </c>
      <c r="G315" s="39">
        <f t="array" ref="G315">XLOOKUP(B315,'Página9'!A:A,'Página9'!F:F,"")</f>
        <v>4</v>
      </c>
      <c r="H315" s="39">
        <f t="array" ref="H315">XLOOKUP(B315,'Página9'!A:A,'Página9'!C:C,"")</f>
        <v>3</v>
      </c>
      <c r="I315" s="35" t="str">
        <f t="array" ref="I315">XLOOKUP(B315,'Página9'!A:A,'Página9'!G:G,"")</f>
        <v>OK</v>
      </c>
      <c r="J315" s="25" t="str">
        <f t="shared" si="1"/>
        <v>EXPEDIÇÃO</v>
      </c>
      <c r="K315" s="25" t="str">
        <f>IFERROR(__xludf.DUMMYFUNCTION("""COMPUTED_VALUE"""),"Marcio Sthefani Bessa De Oliveira")</f>
        <v>Marcio Sthefani Bessa De Oliveira</v>
      </c>
    </row>
    <row r="316">
      <c r="A316" s="37">
        <f>IFERROR(__xludf.DUMMYFUNCTION("""COMPUTED_VALUE"""),45951.0)</f>
        <v>45951</v>
      </c>
      <c r="B316" s="42" t="str">
        <f>IFERROR(__xludf.DUMMYFUNCTION("""COMPUTED_VALUE"""),"MCC015UC0033")</f>
        <v>MCC015UC0033</v>
      </c>
      <c r="C316" s="31" t="str">
        <f>IFERROR(__xludf.DUMMYFUNCTION("""COMPUTED_VALUE"""),"FITA DE ARQUEAR PET VERDE 16MM X 0,8MM C/ 13KG")</f>
        <v>FITA DE ARQUEAR PET VERDE 16MM X 0,8MM C/ 13KG</v>
      </c>
      <c r="D316" s="39">
        <f>IFERROR(__xludf.DUMMYFUNCTION("""COMPUTED_VALUE"""),1.0)</f>
        <v>1</v>
      </c>
      <c r="E316" s="34" t="str">
        <f>IFERROR(__xludf.DUMMYFUNCTION("""COMPUTED_VALUE"""),"Saída")</f>
        <v>Saída</v>
      </c>
      <c r="F316" s="34" t="str">
        <f>IFERROR(__xludf.DUMMYFUNCTION("""COMPUTED_VALUE"""),"Recebimento:truck:")</f>
        <v>Recebimento:truck:</v>
      </c>
      <c r="G316" s="39">
        <f t="array" ref="G316">XLOOKUP(B316,'Página9'!A:A,'Página9'!F:F,"")</f>
        <v>4</v>
      </c>
      <c r="H316" s="39">
        <f t="array" ref="H316">XLOOKUP(B316,'Página9'!A:A,'Página9'!C:C,"")</f>
        <v>3</v>
      </c>
      <c r="I316" s="35" t="str">
        <f t="array" ref="I316">XLOOKUP(B316,'Página9'!A:A,'Página9'!G:G,"")</f>
        <v>OK</v>
      </c>
      <c r="J316" s="25" t="str">
        <f t="shared" si="1"/>
        <v>RECEBIMENTO</v>
      </c>
      <c r="K316" s="25" t="str">
        <f>IFERROR(__xludf.DUMMYFUNCTION("""COMPUTED_VALUE"""),"Jose Antoniel Silva Mesquita")</f>
        <v>Jose Antoniel Silva Mesquita</v>
      </c>
    </row>
    <row r="317">
      <c r="A317" s="37">
        <f>IFERROR(__xludf.DUMMYFUNCTION("""COMPUTED_VALUE"""),45951.0)</f>
        <v>45951</v>
      </c>
      <c r="B317" s="42" t="str">
        <f>IFERROR(__xludf.DUMMYFUNCTION("""COMPUTED_VALUE"""),"MCC046UC0695")</f>
        <v>MCC046UC0695</v>
      </c>
      <c r="C317" s="31" t="str">
        <f>IFERROR(__xludf.DUMMYFUNCTION("""COMPUTED_VALUE"""),"ETIQUETA COUCHE 98X50X1")</f>
        <v>ETIQUETA COUCHE 98X50X1</v>
      </c>
      <c r="D317" s="39">
        <f>IFERROR(__xludf.DUMMYFUNCTION("""COMPUTED_VALUE"""),24.0)</f>
        <v>24</v>
      </c>
      <c r="E317" s="34" t="str">
        <f>IFERROR(__xludf.DUMMYFUNCTION("""COMPUTED_VALUE"""),"Saída")</f>
        <v>Saída</v>
      </c>
      <c r="F317" s="34" t="str">
        <f>IFERROR(__xludf.DUMMYFUNCTION("""COMPUTED_VALUE"""),"Estoque:package:")</f>
        <v>Estoque:package:</v>
      </c>
      <c r="G317" s="39">
        <f t="array" ref="G317">XLOOKUP(B317,'Página9'!A:A,'Página9'!F:F,"")</f>
        <v>256</v>
      </c>
      <c r="H317" s="39">
        <f t="array" ref="H317">XLOOKUP(B317,'Página9'!A:A,'Página9'!C:C,"")</f>
        <v>20</v>
      </c>
      <c r="I317" s="35" t="str">
        <f t="array" ref="I317">XLOOKUP(B317,'Página9'!A:A,'Página9'!G:G,"")</f>
        <v>OK</v>
      </c>
      <c r="J317" s="25" t="str">
        <f t="shared" si="1"/>
        <v>ESTOQUE</v>
      </c>
      <c r="K317" s="25" t="str">
        <f>IFERROR(__xludf.DUMMYFUNCTION("""COMPUTED_VALUE"""),"Paulo Henrique Chagas De Oliveira")</f>
        <v>Paulo Henrique Chagas De Oliveira</v>
      </c>
    </row>
    <row r="318">
      <c r="A318" s="37">
        <f>IFERROR(__xludf.DUMMYFUNCTION("""COMPUTED_VALUE"""),45951.0)</f>
        <v>45951</v>
      </c>
      <c r="B318" s="42" t="str">
        <f>IFERROR(__xludf.DUMMYFUNCTION("""COMPUTED_VALUE"""),"MCC046UC0082")</f>
        <v>MCC046UC0082</v>
      </c>
      <c r="C318" s="31" t="str">
        <f>IFERROR(__xludf.DUMMYFUNCTION("""COMPUTED_VALUE"""),"PAPEL SULFITE A4 75G 500 FOLHAS")</f>
        <v>PAPEL SULFITE A4 75G 500 FOLHAS</v>
      </c>
      <c r="D318" s="39">
        <f>IFERROR(__xludf.DUMMYFUNCTION("""COMPUTED_VALUE"""),1.0)</f>
        <v>1</v>
      </c>
      <c r="E318" s="34" t="str">
        <f>IFERROR(__xludf.DUMMYFUNCTION("""COMPUTED_VALUE"""),"Saída")</f>
        <v>Saída</v>
      </c>
      <c r="F318" s="34" t="str">
        <f>IFERROR(__xludf.DUMMYFUNCTION("""COMPUTED_VALUE"""),"Estoque:package:")</f>
        <v>Estoque:package:</v>
      </c>
      <c r="G318" s="39">
        <f t="array" ref="G318">XLOOKUP(B318,'Página9'!A:A,'Página9'!F:F,"")</f>
        <v>163</v>
      </c>
      <c r="H318" s="39">
        <f t="array" ref="H318">XLOOKUP(B318,'Página9'!A:A,'Página9'!C:C,"")</f>
        <v>10</v>
      </c>
      <c r="I318" s="35" t="str">
        <f t="array" ref="I318">XLOOKUP(B318,'Página9'!A:A,'Página9'!G:G,"")</f>
        <v>OK</v>
      </c>
      <c r="J318" s="25" t="str">
        <f t="shared" si="1"/>
        <v>ESTOQUE</v>
      </c>
      <c r="K318" s="25" t="str">
        <f>IFERROR(__xludf.DUMMYFUNCTION("""COMPUTED_VALUE"""),"Paulo Henrique Chagas De Oliveira")</f>
        <v>Paulo Henrique Chagas De Oliveira</v>
      </c>
    </row>
    <row r="319">
      <c r="A319" s="37">
        <f>IFERROR(__xludf.DUMMYFUNCTION("""COMPUTED_VALUE"""),45951.0)</f>
        <v>45951</v>
      </c>
      <c r="B319" s="42" t="str">
        <f>IFERROR(__xludf.DUMMYFUNCTION("""COMPUTED_VALUE"""),"MCC046UC0082")</f>
        <v>MCC046UC0082</v>
      </c>
      <c r="C319" s="31" t="str">
        <f>IFERROR(__xludf.DUMMYFUNCTION("""COMPUTED_VALUE"""),"PAPEL SULFITE A4 75G 500 FOLHAS")</f>
        <v>PAPEL SULFITE A4 75G 500 FOLHAS</v>
      </c>
      <c r="D319" s="39">
        <f>IFERROR(__xludf.DUMMYFUNCTION("""COMPUTED_VALUE"""),1.0)</f>
        <v>1</v>
      </c>
      <c r="E319" s="34" t="str">
        <f>IFERROR(__xludf.DUMMYFUNCTION("""COMPUTED_VALUE"""),"Saída")</f>
        <v>Saída</v>
      </c>
      <c r="F319" s="34" t="str">
        <f>IFERROR(__xludf.DUMMYFUNCTION("""COMPUTED_VALUE"""),"Expedição:ex-escolas-exponenciais:")</f>
        <v>Expedição:ex-escolas-exponenciais:</v>
      </c>
      <c r="G319" s="39">
        <f t="array" ref="G319">XLOOKUP(B319,'Página9'!A:A,'Página9'!F:F,"")</f>
        <v>163</v>
      </c>
      <c r="H319" s="39">
        <f t="array" ref="H319">XLOOKUP(B319,'Página9'!A:A,'Página9'!C:C,"")</f>
        <v>10</v>
      </c>
      <c r="I319" s="35" t="str">
        <f t="array" ref="I319">XLOOKUP(B319,'Página9'!A:A,'Página9'!G:G,"")</f>
        <v>OK</v>
      </c>
      <c r="J319" s="25" t="str">
        <f t="shared" si="1"/>
        <v>EXPEDIÇÃO</v>
      </c>
      <c r="K319" s="25" t="str">
        <f>IFERROR(__xludf.DUMMYFUNCTION("""COMPUTED_VALUE"""),"Paulo Henrique Chagas De Oliveira")</f>
        <v>Paulo Henrique Chagas De Oliveira</v>
      </c>
    </row>
    <row r="320">
      <c r="A320" s="37">
        <f>IFERROR(__xludf.DUMMYFUNCTION("""COMPUTED_VALUE"""),45951.0)</f>
        <v>45951</v>
      </c>
      <c r="B320" s="42" t="str">
        <f>IFERROR(__xludf.DUMMYFUNCTION("""COMPUTED_VALUE"""),"MCC015UC0045")</f>
        <v>MCC015UC0045</v>
      </c>
      <c r="C320" s="31" t="str">
        <f>IFERROR(__xludf.DUMMYFUNCTION("""COMPUTED_VALUE"""),"FITA ADESIVA 69MM X 100M")</f>
        <v>FITA ADESIVA 69MM X 100M</v>
      </c>
      <c r="D320" s="39">
        <f>IFERROR(__xludf.DUMMYFUNCTION("""COMPUTED_VALUE"""),4.0)</f>
        <v>4</v>
      </c>
      <c r="E320" s="34" t="str">
        <f>IFERROR(__xludf.DUMMYFUNCTION("""COMPUTED_VALUE"""),"Saída")</f>
        <v>Saída</v>
      </c>
      <c r="F320" s="34" t="str">
        <f>IFERROR(__xludf.DUMMYFUNCTION("""COMPUTED_VALUE"""),"CIQ :qualidade:")</f>
        <v>CIQ :qualidade:</v>
      </c>
      <c r="G320" s="39">
        <f t="array" ref="G320">XLOOKUP(B320,'Página9'!A:A,'Página9'!F:F,"")</f>
        <v>287</v>
      </c>
      <c r="H320" s="39">
        <f t="array" ref="H320">XLOOKUP(B320,'Página9'!A:A,'Página9'!C:C,"")</f>
        <v>20</v>
      </c>
      <c r="I320" s="35" t="str">
        <f t="array" ref="I320">XLOOKUP(B320,'Página9'!A:A,'Página9'!G:G,"")</f>
        <v>OK</v>
      </c>
      <c r="J320" s="25" t="str">
        <f t="shared" si="1"/>
        <v>CIQ</v>
      </c>
      <c r="K320" s="25" t="str">
        <f>IFERROR(__xludf.DUMMYFUNCTION("""COMPUTED_VALUE"""),"Pericles Cavalcante De Lima Maciel")</f>
        <v>Pericles Cavalcante De Lima Maciel</v>
      </c>
    </row>
    <row r="321">
      <c r="A321" s="37">
        <f>IFERROR(__xludf.DUMMYFUNCTION("""COMPUTED_VALUE"""),45953.0)</f>
        <v>45953</v>
      </c>
      <c r="B321" s="42" t="str">
        <f>IFERROR(__xludf.DUMMYFUNCTION("""COMPUTED_VALUE"""),"MCC015UC0033")</f>
        <v>MCC015UC0033</v>
      </c>
      <c r="C321" s="31" t="str">
        <f>IFERROR(__xludf.DUMMYFUNCTION("""COMPUTED_VALUE"""),"FITA DE ARQUEAR PET VERDE 16MM X 0,8MM C/ 13KG")</f>
        <v>FITA DE ARQUEAR PET VERDE 16MM X 0,8MM C/ 13KG</v>
      </c>
      <c r="D321" s="39">
        <f>IFERROR(__xludf.DUMMYFUNCTION("""COMPUTED_VALUE"""),2.0)</f>
        <v>2</v>
      </c>
      <c r="E321" s="34" t="str">
        <f>IFERROR(__xludf.DUMMYFUNCTION("""COMPUTED_VALUE"""),"Saída")</f>
        <v>Saída</v>
      </c>
      <c r="F321" s="34" t="str">
        <f>IFERROR(__xludf.DUMMYFUNCTION("""COMPUTED_VALUE"""),"PMM:livro-voador:")</f>
        <v>PMM:livro-voador:</v>
      </c>
      <c r="G321" s="39">
        <f t="array" ref="G321">XLOOKUP(B321,'Página9'!A:A,'Página9'!F:F,"")</f>
        <v>4</v>
      </c>
      <c r="H321" s="39">
        <f t="array" ref="H321">XLOOKUP(B321,'Página9'!A:A,'Página9'!C:C,"")</f>
        <v>3</v>
      </c>
      <c r="I321" s="35" t="str">
        <f t="array" ref="I321">XLOOKUP(B321,'Página9'!A:A,'Página9'!G:G,"")</f>
        <v>OK</v>
      </c>
      <c r="J321" s="25" t="str">
        <f t="shared" si="1"/>
        <v>PMM</v>
      </c>
      <c r="K321" s="25" t="str">
        <f>IFERROR(__xludf.DUMMYFUNCTION("""COMPUTED_VALUE"""),"Pedro Lucas Matias Do Nascimento")</f>
        <v>Pedro Lucas Matias Do Nascimento</v>
      </c>
    </row>
    <row r="322">
      <c r="A322" s="37">
        <f>IFERROR(__xludf.DUMMYFUNCTION("""COMPUTED_VALUE"""),45953.0)</f>
        <v>45953</v>
      </c>
      <c r="B322" s="42" t="str">
        <f>IFERROR(__xludf.DUMMYFUNCTION("""COMPUTED_VALUE"""),"MCC015UC0008")</f>
        <v>MCC015UC0008</v>
      </c>
      <c r="C322" s="31" t="str">
        <f>IFERROR(__xludf.DUMMYFUNCTION("""COMPUTED_VALUE"""),"FILME STRETCH 500X25")</f>
        <v>FILME STRETCH 500X25</v>
      </c>
      <c r="D322" s="39">
        <f>IFERROR(__xludf.DUMMYFUNCTION("""COMPUTED_VALUE"""),15.0)</f>
        <v>15</v>
      </c>
      <c r="E322" s="34" t="str">
        <f>IFERROR(__xludf.DUMMYFUNCTION("""COMPUTED_VALUE"""),"Saída")</f>
        <v>Saída</v>
      </c>
      <c r="F322" s="34" t="str">
        <f>IFERROR(__xludf.DUMMYFUNCTION("""COMPUTED_VALUE"""),"Expedição:ex-escolas-exponenciais:")</f>
        <v>Expedição:ex-escolas-exponenciais:</v>
      </c>
      <c r="G322" s="39">
        <f t="array" ref="G322">XLOOKUP(B322,'Página9'!A:A,'Página9'!F:F,"")</f>
        <v>-158</v>
      </c>
      <c r="H322" s="39">
        <f t="array" ref="H322">XLOOKUP(B322,'Página9'!A:A,'Página9'!C:C,"")</f>
        <v>40</v>
      </c>
      <c r="I322" s="35" t="str">
        <f t="array" ref="I322">XLOOKUP(B322,'Página9'!A:A,'Página9'!G:G,"")</f>
        <v>REPOR ESTOQUE</v>
      </c>
      <c r="J322" s="25" t="str">
        <f t="shared" si="1"/>
        <v>EXPEDIÇÃO</v>
      </c>
      <c r="K322" s="25" t="str">
        <f>IFERROR(__xludf.DUMMYFUNCTION("""COMPUTED_VALUE"""),"Francisco Samuel Trindade Nascimento")</f>
        <v>Francisco Samuel Trindade Nascimento</v>
      </c>
    </row>
    <row r="323">
      <c r="A323" s="37">
        <f>IFERROR(__xludf.DUMMYFUNCTION("""COMPUTED_VALUE"""),45953.0)</f>
        <v>45953</v>
      </c>
      <c r="B323" s="42" t="str">
        <f>IFERROR(__xludf.DUMMYFUNCTION("""COMPUTED_VALUE"""),"MCC015UC0008")</f>
        <v>MCC015UC0008</v>
      </c>
      <c r="C323" s="31" t="str">
        <f>IFERROR(__xludf.DUMMYFUNCTION("""COMPUTED_VALUE"""),"FILME STRETCH 500X25")</f>
        <v>FILME STRETCH 500X25</v>
      </c>
      <c r="D323" s="39">
        <f>IFERROR(__xludf.DUMMYFUNCTION("""COMPUTED_VALUE"""),7.0)</f>
        <v>7</v>
      </c>
      <c r="E323" s="34" t="str">
        <f>IFERROR(__xludf.DUMMYFUNCTION("""COMPUTED_VALUE"""),"Saída")</f>
        <v>Saída</v>
      </c>
      <c r="F323" s="34" t="str">
        <f>IFERROR(__xludf.DUMMYFUNCTION("""COMPUTED_VALUE"""),"PMM:livro-voador:")</f>
        <v>PMM:livro-voador:</v>
      </c>
      <c r="G323" s="39">
        <f t="array" ref="G323">XLOOKUP(B323,'Página9'!A:A,'Página9'!F:F,"")</f>
        <v>-158</v>
      </c>
      <c r="H323" s="39">
        <f t="array" ref="H323">XLOOKUP(B323,'Página9'!A:A,'Página9'!C:C,"")</f>
        <v>40</v>
      </c>
      <c r="I323" s="35" t="str">
        <f t="array" ref="I323">XLOOKUP(B323,'Página9'!A:A,'Página9'!G:G,"")</f>
        <v>REPOR ESTOQUE</v>
      </c>
      <c r="J323" s="25" t="str">
        <f t="shared" si="1"/>
        <v>PMM</v>
      </c>
      <c r="K323" s="25" t="str">
        <f>IFERROR(__xludf.DUMMYFUNCTION("""COMPUTED_VALUE"""),"Jose Antoniel Silva Mesquita")</f>
        <v>Jose Antoniel Silva Mesquita</v>
      </c>
    </row>
    <row r="324">
      <c r="A324" s="37">
        <f>IFERROR(__xludf.DUMMYFUNCTION("""COMPUTED_VALUE"""),45953.0)</f>
        <v>45953</v>
      </c>
      <c r="B324" s="42" t="str">
        <f>IFERROR(__xludf.DUMMYFUNCTION("""COMPUTED_VALUE"""),"MCC046UC0598")</f>
        <v>MCC046UC0598</v>
      </c>
      <c r="C324" s="31" t="str">
        <f>IFERROR(__xludf.DUMMYFUNCTION("""COMPUTED_VALUE"""),"ETIQUETA ADESIVA COUCHE AZUL - 105X150MM SAS")</f>
        <v>ETIQUETA ADESIVA COUCHE AZUL - 105X150MM SAS</v>
      </c>
      <c r="D324" s="39">
        <f>IFERROR(__xludf.DUMMYFUNCTION("""COMPUTED_VALUE"""),5.0)</f>
        <v>5</v>
      </c>
      <c r="E324" s="34" t="str">
        <f>IFERROR(__xludf.DUMMYFUNCTION("""COMPUTED_VALUE"""),"Saída")</f>
        <v>Saída</v>
      </c>
      <c r="F324" s="34" t="str">
        <f>IFERROR(__xludf.DUMMYFUNCTION("""COMPUTED_VALUE"""),"Expedição:ex-escolas-exponenciais:")</f>
        <v>Expedição:ex-escolas-exponenciais:</v>
      </c>
      <c r="G324" s="39">
        <f t="array" ref="G324">XLOOKUP(B324,'Página9'!A:A,'Página9'!F:F,"")</f>
        <v>40</v>
      </c>
      <c r="H324" s="39">
        <f t="array" ref="H324">XLOOKUP(B324,'Página9'!A:A,'Página9'!C:C,"")</f>
        <v>5</v>
      </c>
      <c r="I324" s="35" t="str">
        <f t="array" ref="I324">XLOOKUP(B324,'Página9'!A:A,'Página9'!G:G,"")</f>
        <v>OK</v>
      </c>
      <c r="J324" s="25" t="str">
        <f t="shared" si="1"/>
        <v>EXPEDIÇÃO</v>
      </c>
      <c r="K324" s="25" t="str">
        <f>IFERROR(__xludf.DUMMYFUNCTION("""COMPUTED_VALUE"""),"Philipe Araujo Barroso")</f>
        <v>Philipe Araujo Barroso</v>
      </c>
    </row>
    <row r="325">
      <c r="A325" s="37">
        <f>IFERROR(__xludf.DUMMYFUNCTION("""COMPUTED_VALUE"""),45953.0)</f>
        <v>45953</v>
      </c>
      <c r="B325" s="42" t="str">
        <f>IFERROR(__xludf.DUMMYFUNCTION("""COMPUTED_VALUE"""),"MCC046UC0599")</f>
        <v>MCC046UC0599</v>
      </c>
      <c r="C325" s="31" t="str">
        <f>IFERROR(__xludf.DUMMYFUNCTION("""COMPUTED_VALUE"""),"ETIQUETA ADESIVA COUCHE AMARELA  - 105X150MM SAS")</f>
        <v>ETIQUETA ADESIVA COUCHE AMARELA  - 105X150MM SAS</v>
      </c>
      <c r="D325" s="39">
        <f>IFERROR(__xludf.DUMMYFUNCTION("""COMPUTED_VALUE"""),5.0)</f>
        <v>5</v>
      </c>
      <c r="E325" s="34" t="str">
        <f>IFERROR(__xludf.DUMMYFUNCTION("""COMPUTED_VALUE"""),"Saída")</f>
        <v>Saída</v>
      </c>
      <c r="F325" s="34" t="str">
        <f>IFERROR(__xludf.DUMMYFUNCTION("""COMPUTED_VALUE"""),"Expedição:ex-escolas-exponenciais:")</f>
        <v>Expedição:ex-escolas-exponenciais:</v>
      </c>
      <c r="G325" s="39">
        <f t="array" ref="G325">XLOOKUP(B325,'Página9'!A:A,'Página9'!F:F,"")</f>
        <v>25</v>
      </c>
      <c r="H325" s="39">
        <f t="array" ref="H325">XLOOKUP(B325,'Página9'!A:A,'Página9'!C:C,"")</f>
        <v>5</v>
      </c>
      <c r="I325" s="35" t="str">
        <f t="array" ref="I325">XLOOKUP(B325,'Página9'!A:A,'Página9'!G:G,"")</f>
        <v>OK</v>
      </c>
      <c r="J325" s="25" t="str">
        <f t="shared" si="1"/>
        <v>EXPEDIÇÃO</v>
      </c>
      <c r="K325" s="25" t="str">
        <f>IFERROR(__xludf.DUMMYFUNCTION("""COMPUTED_VALUE"""),"Philipe Araujo Barroso")</f>
        <v>Philipe Araujo Barroso</v>
      </c>
    </row>
    <row r="326">
      <c r="A326" s="37">
        <f>IFERROR(__xludf.DUMMYFUNCTION("""COMPUTED_VALUE"""),45953.0)</f>
        <v>45953</v>
      </c>
      <c r="B326" s="42" t="str">
        <f>IFERROR(__xludf.DUMMYFUNCTION("""COMPUTED_VALUE"""),"MCC046UC0596")</f>
        <v>MCC046UC0596</v>
      </c>
      <c r="C326" s="31" t="str">
        <f>IFERROR(__xludf.DUMMYFUNCTION("""COMPUTED_VALUE"""),"ETIQUETA ADESIVA COUCHE BRANCA   - 105X150MM SAS")</f>
        <v>ETIQUETA ADESIVA COUCHE BRANCA   - 105X150MM SAS</v>
      </c>
      <c r="D326" s="39">
        <f>IFERROR(__xludf.DUMMYFUNCTION("""COMPUTED_VALUE"""),5.0)</f>
        <v>5</v>
      </c>
      <c r="E326" s="34" t="str">
        <f>IFERROR(__xludf.DUMMYFUNCTION("""COMPUTED_VALUE"""),"Saída")</f>
        <v>Saída</v>
      </c>
      <c r="F326" s="34" t="str">
        <f>IFERROR(__xludf.DUMMYFUNCTION("""COMPUTED_VALUE"""),"Expedição:ex-escolas-exponenciais:")</f>
        <v>Expedição:ex-escolas-exponenciais:</v>
      </c>
      <c r="G326" s="39">
        <f t="array" ref="G326">XLOOKUP(B326,'Página9'!A:A,'Página9'!F:F,"")</f>
        <v>157</v>
      </c>
      <c r="H326" s="39">
        <f t="array" ref="H326">XLOOKUP(B326,'Página9'!A:A,'Página9'!C:C,"")</f>
        <v>20</v>
      </c>
      <c r="I326" s="35" t="str">
        <f t="array" ref="I326">XLOOKUP(B326,'Página9'!A:A,'Página9'!G:G,"")</f>
        <v>OK</v>
      </c>
      <c r="J326" s="25" t="str">
        <f t="shared" si="1"/>
        <v>EXPEDIÇÃO</v>
      </c>
      <c r="K326" s="25" t="str">
        <f>IFERROR(__xludf.DUMMYFUNCTION("""COMPUTED_VALUE"""),"Philipe Araujo Barroso")</f>
        <v>Philipe Araujo Barroso</v>
      </c>
    </row>
    <row r="327">
      <c r="A327" s="37">
        <f>IFERROR(__xludf.DUMMYFUNCTION("""COMPUTED_VALUE"""),45953.0)</f>
        <v>45953</v>
      </c>
      <c r="B327" s="42" t="str">
        <f>IFERROR(__xludf.DUMMYFUNCTION("""COMPUTED_VALUE"""),"MCC046UC0668")</f>
        <v>MCC046UC0668</v>
      </c>
      <c r="C327" s="31" t="str">
        <f>IFERROR(__xludf.DUMMYFUNCTION("""COMPUTED_VALUE"""),"ETIQUETA ADESIVA COUCHE CINZA 100X150X1")</f>
        <v>ETIQUETA ADESIVA COUCHE CINZA 100X150X1</v>
      </c>
      <c r="D327" s="39">
        <f>IFERROR(__xludf.DUMMYFUNCTION("""COMPUTED_VALUE"""),5.0)</f>
        <v>5</v>
      </c>
      <c r="E327" s="34" t="str">
        <f>IFERROR(__xludf.DUMMYFUNCTION("""COMPUTED_VALUE"""),"Saída")</f>
        <v>Saída</v>
      </c>
      <c r="F327" s="34" t="str">
        <f>IFERROR(__xludf.DUMMYFUNCTION("""COMPUTED_VALUE"""),"Estoque:package:")</f>
        <v>Estoque:package:</v>
      </c>
      <c r="G327" s="39">
        <f t="array" ref="G327">XLOOKUP(B327,'Página9'!A:A,'Página9'!F:F,"")</f>
        <v>104</v>
      </c>
      <c r="H327" s="39">
        <f t="array" ref="H327">XLOOKUP(B327,'Página9'!A:A,'Página9'!C:C,"")</f>
        <v>5</v>
      </c>
      <c r="I327" s="35" t="str">
        <f t="array" ref="I327">XLOOKUP(B327,'Página9'!A:A,'Página9'!G:G,"")</f>
        <v>OK</v>
      </c>
      <c r="J327" s="25" t="str">
        <f t="shared" si="1"/>
        <v>ESTOQUE</v>
      </c>
      <c r="K327" s="25" t="str">
        <f>IFERROR(__xludf.DUMMYFUNCTION("""COMPUTED_VALUE"""),"Philipe Araujo Barroso")</f>
        <v>Philipe Araujo Barroso</v>
      </c>
    </row>
    <row r="328">
      <c r="A328" s="37">
        <f>IFERROR(__xludf.DUMMYFUNCTION("""COMPUTED_VALUE"""),45953.0)</f>
        <v>45953</v>
      </c>
      <c r="B328" s="42" t="str">
        <f>IFERROR(__xludf.DUMMYFUNCTION("""COMPUTED_VALUE"""),"MCC046UC0658")</f>
        <v>MCC046UC0658</v>
      </c>
      <c r="C328" s="31" t="str">
        <f>IFERROR(__xludf.DUMMYFUNCTION("""COMPUTED_VALUE"""),"ETIQUETA ADESIVA COUCHE LARANJA 100X150X1")</f>
        <v>ETIQUETA ADESIVA COUCHE LARANJA 100X150X1</v>
      </c>
      <c r="D328" s="39">
        <f>IFERROR(__xludf.DUMMYFUNCTION("""COMPUTED_VALUE"""),5.0)</f>
        <v>5</v>
      </c>
      <c r="E328" s="34" t="str">
        <f>IFERROR(__xludf.DUMMYFUNCTION("""COMPUTED_VALUE"""),"Saída")</f>
        <v>Saída</v>
      </c>
      <c r="F328" s="34" t="str">
        <f>IFERROR(__xludf.DUMMYFUNCTION("""COMPUTED_VALUE"""),"Recebimento:truck:")</f>
        <v>Recebimento:truck:</v>
      </c>
      <c r="G328" s="39">
        <f t="array" ref="G328">XLOOKUP(B328,'Página9'!A:A,'Página9'!F:F,"")</f>
        <v>32</v>
      </c>
      <c r="H328" s="39">
        <f t="array" ref="H328">XLOOKUP(B328,'Página9'!A:A,'Página9'!C:C,"")</f>
        <v>5</v>
      </c>
      <c r="I328" s="35" t="str">
        <f t="array" ref="I328">XLOOKUP(B328,'Página9'!A:A,'Página9'!G:G,"")</f>
        <v>OK</v>
      </c>
      <c r="J328" s="25" t="str">
        <f t="shared" si="1"/>
        <v>RECEBIMENTO</v>
      </c>
      <c r="K328" s="25" t="str">
        <f>IFERROR(__xludf.DUMMYFUNCTION("""COMPUTED_VALUE"""),"Philipe Araujo Barroso")</f>
        <v>Philipe Araujo Barroso</v>
      </c>
    </row>
    <row r="329">
      <c r="A329" s="37">
        <f>IFERROR(__xludf.DUMMYFUNCTION("""COMPUTED_VALUE"""),45953.0)</f>
        <v>45953</v>
      </c>
      <c r="B329" s="42" t="str">
        <f>IFERROR(__xludf.DUMMYFUNCTION("""COMPUTED_VALUE"""),"MCC046UC0597")</f>
        <v>MCC046UC0597</v>
      </c>
      <c r="C329" s="31" t="str">
        <f>IFERROR(__xludf.DUMMYFUNCTION("""COMPUTED_VALUE"""),"ETIQUETA ADESIVA COUCHE ROSA - SAS 105X150MM")</f>
        <v>ETIQUETA ADESIVA COUCHE ROSA - SAS 105X150MM</v>
      </c>
      <c r="D329" s="39">
        <f>IFERROR(__xludf.DUMMYFUNCTION("""COMPUTED_VALUE"""),5.0)</f>
        <v>5</v>
      </c>
      <c r="E329" s="34" t="str">
        <f>IFERROR(__xludf.DUMMYFUNCTION("""COMPUTED_VALUE"""),"Saída")</f>
        <v>Saída</v>
      </c>
      <c r="F329" s="34" t="str">
        <f>IFERROR(__xludf.DUMMYFUNCTION("""COMPUTED_VALUE"""),"PMM:livro-voador:")</f>
        <v>PMM:livro-voador:</v>
      </c>
      <c r="G329" s="39">
        <f t="array" ref="G329">XLOOKUP(B329,'Página9'!A:A,'Página9'!F:F,"")</f>
        <v>64</v>
      </c>
      <c r="H329" s="39">
        <f t="array" ref="H329">XLOOKUP(B329,'Página9'!A:A,'Página9'!C:C,"")</f>
        <v>5</v>
      </c>
      <c r="I329" s="35" t="str">
        <f t="array" ref="I329">XLOOKUP(B329,'Página9'!A:A,'Página9'!G:G,"")</f>
        <v>OK</v>
      </c>
      <c r="J329" s="25" t="str">
        <f t="shared" si="1"/>
        <v>PMM</v>
      </c>
      <c r="K329" s="25" t="str">
        <f>IFERROR(__xludf.DUMMYFUNCTION("""COMPUTED_VALUE"""),"Philipe Araujo Barroso")</f>
        <v>Philipe Araujo Barroso</v>
      </c>
    </row>
    <row r="330">
      <c r="A330" s="37">
        <f>IFERROR(__xludf.DUMMYFUNCTION("""COMPUTED_VALUE"""),45953.0)</f>
        <v>45953</v>
      </c>
      <c r="B330" s="42" t="str">
        <f>IFERROR(__xludf.DUMMYFUNCTION("""COMPUTED_VALUE"""),"MCC049UC0516")</f>
        <v>MCC049UC0516</v>
      </c>
      <c r="C330" s="31" t="str">
        <f>IFERROR(__xludf.DUMMYFUNCTION("""COMPUTED_VALUE"""),"ETIQUETA ADESIVA COUCHE VERDE CLARO - 105X150MM")</f>
        <v>ETIQUETA ADESIVA COUCHE VERDE CLARO - 105X150MM</v>
      </c>
      <c r="D330" s="39">
        <f>IFERROR(__xludf.DUMMYFUNCTION("""COMPUTED_VALUE"""),5.0)</f>
        <v>5</v>
      </c>
      <c r="E330" s="34" t="str">
        <f>IFERROR(__xludf.DUMMYFUNCTION("""COMPUTED_VALUE"""),"Saída")</f>
        <v>Saída</v>
      </c>
      <c r="F330" s="34" t="str">
        <f>IFERROR(__xludf.DUMMYFUNCTION("""COMPUTED_VALUE"""),"PMM:livro-voador:")</f>
        <v>PMM:livro-voador:</v>
      </c>
      <c r="G330" s="39">
        <f t="array" ref="G330">XLOOKUP(B330,'Página9'!A:A,'Página9'!F:F,"")</f>
        <v>70</v>
      </c>
      <c r="H330" s="39">
        <f t="array" ref="H330">XLOOKUP(B330,'Página9'!A:A,'Página9'!C:C,"")</f>
        <v>5</v>
      </c>
      <c r="I330" s="35" t="str">
        <f t="array" ref="I330">XLOOKUP(B330,'Página9'!A:A,'Página9'!G:G,"")</f>
        <v>OK</v>
      </c>
      <c r="J330" s="25" t="str">
        <f t="shared" si="1"/>
        <v>PMM</v>
      </c>
      <c r="K330" s="25" t="str">
        <f>IFERROR(__xludf.DUMMYFUNCTION("""COMPUTED_VALUE"""),"Philipe Araujo Barroso")</f>
        <v>Philipe Araujo Barroso</v>
      </c>
    </row>
    <row r="331">
      <c r="A331" s="37">
        <f>IFERROR(__xludf.DUMMYFUNCTION("""COMPUTED_VALUE"""),45953.0)</f>
        <v>45953</v>
      </c>
      <c r="B331" s="42" t="str">
        <f>IFERROR(__xludf.DUMMYFUNCTION("""COMPUTED_VALUE"""),"MCC015UC0008")</f>
        <v>MCC015UC0008</v>
      </c>
      <c r="C331" s="31" t="str">
        <f>IFERROR(__xludf.DUMMYFUNCTION("""COMPUTED_VALUE"""),"FILME STRETCH 500X25")</f>
        <v>FILME STRETCH 500X25</v>
      </c>
      <c r="D331" s="39">
        <f>IFERROR(__xludf.DUMMYFUNCTION("""COMPUTED_VALUE"""),10.0)</f>
        <v>10</v>
      </c>
      <c r="E331" s="34" t="str">
        <f>IFERROR(__xludf.DUMMYFUNCTION("""COMPUTED_VALUE"""),"Saída")</f>
        <v>Saída</v>
      </c>
      <c r="F331" s="34" t="str">
        <f>IFERROR(__xludf.DUMMYFUNCTION("""COMPUTED_VALUE"""),"Expedição:ex-escolas-exponenciais:")</f>
        <v>Expedição:ex-escolas-exponenciais:</v>
      </c>
      <c r="G331" s="39">
        <f t="array" ref="G331">XLOOKUP(B331,'Página9'!A:A,'Página9'!F:F,"")</f>
        <v>-158</v>
      </c>
      <c r="H331" s="39">
        <f t="array" ref="H331">XLOOKUP(B331,'Página9'!A:A,'Página9'!C:C,"")</f>
        <v>40</v>
      </c>
      <c r="I331" s="35" t="str">
        <f t="array" ref="I331">XLOOKUP(B331,'Página9'!A:A,'Página9'!G:G,"")</f>
        <v>REPOR ESTOQUE</v>
      </c>
      <c r="J331" s="25" t="str">
        <f t="shared" si="1"/>
        <v>EXPEDIÇÃO</v>
      </c>
      <c r="K331" s="25" t="str">
        <f>IFERROR(__xludf.DUMMYFUNCTION("""COMPUTED_VALUE"""),"Jose Antoniel Silva Mesquita")</f>
        <v>Jose Antoniel Silva Mesquita</v>
      </c>
    </row>
    <row r="332">
      <c r="A332" s="37">
        <f>IFERROR(__xludf.DUMMYFUNCTION("""COMPUTED_VALUE"""),45953.0)</f>
        <v>45953</v>
      </c>
      <c r="B332" s="42" t="str">
        <f>IFERROR(__xludf.DUMMYFUNCTION("""COMPUTED_VALUE"""),"MCC015UC0045")</f>
        <v>MCC015UC0045</v>
      </c>
      <c r="C332" s="31" t="str">
        <f>IFERROR(__xludf.DUMMYFUNCTION("""COMPUTED_VALUE"""),"FITA ADESIVA 69MM X 100M")</f>
        <v>FITA ADESIVA 69MM X 100M</v>
      </c>
      <c r="D332" s="39">
        <f>IFERROR(__xludf.DUMMYFUNCTION("""COMPUTED_VALUE"""),5.0)</f>
        <v>5</v>
      </c>
      <c r="E332" s="34" t="str">
        <f>IFERROR(__xludf.DUMMYFUNCTION("""COMPUTED_VALUE"""),"Saída")</f>
        <v>Saída</v>
      </c>
      <c r="F332" s="34" t="str">
        <f>IFERROR(__xludf.DUMMYFUNCTION("""COMPUTED_VALUE"""),"Expedição:ex-escolas-exponenciais:")</f>
        <v>Expedição:ex-escolas-exponenciais:</v>
      </c>
      <c r="G332" s="39">
        <f t="array" ref="G332">XLOOKUP(B332,'Página9'!A:A,'Página9'!F:F,"")</f>
        <v>287</v>
      </c>
      <c r="H332" s="39">
        <f t="array" ref="H332">XLOOKUP(B332,'Página9'!A:A,'Página9'!C:C,"")</f>
        <v>20</v>
      </c>
      <c r="I332" s="35" t="str">
        <f t="array" ref="I332">XLOOKUP(B332,'Página9'!A:A,'Página9'!G:G,"")</f>
        <v>OK</v>
      </c>
      <c r="J332" s="25" t="str">
        <f t="shared" si="1"/>
        <v>EXPEDIÇÃO</v>
      </c>
      <c r="K332" s="25" t="str">
        <f>IFERROR(__xludf.DUMMYFUNCTION("""COMPUTED_VALUE"""),"Pedro Lucas Matias Do Nascimento")</f>
        <v>Pedro Lucas Matias Do Nascimento</v>
      </c>
    </row>
    <row r="333">
      <c r="A333" s="37">
        <f>IFERROR(__xludf.DUMMYFUNCTION("""COMPUTED_VALUE"""),45953.0)</f>
        <v>45953</v>
      </c>
      <c r="B333" s="42" t="str">
        <f>IFERROR(__xludf.DUMMYFUNCTION("""COMPUTED_VALUE"""),"MCC049UC0607")</f>
        <v>MCC049UC0607</v>
      </c>
      <c r="C333" s="31" t="str">
        <f>IFERROR(__xludf.DUMMYFUNCTION("""COMPUTED_VALUE"""),"PAPEL A3 RESMA COM 500 FLS")</f>
        <v>PAPEL A3 RESMA COM 500 FLS</v>
      </c>
      <c r="D333" s="39">
        <f>IFERROR(__xludf.DUMMYFUNCTION("""COMPUTED_VALUE"""),2.0)</f>
        <v>2</v>
      </c>
      <c r="E333" s="34" t="str">
        <f>IFERROR(__xludf.DUMMYFUNCTION("""COMPUTED_VALUE"""),"Saída")</f>
        <v>Saída</v>
      </c>
      <c r="F333" s="34" t="str">
        <f>IFERROR(__xludf.DUMMYFUNCTION("""COMPUTED_VALUE"""),"Expedição:ex-escolas-exponenciais:")</f>
        <v>Expedição:ex-escolas-exponenciais:</v>
      </c>
      <c r="G333" s="39">
        <f t="array" ref="G333">XLOOKUP(B333,'Página9'!A:A,'Página9'!F:F,"")</f>
        <v>-47</v>
      </c>
      <c r="H333" s="39">
        <f t="array" ref="H333">XLOOKUP(B333,'Página9'!A:A,'Página9'!C:C,"")</f>
        <v>3</v>
      </c>
      <c r="I333" s="35" t="str">
        <f t="array" ref="I333">XLOOKUP(B333,'Página9'!A:A,'Página9'!G:G,"")</f>
        <v>REPOR ESTOQUE</v>
      </c>
      <c r="J333" s="25" t="str">
        <f t="shared" si="1"/>
        <v>EXPEDIÇÃO</v>
      </c>
      <c r="K333" s="25" t="str">
        <f>IFERROR(__xludf.DUMMYFUNCTION("""COMPUTED_VALUE"""),"Matheus De Almeida Rodrigues")</f>
        <v>Matheus De Almeida Rodrigues</v>
      </c>
    </row>
    <row r="334">
      <c r="A334" s="37">
        <f>IFERROR(__xludf.DUMMYFUNCTION("""COMPUTED_VALUE"""),45953.0)</f>
        <v>45953</v>
      </c>
      <c r="B334" s="42" t="str">
        <f>IFERROR(__xludf.DUMMYFUNCTION("""COMPUTED_VALUE"""),"MCC015UC0008")</f>
        <v>MCC015UC0008</v>
      </c>
      <c r="C334" s="31" t="str">
        <f>IFERROR(__xludf.DUMMYFUNCTION("""COMPUTED_VALUE"""),"FILME STRETCH 500X25")</f>
        <v>FILME STRETCH 500X25</v>
      </c>
      <c r="D334" s="39">
        <f>IFERROR(__xludf.DUMMYFUNCTION("""COMPUTED_VALUE"""),2.0)</f>
        <v>2</v>
      </c>
      <c r="E334" s="34" t="str">
        <f>IFERROR(__xludf.DUMMYFUNCTION("""COMPUTED_VALUE"""),"Saída")</f>
        <v>Saída</v>
      </c>
      <c r="F334" s="34" t="str">
        <f>IFERROR(__xludf.DUMMYFUNCTION("""COMPUTED_VALUE"""),"Expedição:ex-escolas-exponenciais:")</f>
        <v>Expedição:ex-escolas-exponenciais:</v>
      </c>
      <c r="G334" s="39">
        <f t="array" ref="G334">XLOOKUP(B334,'Página9'!A:A,'Página9'!F:F,"")</f>
        <v>-158</v>
      </c>
      <c r="H334" s="39">
        <f t="array" ref="H334">XLOOKUP(B334,'Página9'!A:A,'Página9'!C:C,"")</f>
        <v>40</v>
      </c>
      <c r="I334" s="35" t="str">
        <f t="array" ref="I334">XLOOKUP(B334,'Página9'!A:A,'Página9'!G:G,"")</f>
        <v>REPOR ESTOQUE</v>
      </c>
      <c r="J334" s="25" t="str">
        <f t="shared" si="1"/>
        <v>EXPEDIÇÃO</v>
      </c>
      <c r="K334" s="25" t="str">
        <f>IFERROR(__xludf.DUMMYFUNCTION("""COMPUTED_VALUE"""),"Rejane Fontes De Sousa")</f>
        <v>Rejane Fontes De Sousa</v>
      </c>
    </row>
    <row r="335">
      <c r="A335" s="37">
        <f>IFERROR(__xludf.DUMMYFUNCTION("""COMPUTED_VALUE"""),45953.0)</f>
        <v>45953</v>
      </c>
      <c r="B335" s="42" t="str">
        <f>IFERROR(__xludf.DUMMYFUNCTION("""COMPUTED_VALUE"""),"MCC015UC0008")</f>
        <v>MCC015UC0008</v>
      </c>
      <c r="C335" s="31" t="str">
        <f>IFERROR(__xludf.DUMMYFUNCTION("""COMPUTED_VALUE"""),"FILME STRETCH 500X25")</f>
        <v>FILME STRETCH 500X25</v>
      </c>
      <c r="D335" s="39">
        <f>IFERROR(__xludf.DUMMYFUNCTION("""COMPUTED_VALUE"""),8.0)</f>
        <v>8</v>
      </c>
      <c r="E335" s="34" t="str">
        <f>IFERROR(__xludf.DUMMYFUNCTION("""COMPUTED_VALUE"""),"Saída")</f>
        <v>Saída</v>
      </c>
      <c r="F335" s="34" t="str">
        <f>IFERROR(__xludf.DUMMYFUNCTION("""COMPUTED_VALUE"""),"Estoque:package:")</f>
        <v>Estoque:package:</v>
      </c>
      <c r="G335" s="39">
        <f t="array" ref="G335">XLOOKUP(B335,'Página9'!A:A,'Página9'!F:F,"")</f>
        <v>-158</v>
      </c>
      <c r="H335" s="39">
        <f t="array" ref="H335">XLOOKUP(B335,'Página9'!A:A,'Página9'!C:C,"")</f>
        <v>40</v>
      </c>
      <c r="I335" s="35" t="str">
        <f t="array" ref="I335">XLOOKUP(B335,'Página9'!A:A,'Página9'!G:G,"")</f>
        <v>REPOR ESTOQUE</v>
      </c>
      <c r="J335" s="25" t="str">
        <f t="shared" si="1"/>
        <v>ESTOQUE</v>
      </c>
      <c r="K335" s="25" t="str">
        <f>IFERROR(__xludf.DUMMYFUNCTION("""COMPUTED_VALUE"""),"Jackson Alves Sales")</f>
        <v>Jackson Alves Sales</v>
      </c>
    </row>
    <row r="336">
      <c r="A336" s="37">
        <f>IFERROR(__xludf.DUMMYFUNCTION("""COMPUTED_VALUE"""),45953.0)</f>
        <v>45953</v>
      </c>
      <c r="B336" s="42" t="str">
        <f>IFERROR(__xludf.DUMMYFUNCTION("""COMPUTED_VALUE"""),"MCC046UC0082")</f>
        <v>MCC046UC0082</v>
      </c>
      <c r="C336" s="31" t="str">
        <f>IFERROR(__xludf.DUMMYFUNCTION("""COMPUTED_VALUE"""),"PAPEL SULFITE A4 75G 500 FOLHAS")</f>
        <v>PAPEL SULFITE A4 75G 500 FOLHAS</v>
      </c>
      <c r="D336" s="39">
        <f>IFERROR(__xludf.DUMMYFUNCTION("""COMPUTED_VALUE"""),4.0)</f>
        <v>4</v>
      </c>
      <c r="E336" s="34" t="str">
        <f>IFERROR(__xludf.DUMMYFUNCTION("""COMPUTED_VALUE"""),"Saída")</f>
        <v>Saída</v>
      </c>
      <c r="F336" s="34" t="str">
        <f>IFERROR(__xludf.DUMMYFUNCTION("""COMPUTED_VALUE"""),"Expedição:ex-escolas-exponenciais:")</f>
        <v>Expedição:ex-escolas-exponenciais:</v>
      </c>
      <c r="G336" s="39">
        <f t="array" ref="G336">XLOOKUP(B336,'Página9'!A:A,'Página9'!F:F,"")</f>
        <v>163</v>
      </c>
      <c r="H336" s="39">
        <f t="array" ref="H336">XLOOKUP(B336,'Página9'!A:A,'Página9'!C:C,"")</f>
        <v>10</v>
      </c>
      <c r="I336" s="35" t="str">
        <f t="array" ref="I336">XLOOKUP(B336,'Página9'!A:A,'Página9'!G:G,"")</f>
        <v>OK</v>
      </c>
      <c r="J336" s="25" t="str">
        <f t="shared" si="1"/>
        <v>EXPEDIÇÃO</v>
      </c>
      <c r="K336" s="25" t="str">
        <f>IFERROR(__xludf.DUMMYFUNCTION("""COMPUTED_VALUE"""),"Jose Antoniel Silva Mesquita")</f>
        <v>Jose Antoniel Silva Mesquita</v>
      </c>
    </row>
    <row r="337">
      <c r="A337" s="37">
        <f>IFERROR(__xludf.DUMMYFUNCTION("""COMPUTED_VALUE"""),45953.0)</f>
        <v>45953</v>
      </c>
      <c r="B337" s="42" t="str">
        <f>IFERROR(__xludf.DUMMYFUNCTION("""COMPUTED_VALUE"""),"MCC015UC0008")</f>
        <v>MCC015UC0008</v>
      </c>
      <c r="C337" s="31" t="str">
        <f>IFERROR(__xludf.DUMMYFUNCTION("""COMPUTED_VALUE"""),"FILME STRETCH 500X25")</f>
        <v>FILME STRETCH 500X25</v>
      </c>
      <c r="D337" s="39">
        <f>IFERROR(__xludf.DUMMYFUNCTION("""COMPUTED_VALUE"""),30.0)</f>
        <v>30</v>
      </c>
      <c r="E337" s="34" t="str">
        <f>IFERROR(__xludf.DUMMYFUNCTION("""COMPUTED_VALUE"""),"Saída")</f>
        <v>Saída</v>
      </c>
      <c r="F337" s="34" t="str">
        <f>IFERROR(__xludf.DUMMYFUNCTION("""COMPUTED_VALUE"""),"Recebimento:truck:")</f>
        <v>Recebimento:truck:</v>
      </c>
      <c r="G337" s="39">
        <f t="array" ref="G337">XLOOKUP(B337,'Página9'!A:A,'Página9'!F:F,"")</f>
        <v>-158</v>
      </c>
      <c r="H337" s="39">
        <f t="array" ref="H337">XLOOKUP(B337,'Página9'!A:A,'Página9'!C:C,"")</f>
        <v>40</v>
      </c>
      <c r="I337" s="35" t="str">
        <f t="array" ref="I337">XLOOKUP(B337,'Página9'!A:A,'Página9'!G:G,"")</f>
        <v>REPOR ESTOQUE</v>
      </c>
      <c r="J337" s="25" t="str">
        <f t="shared" si="1"/>
        <v>RECEBIMENTO</v>
      </c>
      <c r="K337" s="25" t="str">
        <f>IFERROR(__xludf.DUMMYFUNCTION("""COMPUTED_VALUE"""),"Pericles Cavalcante De Lima Maciel")</f>
        <v>Pericles Cavalcante De Lima Maciel</v>
      </c>
    </row>
    <row r="338">
      <c r="A338" s="37">
        <f>IFERROR(__xludf.DUMMYFUNCTION("""COMPUTED_VALUE"""),45953.0)</f>
        <v>45953</v>
      </c>
      <c r="B338" s="42" t="str">
        <f>IFERROR(__xludf.DUMMYFUNCTION("""COMPUTED_VALUE"""),"MCC049UC0288")</f>
        <v>MCC049UC0288</v>
      </c>
      <c r="C338" s="31" t="str">
        <f>IFERROR(__xludf.DUMMYFUNCTION("""COMPUTED_VALUE"""),"FITILHO POLIPROPILENO P/EMBALAGEM")</f>
        <v>FITILHO POLIPROPILENO P/EMBALAGEM</v>
      </c>
      <c r="D338" s="39">
        <f>IFERROR(__xludf.DUMMYFUNCTION("""COMPUTED_VALUE"""),2.0)</f>
        <v>2</v>
      </c>
      <c r="E338" s="34" t="str">
        <f>IFERROR(__xludf.DUMMYFUNCTION("""COMPUTED_VALUE"""),"Saída")</f>
        <v>Saída</v>
      </c>
      <c r="F338" s="34" t="str">
        <f>IFERROR(__xludf.DUMMYFUNCTION("""COMPUTED_VALUE"""),"Expedição:ex-escolas-exponenciais:")</f>
        <v>Expedição:ex-escolas-exponenciais:</v>
      </c>
      <c r="G338" s="39">
        <f t="array" ref="G338">XLOOKUP(B338,'Página9'!A:A,'Página9'!F:F,"")</f>
        <v>-24</v>
      </c>
      <c r="H338" s="39">
        <f t="array" ref="H338">XLOOKUP(B338,'Página9'!A:A,'Página9'!C:C,"")</f>
        <v>2</v>
      </c>
      <c r="I338" s="35" t="str">
        <f t="array" ref="I338">XLOOKUP(B338,'Página9'!A:A,'Página9'!G:G,"")</f>
        <v>REPOR ESTOQUE</v>
      </c>
      <c r="J338" s="25" t="str">
        <f t="shared" si="1"/>
        <v>EXPEDIÇÃO</v>
      </c>
      <c r="K338" s="25" t="str">
        <f>IFERROR(__xludf.DUMMYFUNCTION("""COMPUTED_VALUE"""),"Gabriel De Sousa Freitas")</f>
        <v>Gabriel De Sousa Freitas</v>
      </c>
    </row>
    <row r="339">
      <c r="A339" s="37">
        <f>IFERROR(__xludf.DUMMYFUNCTION("""COMPUTED_VALUE"""),45953.0)</f>
        <v>45953</v>
      </c>
      <c r="B339" s="42" t="str">
        <f>IFERROR(__xludf.DUMMYFUNCTION("""COMPUTED_VALUE"""),"MCC015UC0038")</f>
        <v>MCC015UC0038</v>
      </c>
      <c r="C339" s="31" t="str">
        <f>IFERROR(__xludf.DUMMYFUNCTION("""COMPUTED_VALUE"""),"BOBINA SHRINK 500MM")</f>
        <v>BOBINA SHRINK 500MM</v>
      </c>
      <c r="D339" s="39">
        <f>IFERROR(__xludf.DUMMYFUNCTION("""COMPUTED_VALUE"""),1.0)</f>
        <v>1</v>
      </c>
      <c r="E339" s="34" t="str">
        <f>IFERROR(__xludf.DUMMYFUNCTION("""COMPUTED_VALUE"""),"Saída")</f>
        <v>Saída</v>
      </c>
      <c r="F339" s="34" t="str">
        <f>IFERROR(__xludf.DUMMYFUNCTION("""COMPUTED_VALUE"""),"Expedição:ex-escolas-exponenciais:")</f>
        <v>Expedição:ex-escolas-exponenciais:</v>
      </c>
      <c r="G339" s="39">
        <f t="array" ref="G339">XLOOKUP(B339,'Página9'!A:A,'Página9'!F:F,"")</f>
        <v>13</v>
      </c>
      <c r="H339" s="39">
        <f t="array" ref="H339">XLOOKUP(B339,'Página9'!A:A,'Página9'!C:C,"")</f>
        <v>3</v>
      </c>
      <c r="I339" s="35" t="str">
        <f t="array" ref="I339">XLOOKUP(B339,'Página9'!A:A,'Página9'!G:G,"")</f>
        <v>OK</v>
      </c>
      <c r="J339" s="25" t="str">
        <f t="shared" si="1"/>
        <v>EXPEDIÇÃO</v>
      </c>
      <c r="K339" s="25" t="str">
        <f>IFERROR(__xludf.DUMMYFUNCTION("""COMPUTED_VALUE"""),"Paulo Henrique Chagas De Oliveira")</f>
        <v>Paulo Henrique Chagas De Oliveira</v>
      </c>
    </row>
    <row r="340">
      <c r="A340" s="37">
        <f>IFERROR(__xludf.DUMMYFUNCTION("""COMPUTED_VALUE"""),45953.0)</f>
        <v>45953</v>
      </c>
      <c r="B340" s="42" t="str">
        <f>IFERROR(__xludf.DUMMYFUNCTION("""COMPUTED_VALUE"""),"MCC049UC0603")</f>
        <v>MCC049UC0603</v>
      </c>
      <c r="C340" s="31" t="str">
        <f>IFERROR(__xludf.DUMMYFUNCTION("""COMPUTED_VALUE"""),"PLASTICO PLASTIF. A-4 220/307 C/100 UN PROLAM")</f>
        <v>PLASTICO PLASTIF. A-4 220/307 C/100 UN PROLAM</v>
      </c>
      <c r="D340" s="39">
        <f>IFERROR(__xludf.DUMMYFUNCTION("""COMPUTED_VALUE"""),1.0)</f>
        <v>1</v>
      </c>
      <c r="E340" s="34" t="str">
        <f>IFERROR(__xludf.DUMMYFUNCTION("""COMPUTED_VALUE"""),"Saída")</f>
        <v>Saída</v>
      </c>
      <c r="F340" s="34" t="str">
        <f>IFERROR(__xludf.DUMMYFUNCTION("""COMPUTED_VALUE"""),"Expedição:ex-escolas-exponenciais:")</f>
        <v>Expedição:ex-escolas-exponenciais:</v>
      </c>
      <c r="G340" s="39">
        <f t="array" ref="G340">XLOOKUP(B340,'Página9'!A:A,'Página9'!F:F,"")</f>
        <v>-504</v>
      </c>
      <c r="H340" s="39">
        <f t="array" ref="H340">XLOOKUP(B340,'Página9'!A:A,'Página9'!C:C,"")</f>
        <v>150</v>
      </c>
      <c r="I340" s="35" t="str">
        <f t="array" ref="I340">XLOOKUP(B340,'Página9'!A:A,'Página9'!G:G,"")</f>
        <v>REPOR ESTOQUE</v>
      </c>
      <c r="J340" s="25" t="str">
        <f t="shared" si="1"/>
        <v>EXPEDIÇÃO</v>
      </c>
      <c r="K340" s="25" t="str">
        <f>IFERROR(__xludf.DUMMYFUNCTION("""COMPUTED_VALUE"""),"Paulo Henrique Chagas De Oliveira")</f>
        <v>Paulo Henrique Chagas De Oliveira</v>
      </c>
    </row>
    <row r="341">
      <c r="A341" s="37">
        <f>IFERROR(__xludf.DUMMYFUNCTION("""COMPUTED_VALUE"""),45953.0)</f>
        <v>45953</v>
      </c>
      <c r="B341" s="42" t="str">
        <f>IFERROR(__xludf.DUMMYFUNCTION("""COMPUTED_VALUE"""),"MCC049UC0602")</f>
        <v>MCC049UC0602</v>
      </c>
      <c r="C341" s="31" t="str">
        <f>IFERROR(__xludf.DUMMYFUNCTION("""COMPUTED_VALUE"""),"PLASTICO PLASTIF. A3 C/100 UN PROLAM")</f>
        <v>PLASTICO PLASTIF. A3 C/100 UN PROLAM</v>
      </c>
      <c r="D341" s="39">
        <f>IFERROR(__xludf.DUMMYFUNCTION("""COMPUTED_VALUE"""),1.0)</f>
        <v>1</v>
      </c>
      <c r="E341" s="34" t="str">
        <f>IFERROR(__xludf.DUMMYFUNCTION("""COMPUTED_VALUE"""),"Saída")</f>
        <v>Saída</v>
      </c>
      <c r="F341" s="34" t="str">
        <f>IFERROR(__xludf.DUMMYFUNCTION("""COMPUTED_VALUE"""),"Expedição:ex-escolas-exponenciais:")</f>
        <v>Expedição:ex-escolas-exponenciais:</v>
      </c>
      <c r="G341" s="39">
        <f t="array" ref="G341">XLOOKUP(B341,'Página9'!A:A,'Página9'!F:F,"")</f>
        <v>79</v>
      </c>
      <c r="H341" s="39">
        <f t="array" ref="H341">XLOOKUP(B341,'Página9'!A:A,'Página9'!C:C,"")</f>
        <v>1</v>
      </c>
      <c r="I341" s="35" t="str">
        <f t="array" ref="I341">XLOOKUP(B341,'Página9'!A:A,'Página9'!G:G,"")</f>
        <v>OK</v>
      </c>
      <c r="J341" s="25" t="str">
        <f t="shared" si="1"/>
        <v>EXPEDIÇÃO</v>
      </c>
      <c r="K341" s="25" t="str">
        <f>IFERROR(__xludf.DUMMYFUNCTION("""COMPUTED_VALUE"""),"Paulo Henrique Chagas De Oliveira")</f>
        <v>Paulo Henrique Chagas De Oliveira</v>
      </c>
    </row>
    <row r="342">
      <c r="A342" s="37">
        <f>IFERROR(__xludf.DUMMYFUNCTION("""COMPUTED_VALUE"""),45953.0)</f>
        <v>45953</v>
      </c>
      <c r="B342" s="42" t="str">
        <f>IFERROR(__xludf.DUMMYFUNCTION("""COMPUTED_VALUE"""),"MCC015UC0045")</f>
        <v>MCC015UC0045</v>
      </c>
      <c r="C342" s="31" t="str">
        <f>IFERROR(__xludf.DUMMYFUNCTION("""COMPUTED_VALUE"""),"FITA ADESIVA 69MM X 100M")</f>
        <v>FITA ADESIVA 69MM X 100M</v>
      </c>
      <c r="D342" s="39">
        <f>IFERROR(__xludf.DUMMYFUNCTION("""COMPUTED_VALUE"""),4.0)</f>
        <v>4</v>
      </c>
      <c r="E342" s="34" t="str">
        <f>IFERROR(__xludf.DUMMYFUNCTION("""COMPUTED_VALUE"""),"Saída")</f>
        <v>Saída</v>
      </c>
      <c r="F342" s="34" t="str">
        <f>IFERROR(__xludf.DUMMYFUNCTION("""COMPUTED_VALUE"""),"Expedição:ex-escolas-exponenciais:")</f>
        <v>Expedição:ex-escolas-exponenciais:</v>
      </c>
      <c r="G342" s="39">
        <f t="array" ref="G342">XLOOKUP(B342,'Página9'!A:A,'Página9'!F:F,"")</f>
        <v>287</v>
      </c>
      <c r="H342" s="39">
        <f t="array" ref="H342">XLOOKUP(B342,'Página9'!A:A,'Página9'!C:C,"")</f>
        <v>20</v>
      </c>
      <c r="I342" s="35" t="str">
        <f t="array" ref="I342">XLOOKUP(B342,'Página9'!A:A,'Página9'!G:G,"")</f>
        <v>OK</v>
      </c>
      <c r="J342" s="25" t="str">
        <f t="shared" si="1"/>
        <v>EXPEDIÇÃO</v>
      </c>
      <c r="K342" s="25" t="str">
        <f>IFERROR(__xludf.DUMMYFUNCTION("""COMPUTED_VALUE"""),"Matheus De Almeida Rodrigues")</f>
        <v>Matheus De Almeida Rodrigues</v>
      </c>
    </row>
    <row r="343">
      <c r="A343" s="37">
        <f>IFERROR(__xludf.DUMMYFUNCTION("""COMPUTED_VALUE"""),45959.0)</f>
        <v>45959</v>
      </c>
      <c r="B343" s="42" t="str">
        <f>IFERROR(__xludf.DUMMYFUNCTION("""COMPUTED_VALUE"""),"MCC015UC0008")</f>
        <v>MCC015UC0008</v>
      </c>
      <c r="C343" s="31" t="str">
        <f>IFERROR(__xludf.DUMMYFUNCTION("""COMPUTED_VALUE"""),"FILME STRETCH 500X25")</f>
        <v>FILME STRETCH 500X25</v>
      </c>
      <c r="D343" s="39">
        <f>IFERROR(__xludf.DUMMYFUNCTION("""COMPUTED_VALUE"""),8.0)</f>
        <v>8</v>
      </c>
      <c r="E343" s="34" t="str">
        <f>IFERROR(__xludf.DUMMYFUNCTION("""COMPUTED_VALUE"""),"Saída")</f>
        <v>Saída</v>
      </c>
      <c r="F343" s="34" t="str">
        <f>IFERROR(__xludf.DUMMYFUNCTION("""COMPUTED_VALUE"""),"PMM:livro-voador:")</f>
        <v>PMM:livro-voador:</v>
      </c>
      <c r="G343" s="39">
        <f t="array" ref="G343">XLOOKUP(B343,'Página9'!A:A,'Página9'!F:F,"")</f>
        <v>-158</v>
      </c>
      <c r="H343" s="39">
        <f t="array" ref="H343">XLOOKUP(B343,'Página9'!A:A,'Página9'!C:C,"")</f>
        <v>40</v>
      </c>
      <c r="I343" s="35" t="str">
        <f t="array" ref="I343">XLOOKUP(B343,'Página9'!A:A,'Página9'!G:G,"")</f>
        <v>REPOR ESTOQUE</v>
      </c>
      <c r="J343" s="25" t="str">
        <f t="shared" si="1"/>
        <v>PMM</v>
      </c>
      <c r="K343" s="25" t="str">
        <f>IFERROR(__xludf.DUMMYFUNCTION("""COMPUTED_VALUE"""),"Yago Rocha Fernandes")</f>
        <v>Yago Rocha Fernandes</v>
      </c>
    </row>
    <row r="344">
      <c r="A344" s="37">
        <f>IFERROR(__xludf.DUMMYFUNCTION("""COMPUTED_VALUE"""),45959.0)</f>
        <v>45959</v>
      </c>
      <c r="B344" s="42" t="str">
        <f>IFERROR(__xludf.DUMMYFUNCTION("""COMPUTED_VALUE"""),"MCC015UC0045")</f>
        <v>MCC015UC0045</v>
      </c>
      <c r="C344" s="31" t="str">
        <f>IFERROR(__xludf.DUMMYFUNCTION("""COMPUTED_VALUE"""),"FITA ADESIVA 69MM X 100M")</f>
        <v>FITA ADESIVA 69MM X 100M</v>
      </c>
      <c r="D344" s="39">
        <f>IFERROR(__xludf.DUMMYFUNCTION("""COMPUTED_VALUE"""),8.0)</f>
        <v>8</v>
      </c>
      <c r="E344" s="34" t="str">
        <f>IFERROR(__xludf.DUMMYFUNCTION("""COMPUTED_VALUE"""),"Saída")</f>
        <v>Saída</v>
      </c>
      <c r="F344" s="34" t="str">
        <f>IFERROR(__xludf.DUMMYFUNCTION("""COMPUTED_VALUE"""),"Expedição:ex-escolas-exponenciais:")</f>
        <v>Expedição:ex-escolas-exponenciais:</v>
      </c>
      <c r="G344" s="39">
        <f t="array" ref="G344">XLOOKUP(B344,'Página9'!A:A,'Página9'!F:F,"")</f>
        <v>287</v>
      </c>
      <c r="H344" s="39">
        <f t="array" ref="H344">XLOOKUP(B344,'Página9'!A:A,'Página9'!C:C,"")</f>
        <v>20</v>
      </c>
      <c r="I344" s="35" t="str">
        <f t="array" ref="I344">XLOOKUP(B344,'Página9'!A:A,'Página9'!G:G,"")</f>
        <v>OK</v>
      </c>
      <c r="J344" s="25" t="str">
        <f t="shared" si="1"/>
        <v>EXPEDIÇÃO</v>
      </c>
      <c r="K344" s="25" t="str">
        <f>IFERROR(__xludf.DUMMYFUNCTION("""COMPUTED_VALUE"""),"Yago Rocha Fernandes")</f>
        <v>Yago Rocha Fernandes</v>
      </c>
    </row>
    <row r="345">
      <c r="A345" s="37">
        <f>IFERROR(__xludf.DUMMYFUNCTION("""COMPUTED_VALUE"""),45959.0)</f>
        <v>45959</v>
      </c>
      <c r="B345" s="42" t="str">
        <f>IFERROR(__xludf.DUMMYFUNCTION("""COMPUTED_VALUE"""),"MCC049UC0288")</f>
        <v>MCC049UC0288</v>
      </c>
      <c r="C345" s="31" t="str">
        <f>IFERROR(__xludf.DUMMYFUNCTION("""COMPUTED_VALUE"""),"FITILHO POLIPROPILENO P/EMBALAGEM")</f>
        <v>FITILHO POLIPROPILENO P/EMBALAGEM</v>
      </c>
      <c r="D345" s="39">
        <f>IFERROR(__xludf.DUMMYFUNCTION("""COMPUTED_VALUE"""),1.0)</f>
        <v>1</v>
      </c>
      <c r="E345" s="34" t="str">
        <f>IFERROR(__xludf.DUMMYFUNCTION("""COMPUTED_VALUE"""),"Saída")</f>
        <v>Saída</v>
      </c>
      <c r="F345" s="34" t="str">
        <f>IFERROR(__xludf.DUMMYFUNCTION("""COMPUTED_VALUE"""),"PMM:livro-voador:")</f>
        <v>PMM:livro-voador:</v>
      </c>
      <c r="G345" s="39">
        <f t="array" ref="G345">XLOOKUP(B345,'Página9'!A:A,'Página9'!F:F,"")</f>
        <v>-24</v>
      </c>
      <c r="H345" s="39">
        <f t="array" ref="H345">XLOOKUP(B345,'Página9'!A:A,'Página9'!C:C,"")</f>
        <v>2</v>
      </c>
      <c r="I345" s="35" t="str">
        <f t="array" ref="I345">XLOOKUP(B345,'Página9'!A:A,'Página9'!G:G,"")</f>
        <v>REPOR ESTOQUE</v>
      </c>
      <c r="J345" s="25" t="str">
        <f t="shared" si="1"/>
        <v>PMM</v>
      </c>
      <c r="K345" s="25" t="str">
        <f>IFERROR(__xludf.DUMMYFUNCTION("""COMPUTED_VALUE"""),"Silvana Da Silva Pereira")</f>
        <v>Silvana Da Silva Pereira</v>
      </c>
    </row>
    <row r="346">
      <c r="A346" s="37">
        <f>IFERROR(__xludf.DUMMYFUNCTION("""COMPUTED_VALUE"""),45959.0)</f>
        <v>45959</v>
      </c>
      <c r="B346" s="42" t="str">
        <f>IFERROR(__xludf.DUMMYFUNCTION("""COMPUTED_VALUE"""),"MCC015UC0045")</f>
        <v>MCC015UC0045</v>
      </c>
      <c r="C346" s="31" t="str">
        <f>IFERROR(__xludf.DUMMYFUNCTION("""COMPUTED_VALUE"""),"FITA ADESIVA 69MM X 100M")</f>
        <v>FITA ADESIVA 69MM X 100M</v>
      </c>
      <c r="D346" s="39">
        <f>IFERROR(__xludf.DUMMYFUNCTION("""COMPUTED_VALUE"""),4.0)</f>
        <v>4</v>
      </c>
      <c r="E346" s="34" t="str">
        <f>IFERROR(__xludf.DUMMYFUNCTION("""COMPUTED_VALUE"""),"Saída")</f>
        <v>Saída</v>
      </c>
      <c r="F346" s="34" t="str">
        <f>IFERROR(__xludf.DUMMYFUNCTION("""COMPUTED_VALUE"""),"Expedição:ex-escolas-exponenciais:")</f>
        <v>Expedição:ex-escolas-exponenciais:</v>
      </c>
      <c r="G346" s="39">
        <f t="array" ref="G346">XLOOKUP(B346,'Página9'!A:A,'Página9'!F:F,"")</f>
        <v>287</v>
      </c>
      <c r="H346" s="39">
        <f t="array" ref="H346">XLOOKUP(B346,'Página9'!A:A,'Página9'!C:C,"")</f>
        <v>20</v>
      </c>
      <c r="I346" s="35" t="str">
        <f t="array" ref="I346">XLOOKUP(B346,'Página9'!A:A,'Página9'!G:G,"")</f>
        <v>OK</v>
      </c>
      <c r="J346" s="25" t="str">
        <f t="shared" si="1"/>
        <v>EXPEDIÇÃO</v>
      </c>
      <c r="K346" s="25" t="str">
        <f>IFERROR(__xludf.DUMMYFUNCTION("""COMPUTED_VALUE"""),"Pericles Cavalcante De Lima Maciel")</f>
        <v>Pericles Cavalcante De Lima Maciel</v>
      </c>
    </row>
    <row r="347">
      <c r="A347" s="37">
        <f>IFERROR(__xludf.DUMMYFUNCTION("""COMPUTED_VALUE"""),45959.0)</f>
        <v>45959</v>
      </c>
      <c r="B347" s="42" t="str">
        <f>IFERROR(__xludf.DUMMYFUNCTION("""COMPUTED_VALUE"""),"MCC015UC0008")</f>
        <v>MCC015UC0008</v>
      </c>
      <c r="C347" s="31" t="str">
        <f>IFERROR(__xludf.DUMMYFUNCTION("""COMPUTED_VALUE"""),"FILME STRETCH 500X25")</f>
        <v>FILME STRETCH 500X25</v>
      </c>
      <c r="D347" s="39">
        <f>IFERROR(__xludf.DUMMYFUNCTION("""COMPUTED_VALUE"""),20.0)</f>
        <v>20</v>
      </c>
      <c r="E347" s="34" t="str">
        <f>IFERROR(__xludf.DUMMYFUNCTION("""COMPUTED_VALUE"""),"Saída")</f>
        <v>Saída</v>
      </c>
      <c r="F347" s="34" t="str">
        <f>IFERROR(__xludf.DUMMYFUNCTION("""COMPUTED_VALUE"""),"Expedição:ex-escolas-exponenciais:")</f>
        <v>Expedição:ex-escolas-exponenciais:</v>
      </c>
      <c r="G347" s="39">
        <f t="array" ref="G347">XLOOKUP(B347,'Página9'!A:A,'Página9'!F:F,"")</f>
        <v>-158</v>
      </c>
      <c r="H347" s="39">
        <f t="array" ref="H347">XLOOKUP(B347,'Página9'!A:A,'Página9'!C:C,"")</f>
        <v>40</v>
      </c>
      <c r="I347" s="35" t="str">
        <f t="array" ref="I347">XLOOKUP(B347,'Página9'!A:A,'Página9'!G:G,"")</f>
        <v>REPOR ESTOQUE</v>
      </c>
      <c r="J347" s="25" t="str">
        <f t="shared" si="1"/>
        <v>EXPEDIÇÃO</v>
      </c>
      <c r="K347" s="25" t="str">
        <f>IFERROR(__xludf.DUMMYFUNCTION("""COMPUTED_VALUE"""),"Allison Breno Da Costa Borges Soares")</f>
        <v>Allison Breno Da Costa Borges Soares</v>
      </c>
    </row>
    <row r="348">
      <c r="A348" s="37">
        <f>IFERROR(__xludf.DUMMYFUNCTION("""COMPUTED_VALUE"""),45959.0)</f>
        <v>45959</v>
      </c>
      <c r="B348" s="42" t="str">
        <f>IFERROR(__xludf.DUMMYFUNCTION("""COMPUTED_VALUE"""),"MCC015UC0045")</f>
        <v>MCC015UC0045</v>
      </c>
      <c r="C348" s="31" t="str">
        <f>IFERROR(__xludf.DUMMYFUNCTION("""COMPUTED_VALUE"""),"FITA ADESIVA 69MM X 100M")</f>
        <v>FITA ADESIVA 69MM X 100M</v>
      </c>
      <c r="D348" s="39">
        <f>IFERROR(__xludf.DUMMYFUNCTION("""COMPUTED_VALUE"""),10.0)</f>
        <v>10</v>
      </c>
      <c r="E348" s="34" t="str">
        <f>IFERROR(__xludf.DUMMYFUNCTION("""COMPUTED_VALUE"""),"Saída")</f>
        <v>Saída</v>
      </c>
      <c r="F348" s="34" t="str">
        <f>IFERROR(__xludf.DUMMYFUNCTION("""COMPUTED_VALUE"""),"Expedição:ex-escolas-exponenciais:")</f>
        <v>Expedição:ex-escolas-exponenciais:</v>
      </c>
      <c r="G348" s="39">
        <f t="array" ref="G348">XLOOKUP(B348,'Página9'!A:A,'Página9'!F:F,"")</f>
        <v>287</v>
      </c>
      <c r="H348" s="39">
        <f t="array" ref="H348">XLOOKUP(B348,'Página9'!A:A,'Página9'!C:C,"")</f>
        <v>20</v>
      </c>
      <c r="I348" s="35" t="str">
        <f t="array" ref="I348">XLOOKUP(B348,'Página9'!A:A,'Página9'!G:G,"")</f>
        <v>OK</v>
      </c>
      <c r="J348" s="25" t="str">
        <f t="shared" si="1"/>
        <v>EXPEDIÇÃO</v>
      </c>
      <c r="K348" s="25" t="str">
        <f>IFERROR(__xludf.DUMMYFUNCTION("""COMPUTED_VALUE"""),"Jose Antoniel Silva Mesquita")</f>
        <v>Jose Antoniel Silva Mesquita</v>
      </c>
    </row>
    <row r="349">
      <c r="A349" s="37">
        <f>IFERROR(__xludf.DUMMYFUNCTION("""COMPUTED_VALUE"""),45959.0)</f>
        <v>45959</v>
      </c>
      <c r="B349" s="42" t="str">
        <f>IFERROR(__xludf.DUMMYFUNCTION("""COMPUTED_VALUE"""),"MCC046UC0587")</f>
        <v>MCC046UC0587</v>
      </c>
      <c r="C349" s="31" t="str">
        <f>IFERROR(__xludf.DUMMYFUNCTION("""COMPUTED_VALUE"""),"TESOURA USO GERAL 21CM MUNDIAL 160-8N")</f>
        <v>TESOURA USO GERAL 21CM MUNDIAL 160-8N</v>
      </c>
      <c r="D349" s="39">
        <f>IFERROR(__xludf.DUMMYFUNCTION("""COMPUTED_VALUE"""),1.0)</f>
        <v>1</v>
      </c>
      <c r="E349" s="34" t="str">
        <f>IFERROR(__xludf.DUMMYFUNCTION("""COMPUTED_VALUE"""),"Saída")</f>
        <v>Saída</v>
      </c>
      <c r="F349" s="34" t="str">
        <f>IFERROR(__xludf.DUMMYFUNCTION("""COMPUTED_VALUE"""),"Expedição:ex-escolas-exponenciais:")</f>
        <v>Expedição:ex-escolas-exponenciais:</v>
      </c>
      <c r="G349" s="39">
        <f t="array" ref="G349">XLOOKUP(B349,'Página9'!A:A,'Página9'!F:F,"")</f>
        <v>-1</v>
      </c>
      <c r="H349" s="39">
        <f t="array" ref="H349">XLOOKUP(B349,'Página9'!A:A,'Página9'!C:C,"")</f>
        <v>2</v>
      </c>
      <c r="I349" s="35" t="str">
        <f t="array" ref="I349">XLOOKUP(B349,'Página9'!A:A,'Página9'!G:G,"")</f>
        <v>REPOR ESTOQUE</v>
      </c>
      <c r="J349" s="25" t="str">
        <f t="shared" si="1"/>
        <v>EXPEDIÇÃO</v>
      </c>
      <c r="K349" s="25" t="str">
        <f>IFERROR(__xludf.DUMMYFUNCTION("""COMPUTED_VALUE"""),"Jose Antoniel Silva Mesquita")</f>
        <v>Jose Antoniel Silva Mesquita</v>
      </c>
    </row>
    <row r="350">
      <c r="A350" s="37">
        <f>IFERROR(__xludf.DUMMYFUNCTION("""COMPUTED_VALUE"""),45959.0)</f>
        <v>45959</v>
      </c>
      <c r="B350" s="42" t="str">
        <f>IFERROR(__xludf.DUMMYFUNCTION("""COMPUTED_VALUE"""),"MCC015UC0008")</f>
        <v>MCC015UC0008</v>
      </c>
      <c r="C350" s="31" t="str">
        <f>IFERROR(__xludf.DUMMYFUNCTION("""COMPUTED_VALUE"""),"FILME STRETCH 500X25")</f>
        <v>FILME STRETCH 500X25</v>
      </c>
      <c r="D350" s="39">
        <f>IFERROR(__xludf.DUMMYFUNCTION("""COMPUTED_VALUE"""),30.0)</f>
        <v>30</v>
      </c>
      <c r="E350" s="34" t="str">
        <f>IFERROR(__xludf.DUMMYFUNCTION("""COMPUTED_VALUE"""),"Saída")</f>
        <v>Saída</v>
      </c>
      <c r="F350" s="34" t="str">
        <f>IFERROR(__xludf.DUMMYFUNCTION("""COMPUTED_VALUE"""),"Expedição:ex-escolas-exponenciais:")</f>
        <v>Expedição:ex-escolas-exponenciais:</v>
      </c>
      <c r="G350" s="39">
        <f t="array" ref="G350">XLOOKUP(B350,'Página9'!A:A,'Página9'!F:F,"")</f>
        <v>-158</v>
      </c>
      <c r="H350" s="39">
        <f t="array" ref="H350">XLOOKUP(B350,'Página9'!A:A,'Página9'!C:C,"")</f>
        <v>40</v>
      </c>
      <c r="I350" s="35" t="str">
        <f t="array" ref="I350">XLOOKUP(B350,'Página9'!A:A,'Página9'!G:G,"")</f>
        <v>REPOR ESTOQUE</v>
      </c>
      <c r="J350" s="25" t="str">
        <f t="shared" si="1"/>
        <v>EXPEDIÇÃO</v>
      </c>
      <c r="K350" s="25" t="str">
        <f>IFERROR(__xludf.DUMMYFUNCTION("""COMPUTED_VALUE"""),"Allison Breno Da Costa Borges Soares")</f>
        <v>Allison Breno Da Costa Borges Soares</v>
      </c>
    </row>
    <row r="351">
      <c r="A351" s="37">
        <f>IFERROR(__xludf.DUMMYFUNCTION("""COMPUTED_VALUE"""),45959.0)</f>
        <v>45959</v>
      </c>
      <c r="B351" s="42" t="str">
        <f>IFERROR(__xludf.DUMMYFUNCTION("""COMPUTED_VALUE"""),"MCC015UC0008")</f>
        <v>MCC015UC0008</v>
      </c>
      <c r="C351" s="31" t="str">
        <f>IFERROR(__xludf.DUMMYFUNCTION("""COMPUTED_VALUE"""),"FILME STRETCH 500X25")</f>
        <v>FILME STRETCH 500X25</v>
      </c>
      <c r="D351" s="39">
        <f>IFERROR(__xludf.DUMMYFUNCTION("""COMPUTED_VALUE"""),10.0)</f>
        <v>10</v>
      </c>
      <c r="E351" s="34" t="str">
        <f>IFERROR(__xludf.DUMMYFUNCTION("""COMPUTED_VALUE"""),"Saída")</f>
        <v>Saída</v>
      </c>
      <c r="F351" s="34" t="str">
        <f>IFERROR(__xludf.DUMMYFUNCTION("""COMPUTED_VALUE"""),"Expedição:ex-escolas-exponenciais:")</f>
        <v>Expedição:ex-escolas-exponenciais:</v>
      </c>
      <c r="G351" s="39">
        <f t="array" ref="G351">XLOOKUP(B351,'Página9'!A:A,'Página9'!F:F,"")</f>
        <v>-158</v>
      </c>
      <c r="H351" s="39">
        <f t="array" ref="H351">XLOOKUP(B351,'Página9'!A:A,'Página9'!C:C,"")</f>
        <v>40</v>
      </c>
      <c r="I351" s="35" t="str">
        <f t="array" ref="I351">XLOOKUP(B351,'Página9'!A:A,'Página9'!G:G,"")</f>
        <v>REPOR ESTOQUE</v>
      </c>
      <c r="J351" s="25" t="str">
        <f t="shared" si="1"/>
        <v>EXPEDIÇÃO</v>
      </c>
      <c r="K351" s="25" t="str">
        <f>IFERROR(__xludf.DUMMYFUNCTION("""COMPUTED_VALUE"""),"Rodrigo Aragao Goncalves")</f>
        <v>Rodrigo Aragao Goncalves</v>
      </c>
    </row>
    <row r="352">
      <c r="A352" s="37">
        <f>IFERROR(__xludf.DUMMYFUNCTION("""COMPUTED_VALUE"""),45959.0)</f>
        <v>45959</v>
      </c>
      <c r="B352" s="42" t="str">
        <f>IFERROR(__xludf.DUMMYFUNCTION("""COMPUTED_VALUE"""),"MCC046UC0639")</f>
        <v>MCC046UC0639</v>
      </c>
      <c r="C352" s="31" t="str">
        <f>IFERROR(__xludf.DUMMYFUNCTION("""COMPUTED_VALUE"""),"PILHA ALCALINA ELGIN PEQ.AA")</f>
        <v>PILHA ALCALINA ELGIN PEQ.AA</v>
      </c>
      <c r="D352" s="39">
        <f>IFERROR(__xludf.DUMMYFUNCTION("""COMPUTED_VALUE"""),1.0)</f>
        <v>1</v>
      </c>
      <c r="E352" s="34" t="str">
        <f>IFERROR(__xludf.DUMMYFUNCTION("""COMPUTED_VALUE"""),"Saída")</f>
        <v>Saída</v>
      </c>
      <c r="F352" s="34" t="str">
        <f>IFERROR(__xludf.DUMMYFUNCTION("""COMPUTED_VALUE"""),"Expedição:ex-escolas-exponenciais:")</f>
        <v>Expedição:ex-escolas-exponenciais:</v>
      </c>
      <c r="G352" s="39">
        <f t="array" ref="G352">XLOOKUP(B352,'Página9'!A:A,'Página9'!F:F,"")</f>
        <v>-5</v>
      </c>
      <c r="H352" s="39">
        <f t="array" ref="H352">XLOOKUP(B352,'Página9'!A:A,'Página9'!C:C,"")</f>
        <v>4</v>
      </c>
      <c r="I352" s="35" t="str">
        <f t="array" ref="I352">XLOOKUP(B352,'Página9'!A:A,'Página9'!G:G,"")</f>
        <v>REPOR ESTOQUE</v>
      </c>
      <c r="J352" s="25" t="str">
        <f t="shared" si="1"/>
        <v>EXPEDIÇÃO</v>
      </c>
      <c r="K352" s="25" t="str">
        <f>IFERROR(__xludf.DUMMYFUNCTION("""COMPUTED_VALUE"""),"Carlos Henrique Gomes De Lima")</f>
        <v>Carlos Henrique Gomes De Lima</v>
      </c>
    </row>
    <row r="353">
      <c r="A353" s="37">
        <f>IFERROR(__xludf.DUMMYFUNCTION("""COMPUTED_VALUE"""),45959.0)</f>
        <v>45959</v>
      </c>
      <c r="B353" s="42" t="str">
        <f>IFERROR(__xludf.DUMMYFUNCTION("""COMPUTED_VALUE"""),"MCC015UC0045")</f>
        <v>MCC015UC0045</v>
      </c>
      <c r="C353" s="31" t="str">
        <f>IFERROR(__xludf.DUMMYFUNCTION("""COMPUTED_VALUE"""),"FITA ADESIVA 69MM X 100M")</f>
        <v>FITA ADESIVA 69MM X 100M</v>
      </c>
      <c r="D353" s="39">
        <f>IFERROR(__xludf.DUMMYFUNCTION("""COMPUTED_VALUE"""),10.0)</f>
        <v>10</v>
      </c>
      <c r="E353" s="34" t="str">
        <f>IFERROR(__xludf.DUMMYFUNCTION("""COMPUTED_VALUE"""),"Saída")</f>
        <v>Saída</v>
      </c>
      <c r="F353" s="34" t="str">
        <f>IFERROR(__xludf.DUMMYFUNCTION("""COMPUTED_VALUE"""),"Expedição:ex-escolas-exponenciais:")</f>
        <v>Expedição:ex-escolas-exponenciais:</v>
      </c>
      <c r="G353" s="39">
        <f t="array" ref="G353">XLOOKUP(B353,'Página9'!A:A,'Página9'!F:F,"")</f>
        <v>287</v>
      </c>
      <c r="H353" s="39">
        <f t="array" ref="H353">XLOOKUP(B353,'Página9'!A:A,'Página9'!C:C,"")</f>
        <v>20</v>
      </c>
      <c r="I353" s="35" t="str">
        <f t="array" ref="I353">XLOOKUP(B353,'Página9'!A:A,'Página9'!G:G,"")</f>
        <v>OK</v>
      </c>
      <c r="J353" s="25" t="str">
        <f t="shared" si="1"/>
        <v>EXPEDIÇÃO</v>
      </c>
      <c r="K353" s="25" t="str">
        <f>IFERROR(__xludf.DUMMYFUNCTION("""COMPUTED_VALUE"""),"Allison Breno Da Costa Borges Soares")</f>
        <v>Allison Breno Da Costa Borges Soares</v>
      </c>
    </row>
    <row r="354">
      <c r="A354" s="37">
        <f>IFERROR(__xludf.DUMMYFUNCTION("""COMPUTED_VALUE"""),45959.0)</f>
        <v>45959</v>
      </c>
      <c r="B354" s="42" t="str">
        <f>IFERROR(__xludf.DUMMYFUNCTION("""COMPUTED_VALUE"""),"MCC046UC0082")</f>
        <v>MCC046UC0082</v>
      </c>
      <c r="C354" s="31" t="str">
        <f>IFERROR(__xludf.DUMMYFUNCTION("""COMPUTED_VALUE"""),"PAPEL SULFITE A4 75G 500 FOLHAS")</f>
        <v>PAPEL SULFITE A4 75G 500 FOLHAS</v>
      </c>
      <c r="D354" s="39">
        <f>IFERROR(__xludf.DUMMYFUNCTION("""COMPUTED_VALUE"""),2.0)</f>
        <v>2</v>
      </c>
      <c r="E354" s="34" t="str">
        <f>IFERROR(__xludf.DUMMYFUNCTION("""COMPUTED_VALUE"""),"Saída")</f>
        <v>Saída</v>
      </c>
      <c r="F354" s="34" t="str">
        <f>IFERROR(__xludf.DUMMYFUNCTION("""COMPUTED_VALUE"""),"Expedição:ex-escolas-exponenciais:")</f>
        <v>Expedição:ex-escolas-exponenciais:</v>
      </c>
      <c r="G354" s="39">
        <f t="array" ref="G354">XLOOKUP(B354,'Página9'!A:A,'Página9'!F:F,"")</f>
        <v>163</v>
      </c>
      <c r="H354" s="39">
        <f t="array" ref="H354">XLOOKUP(B354,'Página9'!A:A,'Página9'!C:C,"")</f>
        <v>10</v>
      </c>
      <c r="I354" s="35" t="str">
        <f t="array" ref="I354">XLOOKUP(B354,'Página9'!A:A,'Página9'!G:G,"")</f>
        <v>OK</v>
      </c>
      <c r="J354" s="25" t="str">
        <f t="shared" si="1"/>
        <v>EXPEDIÇÃO</v>
      </c>
      <c r="K354" s="25" t="str">
        <f>IFERROR(__xludf.DUMMYFUNCTION("""COMPUTED_VALUE"""),"Pedro Lucas Matias Do Nascimento")</f>
        <v>Pedro Lucas Matias Do Nascimento</v>
      </c>
    </row>
    <row r="355">
      <c r="A355" s="37">
        <f>IFERROR(__xludf.DUMMYFUNCTION("""COMPUTED_VALUE"""),45959.0)</f>
        <v>45959</v>
      </c>
      <c r="B355" s="42" t="str">
        <f>IFERROR(__xludf.DUMMYFUNCTION("""COMPUTED_VALUE"""),"MCC046UC0082")</f>
        <v>MCC046UC0082</v>
      </c>
      <c r="C355" s="31" t="str">
        <f>IFERROR(__xludf.DUMMYFUNCTION("""COMPUTED_VALUE"""),"PAPEL SULFITE A4 75G 500 FOLHAS")</f>
        <v>PAPEL SULFITE A4 75G 500 FOLHAS</v>
      </c>
      <c r="D355" s="39">
        <f>IFERROR(__xludf.DUMMYFUNCTION("""COMPUTED_VALUE"""),2.0)</f>
        <v>2</v>
      </c>
      <c r="E355" s="34" t="str">
        <f>IFERROR(__xludf.DUMMYFUNCTION("""COMPUTED_VALUE"""),"Saída")</f>
        <v>Saída</v>
      </c>
      <c r="F355" s="34" t="str">
        <f>IFERROR(__xludf.DUMMYFUNCTION("""COMPUTED_VALUE"""),"Recebimento:truck:")</f>
        <v>Recebimento:truck:</v>
      </c>
      <c r="G355" s="39">
        <f t="array" ref="G355">XLOOKUP(B355,'Página9'!A:A,'Página9'!F:F,"")</f>
        <v>163</v>
      </c>
      <c r="H355" s="39">
        <f t="array" ref="H355">XLOOKUP(B355,'Página9'!A:A,'Página9'!C:C,"")</f>
        <v>10</v>
      </c>
      <c r="I355" s="35" t="str">
        <f t="array" ref="I355">XLOOKUP(B355,'Página9'!A:A,'Página9'!G:G,"")</f>
        <v>OK</v>
      </c>
      <c r="J355" s="25" t="str">
        <f t="shared" si="1"/>
        <v>RECEBIMENTO</v>
      </c>
      <c r="K355" s="25" t="str">
        <f>IFERROR(__xludf.DUMMYFUNCTION("""COMPUTED_VALUE"""),"Allison Breno Da Costa Borges Soares")</f>
        <v>Allison Breno Da Costa Borges Soares</v>
      </c>
    </row>
    <row r="356">
      <c r="A356" s="37">
        <f>IFERROR(__xludf.DUMMYFUNCTION("""COMPUTED_VALUE"""),45959.0)</f>
        <v>45959</v>
      </c>
      <c r="B356" s="42" t="str">
        <f>IFERROR(__xludf.DUMMYFUNCTION("""COMPUTED_VALUE"""),"MCC046UC0215")</f>
        <v>MCC046UC0215</v>
      </c>
      <c r="C356" s="31" t="str">
        <f>IFERROR(__xludf.DUMMYFUNCTION("""COMPUTED_VALUE"""),"CANETA ESFEROGRAFICA ECONOMIC AZUL BIC")</f>
        <v>CANETA ESFEROGRAFICA ECONOMIC AZUL BIC</v>
      </c>
      <c r="D356" s="39">
        <f>IFERROR(__xludf.DUMMYFUNCTION("""COMPUTED_VALUE"""),1.0)</f>
        <v>1</v>
      </c>
      <c r="E356" s="34" t="str">
        <f>IFERROR(__xludf.DUMMYFUNCTION("""COMPUTED_VALUE"""),"Saída")</f>
        <v>Saída</v>
      </c>
      <c r="F356" s="34" t="str">
        <f>IFERROR(__xludf.DUMMYFUNCTION("""COMPUTED_VALUE"""),"Recebimento:truck:")</f>
        <v>Recebimento:truck:</v>
      </c>
      <c r="G356" s="39">
        <f t="array" ref="G356">XLOOKUP(B356,'Página9'!A:A,'Página9'!F:F,"")</f>
        <v>-20</v>
      </c>
      <c r="H356" s="39">
        <f t="array" ref="H356">XLOOKUP(B356,'Página9'!A:A,'Página9'!C:C,"")</f>
        <v>15</v>
      </c>
      <c r="I356" s="35" t="str">
        <f t="array" ref="I356">XLOOKUP(B356,'Página9'!A:A,'Página9'!G:G,"")</f>
        <v>REPOR ESTOQUE</v>
      </c>
      <c r="J356" s="25" t="str">
        <f t="shared" si="1"/>
        <v>RECEBIMENTO</v>
      </c>
      <c r="K356" s="25" t="str">
        <f>IFERROR(__xludf.DUMMYFUNCTION("""COMPUTED_VALUE"""),"Pericles Cavalcante De Lima Maciel")</f>
        <v>Pericles Cavalcante De Lima Maciel</v>
      </c>
    </row>
    <row r="357">
      <c r="A357" s="37">
        <f>IFERROR(__xludf.DUMMYFUNCTION("""COMPUTED_VALUE"""),45959.0)</f>
        <v>45959</v>
      </c>
      <c r="B357" s="42" t="str">
        <f>IFERROR(__xludf.DUMMYFUNCTION("""COMPUTED_VALUE"""),"MCC046UC0216")</f>
        <v>MCC046UC0216</v>
      </c>
      <c r="C357" s="31" t="str">
        <f>IFERROR(__xludf.DUMMYFUNCTION("""COMPUTED_VALUE"""),"CANETA ESFEROGRAFICA ECONOMIC PRETA BIC")</f>
        <v>CANETA ESFEROGRAFICA ECONOMIC PRETA BIC</v>
      </c>
      <c r="D357" s="39">
        <f>IFERROR(__xludf.DUMMYFUNCTION("""COMPUTED_VALUE"""),1.0)</f>
        <v>1</v>
      </c>
      <c r="E357" s="34" t="str">
        <f>IFERROR(__xludf.DUMMYFUNCTION("""COMPUTED_VALUE"""),"Saída")</f>
        <v>Saída</v>
      </c>
      <c r="F357" s="34" t="str">
        <f>IFERROR(__xludf.DUMMYFUNCTION("""COMPUTED_VALUE"""),"Recebimento:truck:")</f>
        <v>Recebimento:truck:</v>
      </c>
      <c r="G357" s="39">
        <f t="array" ref="G357">XLOOKUP(B357,'Página9'!A:A,'Página9'!F:F,"")</f>
        <v>89</v>
      </c>
      <c r="H357" s="39">
        <f t="array" ref="H357">XLOOKUP(B357,'Página9'!A:A,'Página9'!C:C,"")</f>
        <v>15</v>
      </c>
      <c r="I357" s="35" t="str">
        <f t="array" ref="I357">XLOOKUP(B357,'Página9'!A:A,'Página9'!G:G,"")</f>
        <v>OK</v>
      </c>
      <c r="J357" s="25" t="str">
        <f t="shared" si="1"/>
        <v>RECEBIMENTO</v>
      </c>
      <c r="K357" s="25" t="str">
        <f>IFERROR(__xludf.DUMMYFUNCTION("""COMPUTED_VALUE"""),"Pericles Cavalcante De Lima Maciel")</f>
        <v>Pericles Cavalcante De Lima Maciel</v>
      </c>
    </row>
    <row r="358">
      <c r="A358" s="37">
        <f>IFERROR(__xludf.DUMMYFUNCTION("""COMPUTED_VALUE"""),45959.0)</f>
        <v>45959</v>
      </c>
      <c r="B358" s="42" t="str">
        <f>IFERROR(__xludf.DUMMYFUNCTION("""COMPUTED_VALUE"""),"MCC049UC0610")</f>
        <v>MCC049UC0610</v>
      </c>
      <c r="C358" s="31" t="str">
        <f>IFERROR(__xludf.DUMMYFUNCTION("""COMPUTED_VALUE"""),"GRAMPO PISTOLA ROCAMA 106/8 CX 5.000 UN")</f>
        <v>GRAMPO PISTOLA ROCAMA 106/8 CX 5.000 UN</v>
      </c>
      <c r="D358" s="39">
        <f>IFERROR(__xludf.DUMMYFUNCTION("""COMPUTED_VALUE"""),1.0)</f>
        <v>1</v>
      </c>
      <c r="E358" s="34" t="str">
        <f>IFERROR(__xludf.DUMMYFUNCTION("""COMPUTED_VALUE"""),"Saída")</f>
        <v>Saída</v>
      </c>
      <c r="F358" s="34" t="str">
        <f>IFERROR(__xludf.DUMMYFUNCTION("""COMPUTED_VALUE"""),"Expedição:ex-escolas-exponenciais:")</f>
        <v>Expedição:ex-escolas-exponenciais:</v>
      </c>
      <c r="G358" s="39">
        <f t="array" ref="G358">XLOOKUP(B358,'Página9'!A:A,'Página9'!F:F,"")</f>
        <v>-14</v>
      </c>
      <c r="H358" s="39">
        <f t="array" ref="H358">XLOOKUP(B358,'Página9'!A:A,'Página9'!C:C,"")</f>
        <v>1</v>
      </c>
      <c r="I358" s="35" t="str">
        <f t="array" ref="I358">XLOOKUP(B358,'Página9'!A:A,'Página9'!G:G,"")</f>
        <v>REPOR ESTOQUE</v>
      </c>
      <c r="J358" s="25" t="str">
        <f t="shared" si="1"/>
        <v>EXPEDIÇÃO</v>
      </c>
      <c r="K358" s="25" t="str">
        <f>IFERROR(__xludf.DUMMYFUNCTION("""COMPUTED_VALUE"""),"Pericles Cavalcante De Lima Maciel")</f>
        <v>Pericles Cavalcante De Lima Maciel</v>
      </c>
    </row>
    <row r="359">
      <c r="A359" s="37">
        <f>IFERROR(__xludf.DUMMYFUNCTION("""COMPUTED_VALUE"""),45959.0)</f>
        <v>45959</v>
      </c>
      <c r="B359" s="42" t="str">
        <f>IFERROR(__xludf.DUMMYFUNCTION("""COMPUTED_VALUE"""),"MCC015UC0008")</f>
        <v>MCC015UC0008</v>
      </c>
      <c r="C359" s="31" t="str">
        <f>IFERROR(__xludf.DUMMYFUNCTION("""COMPUTED_VALUE"""),"FILME STRETCH 500X25")</f>
        <v>FILME STRETCH 500X25</v>
      </c>
      <c r="D359" s="39">
        <f>IFERROR(__xludf.DUMMYFUNCTION("""COMPUTED_VALUE"""),8.0)</f>
        <v>8</v>
      </c>
      <c r="E359" s="34" t="str">
        <f>IFERROR(__xludf.DUMMYFUNCTION("""COMPUTED_VALUE"""),"Saída")</f>
        <v>Saída</v>
      </c>
      <c r="F359" s="34" t="str">
        <f>IFERROR(__xludf.DUMMYFUNCTION("""COMPUTED_VALUE"""),"Expedição:ex-escolas-exponenciais:")</f>
        <v>Expedição:ex-escolas-exponenciais:</v>
      </c>
      <c r="G359" s="39">
        <f t="array" ref="G359">XLOOKUP(B359,'Página9'!A:A,'Página9'!F:F,"")</f>
        <v>-158</v>
      </c>
      <c r="H359" s="39">
        <f t="array" ref="H359">XLOOKUP(B359,'Página9'!A:A,'Página9'!C:C,"")</f>
        <v>40</v>
      </c>
      <c r="I359" s="35" t="str">
        <f t="array" ref="I359">XLOOKUP(B359,'Página9'!A:A,'Página9'!G:G,"")</f>
        <v>REPOR ESTOQUE</v>
      </c>
      <c r="J359" s="25" t="str">
        <f t="shared" si="1"/>
        <v>EXPEDIÇÃO</v>
      </c>
      <c r="K359" s="25" t="str">
        <f>IFERROR(__xludf.DUMMYFUNCTION("""COMPUTED_VALUE"""),"Jose Antoniel Silva Mesquita")</f>
        <v>Jose Antoniel Silva Mesquita</v>
      </c>
    </row>
    <row r="360">
      <c r="A360" s="37">
        <f>IFERROR(__xludf.DUMMYFUNCTION("""COMPUTED_VALUE"""),45959.0)</f>
        <v>45959</v>
      </c>
      <c r="B360" s="42" t="str">
        <f>IFERROR(__xludf.DUMMYFUNCTION("""COMPUTED_VALUE"""),"MCC015UC0038")</f>
        <v>MCC015UC0038</v>
      </c>
      <c r="C360" s="31" t="str">
        <f>IFERROR(__xludf.DUMMYFUNCTION("""COMPUTED_VALUE"""),"BOBINA SHRINK 500MM")</f>
        <v>BOBINA SHRINK 500MM</v>
      </c>
      <c r="D360" s="39">
        <f>IFERROR(__xludf.DUMMYFUNCTION("""COMPUTED_VALUE"""),1.0)</f>
        <v>1</v>
      </c>
      <c r="E360" s="34" t="str">
        <f>IFERROR(__xludf.DUMMYFUNCTION("""COMPUTED_VALUE"""),"Saída")</f>
        <v>Saída</v>
      </c>
      <c r="F360" s="34" t="str">
        <f>IFERROR(__xludf.DUMMYFUNCTION("""COMPUTED_VALUE"""),"Estoque:package:")</f>
        <v>Estoque:package:</v>
      </c>
      <c r="G360" s="39">
        <f t="array" ref="G360">XLOOKUP(B360,'Página9'!A:A,'Página9'!F:F,"")</f>
        <v>13</v>
      </c>
      <c r="H360" s="39">
        <f t="array" ref="H360">XLOOKUP(B360,'Página9'!A:A,'Página9'!C:C,"")</f>
        <v>3</v>
      </c>
      <c r="I360" s="35" t="str">
        <f t="array" ref="I360">XLOOKUP(B360,'Página9'!A:A,'Página9'!G:G,"")</f>
        <v>OK</v>
      </c>
      <c r="J360" s="25" t="str">
        <f t="shared" si="1"/>
        <v>ESTOQUE</v>
      </c>
      <c r="K360" s="25" t="str">
        <f>IFERROR(__xludf.DUMMYFUNCTION("""COMPUTED_VALUE"""),"Jose Antoniel Silva Mesquita")</f>
        <v>Jose Antoniel Silva Mesquita</v>
      </c>
    </row>
    <row r="361">
      <c r="A361" s="37">
        <f>IFERROR(__xludf.DUMMYFUNCTION("""COMPUTED_VALUE"""),45959.0)</f>
        <v>45959</v>
      </c>
      <c r="B361" s="42" t="str">
        <f>IFERROR(__xludf.DUMMYFUNCTION("""COMPUTED_VALUE"""),"MCC015UC0045")</f>
        <v>MCC015UC0045</v>
      </c>
      <c r="C361" s="31" t="str">
        <f>IFERROR(__xludf.DUMMYFUNCTION("""COMPUTED_VALUE"""),"FITA ADESIVA 69MM X 100M")</f>
        <v>FITA ADESIVA 69MM X 100M</v>
      </c>
      <c r="D361" s="39">
        <f>IFERROR(__xludf.DUMMYFUNCTION("""COMPUTED_VALUE"""),8.0)</f>
        <v>8</v>
      </c>
      <c r="E361" s="34" t="str">
        <f>IFERROR(__xludf.DUMMYFUNCTION("""COMPUTED_VALUE"""),"Saída")</f>
        <v>Saída</v>
      </c>
      <c r="F361" s="34" t="str">
        <f>IFERROR(__xludf.DUMMYFUNCTION("""COMPUTED_VALUE"""),"Expedição:ex-escolas-exponenciais:")</f>
        <v>Expedição:ex-escolas-exponenciais:</v>
      </c>
      <c r="G361" s="39">
        <f t="array" ref="G361">XLOOKUP(B361,'Página9'!A:A,'Página9'!F:F,"")</f>
        <v>287</v>
      </c>
      <c r="H361" s="39">
        <f t="array" ref="H361">XLOOKUP(B361,'Página9'!A:A,'Página9'!C:C,"")</f>
        <v>20</v>
      </c>
      <c r="I361" s="35" t="str">
        <f t="array" ref="I361">XLOOKUP(B361,'Página9'!A:A,'Página9'!G:G,"")</f>
        <v>OK</v>
      </c>
      <c r="J361" s="25" t="str">
        <f t="shared" si="1"/>
        <v>EXPEDIÇÃO</v>
      </c>
      <c r="K361" s="25" t="str">
        <f>IFERROR(__xludf.DUMMYFUNCTION("""COMPUTED_VALUE"""),"Jose Antoniel Silva Mesquita")</f>
        <v>Jose Antoniel Silva Mesquita</v>
      </c>
    </row>
    <row r="362">
      <c r="A362" s="37">
        <f>IFERROR(__xludf.DUMMYFUNCTION("""COMPUTED_VALUE"""),45959.0)</f>
        <v>45959</v>
      </c>
      <c r="B362" s="42" t="str">
        <f>IFERROR(__xludf.DUMMYFUNCTION("""COMPUTED_VALUE"""),"MCC046UC0215")</f>
        <v>MCC046UC0215</v>
      </c>
      <c r="C362" s="31" t="str">
        <f>IFERROR(__xludf.DUMMYFUNCTION("""COMPUTED_VALUE"""),"CANETA ESFEROGRAFICA ECONOMIC AZUL BIC")</f>
        <v>CANETA ESFEROGRAFICA ECONOMIC AZUL BIC</v>
      </c>
      <c r="D362" s="39">
        <f>IFERROR(__xludf.DUMMYFUNCTION("""COMPUTED_VALUE"""),2.0)</f>
        <v>2</v>
      </c>
      <c r="E362" s="34" t="str">
        <f>IFERROR(__xludf.DUMMYFUNCTION("""COMPUTED_VALUE"""),"Saída")</f>
        <v>Saída</v>
      </c>
      <c r="F362" s="34" t="str">
        <f>IFERROR(__xludf.DUMMYFUNCTION("""COMPUTED_VALUE"""),"Expedição:ex-escolas-exponenciais:")</f>
        <v>Expedição:ex-escolas-exponenciais:</v>
      </c>
      <c r="G362" s="39">
        <f t="array" ref="G362">XLOOKUP(B362,'Página9'!A:A,'Página9'!F:F,"")</f>
        <v>-20</v>
      </c>
      <c r="H362" s="39">
        <f t="array" ref="H362">XLOOKUP(B362,'Página9'!A:A,'Página9'!C:C,"")</f>
        <v>15</v>
      </c>
      <c r="I362" s="35" t="str">
        <f t="array" ref="I362">XLOOKUP(B362,'Página9'!A:A,'Página9'!G:G,"")</f>
        <v>REPOR ESTOQUE</v>
      </c>
      <c r="J362" s="25" t="str">
        <f t="shared" si="1"/>
        <v>EXPEDIÇÃO</v>
      </c>
      <c r="K362" s="25" t="str">
        <f>IFERROR(__xludf.DUMMYFUNCTION("""COMPUTED_VALUE"""),"Antonio Alberto Goncalves Freitas")</f>
        <v>Antonio Alberto Goncalves Freitas</v>
      </c>
    </row>
    <row r="363">
      <c r="A363" s="37">
        <f>IFERROR(__xludf.DUMMYFUNCTION("""COMPUTED_VALUE"""),45959.0)</f>
        <v>45959</v>
      </c>
      <c r="B363" s="42" t="str">
        <f>IFERROR(__xludf.DUMMYFUNCTION("""COMPUTED_VALUE"""),"MCC015UC0008")</f>
        <v>MCC015UC0008</v>
      </c>
      <c r="C363" s="31" t="str">
        <f>IFERROR(__xludf.DUMMYFUNCTION("""COMPUTED_VALUE"""),"FILME STRETCH 500X25")</f>
        <v>FILME STRETCH 500X25</v>
      </c>
      <c r="D363" s="39">
        <f>IFERROR(__xludf.DUMMYFUNCTION("""COMPUTED_VALUE"""),1.0)</f>
        <v>1</v>
      </c>
      <c r="E363" s="34" t="str">
        <f>IFERROR(__xludf.DUMMYFUNCTION("""COMPUTED_VALUE"""),"Saída")</f>
        <v>Saída</v>
      </c>
      <c r="F363" s="34" t="str">
        <f>IFERROR(__xludf.DUMMYFUNCTION("""COMPUTED_VALUE"""),"Expedição:ex-escolas-exponenciais:")</f>
        <v>Expedição:ex-escolas-exponenciais:</v>
      </c>
      <c r="G363" s="39">
        <f t="array" ref="G363">XLOOKUP(B363,'Página9'!A:A,'Página9'!F:F,"")</f>
        <v>-158</v>
      </c>
      <c r="H363" s="39">
        <f t="array" ref="H363">XLOOKUP(B363,'Página9'!A:A,'Página9'!C:C,"")</f>
        <v>40</v>
      </c>
      <c r="I363" s="35" t="str">
        <f t="array" ref="I363">XLOOKUP(B363,'Página9'!A:A,'Página9'!G:G,"")</f>
        <v>REPOR ESTOQUE</v>
      </c>
      <c r="J363" s="25" t="str">
        <f t="shared" si="1"/>
        <v>EXPEDIÇÃO</v>
      </c>
      <c r="K363" s="25" t="str">
        <f>IFERROR(__xludf.DUMMYFUNCTION("""COMPUTED_VALUE"""),"Antonio Marcos De Albuquerque")</f>
        <v>Antonio Marcos De Albuquerque</v>
      </c>
    </row>
    <row r="364">
      <c r="A364" s="37">
        <f>IFERROR(__xludf.DUMMYFUNCTION("""COMPUTED_VALUE"""),45959.0)</f>
        <v>45959</v>
      </c>
      <c r="B364" s="42" t="str">
        <f>IFERROR(__xludf.DUMMYFUNCTION("""COMPUTED_VALUE"""),"MCC046UC0695")</f>
        <v>MCC046UC0695</v>
      </c>
      <c r="C364" s="31" t="str">
        <f>IFERROR(__xludf.DUMMYFUNCTION("""COMPUTED_VALUE"""),"ETIQUETA COUCHE 98X50X1")</f>
        <v>ETIQUETA COUCHE 98X50X1</v>
      </c>
      <c r="D364" s="39">
        <f>IFERROR(__xludf.DUMMYFUNCTION("""COMPUTED_VALUE"""),10.0)</f>
        <v>10</v>
      </c>
      <c r="E364" s="34" t="str">
        <f>IFERROR(__xludf.DUMMYFUNCTION("""COMPUTED_VALUE"""),"Saída")</f>
        <v>Saída</v>
      </c>
      <c r="F364" s="34" t="str">
        <f>IFERROR(__xludf.DUMMYFUNCTION("""COMPUTED_VALUE"""),"Expedição:ex-escolas-exponenciais:")</f>
        <v>Expedição:ex-escolas-exponenciais:</v>
      </c>
      <c r="G364" s="39">
        <f t="array" ref="G364">XLOOKUP(B364,'Página9'!A:A,'Página9'!F:F,"")</f>
        <v>256</v>
      </c>
      <c r="H364" s="39">
        <f t="array" ref="H364">XLOOKUP(B364,'Página9'!A:A,'Página9'!C:C,"")</f>
        <v>20</v>
      </c>
      <c r="I364" s="35" t="str">
        <f t="array" ref="I364">XLOOKUP(B364,'Página9'!A:A,'Página9'!G:G,"")</f>
        <v>OK</v>
      </c>
      <c r="J364" s="25" t="str">
        <f t="shared" si="1"/>
        <v>EXPEDIÇÃO</v>
      </c>
      <c r="K364" s="25" t="str">
        <f>IFERROR(__xludf.DUMMYFUNCTION("""COMPUTED_VALUE"""),"Allison Breno Da Costa Borges Soares")</f>
        <v>Allison Breno Da Costa Borges Soares</v>
      </c>
    </row>
    <row r="365">
      <c r="A365" s="37">
        <f>IFERROR(__xludf.DUMMYFUNCTION("""COMPUTED_VALUE"""),45959.0)</f>
        <v>45959</v>
      </c>
      <c r="B365" s="42" t="str">
        <f>IFERROR(__xludf.DUMMYFUNCTION("""COMPUTED_VALUE"""),"MCC015UC0008")</f>
        <v>MCC015UC0008</v>
      </c>
      <c r="C365" s="31" t="str">
        <f>IFERROR(__xludf.DUMMYFUNCTION("""COMPUTED_VALUE"""),"FILME STRETCH 500X25")</f>
        <v>FILME STRETCH 500X25</v>
      </c>
      <c r="D365" s="39">
        <f>IFERROR(__xludf.DUMMYFUNCTION("""COMPUTED_VALUE"""),1.0)</f>
        <v>1</v>
      </c>
      <c r="E365" s="34" t="str">
        <f>IFERROR(__xludf.DUMMYFUNCTION("""COMPUTED_VALUE"""),"Saída")</f>
        <v>Saída</v>
      </c>
      <c r="F365" s="34" t="str">
        <f>IFERROR(__xludf.DUMMYFUNCTION("""COMPUTED_VALUE"""),"Estoque:package:")</f>
        <v>Estoque:package:</v>
      </c>
      <c r="G365" s="39">
        <f t="array" ref="G365">XLOOKUP(B365,'Página9'!A:A,'Página9'!F:F,"")</f>
        <v>-158</v>
      </c>
      <c r="H365" s="39">
        <f t="array" ref="H365">XLOOKUP(B365,'Página9'!A:A,'Página9'!C:C,"")</f>
        <v>40</v>
      </c>
      <c r="I365" s="35" t="str">
        <f t="array" ref="I365">XLOOKUP(B365,'Página9'!A:A,'Página9'!G:G,"")</f>
        <v>REPOR ESTOQUE</v>
      </c>
      <c r="J365" s="25" t="str">
        <f t="shared" si="1"/>
        <v>ESTOQUE</v>
      </c>
      <c r="K365" s="25" t="str">
        <f>IFERROR(__xludf.DUMMYFUNCTION("""COMPUTED_VALUE"""),"Antonio Marcos De Albuquerque")</f>
        <v>Antonio Marcos De Albuquerque</v>
      </c>
    </row>
    <row r="366">
      <c r="A366" s="37">
        <f>IFERROR(__xludf.DUMMYFUNCTION("""COMPUTED_VALUE"""),45959.0)</f>
        <v>45959</v>
      </c>
      <c r="B366" s="42" t="str">
        <f>IFERROR(__xludf.DUMMYFUNCTION("""COMPUTED_VALUE"""),"MCC015UC0045")</f>
        <v>MCC015UC0045</v>
      </c>
      <c r="C366" s="31" t="str">
        <f>IFERROR(__xludf.DUMMYFUNCTION("""COMPUTED_VALUE"""),"FITA ADESIVA 69MM X 100M")</f>
        <v>FITA ADESIVA 69MM X 100M</v>
      </c>
      <c r="D366" s="39">
        <f>IFERROR(__xludf.DUMMYFUNCTION("""COMPUTED_VALUE"""),24.0)</f>
        <v>24</v>
      </c>
      <c r="E366" s="34" t="str">
        <f>IFERROR(__xludf.DUMMYFUNCTION("""COMPUTED_VALUE"""),"Saída")</f>
        <v>Saída</v>
      </c>
      <c r="F366" s="34" t="str">
        <f>IFERROR(__xludf.DUMMYFUNCTION("""COMPUTED_VALUE"""),"Expedição:ex-escolas-exponenciais:")</f>
        <v>Expedição:ex-escolas-exponenciais:</v>
      </c>
      <c r="G366" s="39">
        <f t="array" ref="G366">XLOOKUP(B366,'Página9'!A:A,'Página9'!F:F,"")</f>
        <v>287</v>
      </c>
      <c r="H366" s="39">
        <f t="array" ref="H366">XLOOKUP(B366,'Página9'!A:A,'Página9'!C:C,"")</f>
        <v>20</v>
      </c>
      <c r="I366" s="35" t="str">
        <f t="array" ref="I366">XLOOKUP(B366,'Página9'!A:A,'Página9'!G:G,"")</f>
        <v>OK</v>
      </c>
      <c r="J366" s="25" t="str">
        <f t="shared" si="1"/>
        <v>EXPEDIÇÃO</v>
      </c>
      <c r="K366" s="25" t="str">
        <f>IFERROR(__xludf.DUMMYFUNCTION("""COMPUTED_VALUE"""),"Paulo Henrique Chagas De Oliveira")</f>
        <v>Paulo Henrique Chagas De Oliveira</v>
      </c>
    </row>
    <row r="367">
      <c r="A367" s="37">
        <f>IFERROR(__xludf.DUMMYFUNCTION("""COMPUTED_VALUE"""),45959.0)</f>
        <v>45959</v>
      </c>
      <c r="B367" s="42" t="str">
        <f>IFERROR(__xludf.DUMMYFUNCTION("""COMPUTED_VALUE"""),"MCC046UC0542")</f>
        <v>MCC046UC0542</v>
      </c>
      <c r="C367" s="31" t="str">
        <f>IFERROR(__xludf.DUMMYFUNCTION("""COMPUTED_VALUE"""),"POST-IT 657 76X102MM 100FLS AMARELO 3M")</f>
        <v>POST-IT 657 76X102MM 100FLS AMARELO 3M</v>
      </c>
      <c r="D367" s="39">
        <f>IFERROR(__xludf.DUMMYFUNCTION("""COMPUTED_VALUE"""),2.0)</f>
        <v>2</v>
      </c>
      <c r="E367" s="34" t="str">
        <f>IFERROR(__xludf.DUMMYFUNCTION("""COMPUTED_VALUE"""),"Saída")</f>
        <v>Saída</v>
      </c>
      <c r="F367" s="34" t="str">
        <f>IFERROR(__xludf.DUMMYFUNCTION("""COMPUTED_VALUE"""),"PMM:livro-voador:")</f>
        <v>PMM:livro-voador:</v>
      </c>
      <c r="G367" s="39">
        <f t="array" ref="G367">XLOOKUP(B367,'Página9'!A:A,'Página9'!F:F,"")</f>
        <v>17</v>
      </c>
      <c r="H367" s="39">
        <f t="array" ref="H367">XLOOKUP(B367,'Página9'!A:A,'Página9'!C:C,"")</f>
        <v>2</v>
      </c>
      <c r="I367" s="35" t="str">
        <f t="array" ref="I367">XLOOKUP(B367,'Página9'!A:A,'Página9'!G:G,"")</f>
        <v>OK</v>
      </c>
      <c r="J367" s="25" t="str">
        <f t="shared" si="1"/>
        <v>PMM</v>
      </c>
      <c r="K367" s="25" t="str">
        <f>IFERROR(__xludf.DUMMYFUNCTION("""COMPUTED_VALUE"""),"Antonio Marcos De Albuquerque")</f>
        <v>Antonio Marcos De Albuquerque</v>
      </c>
    </row>
    <row r="368">
      <c r="A368" s="37">
        <f>IFERROR(__xludf.DUMMYFUNCTION("""COMPUTED_VALUE"""),45959.0)</f>
        <v>45959</v>
      </c>
      <c r="B368" s="42" t="str">
        <f>IFERROR(__xludf.DUMMYFUNCTION("""COMPUTED_VALUE"""),"MCC015UC0008")</f>
        <v>MCC015UC0008</v>
      </c>
      <c r="C368" s="31" t="str">
        <f>IFERROR(__xludf.DUMMYFUNCTION("""COMPUTED_VALUE"""),"FILME STRETCH 500X25")</f>
        <v>FILME STRETCH 500X25</v>
      </c>
      <c r="D368" s="39">
        <f>IFERROR(__xludf.DUMMYFUNCTION("""COMPUTED_VALUE"""),30.0)</f>
        <v>30</v>
      </c>
      <c r="E368" s="34" t="str">
        <f>IFERROR(__xludf.DUMMYFUNCTION("""COMPUTED_VALUE"""),"Saída")</f>
        <v>Saída</v>
      </c>
      <c r="F368" s="34" t="str">
        <f>IFERROR(__xludf.DUMMYFUNCTION("""COMPUTED_VALUE"""),"Expedição:ex-escolas-exponenciais:")</f>
        <v>Expedição:ex-escolas-exponenciais:</v>
      </c>
      <c r="G368" s="39">
        <f t="array" ref="G368">XLOOKUP(B368,'Página9'!A:A,'Página9'!F:F,"")</f>
        <v>-158</v>
      </c>
      <c r="H368" s="39">
        <f t="array" ref="H368">XLOOKUP(B368,'Página9'!A:A,'Página9'!C:C,"")</f>
        <v>40</v>
      </c>
      <c r="I368" s="35" t="str">
        <f t="array" ref="I368">XLOOKUP(B368,'Página9'!A:A,'Página9'!G:G,"")</f>
        <v>REPOR ESTOQUE</v>
      </c>
      <c r="J368" s="25" t="str">
        <f t="shared" si="1"/>
        <v>EXPEDIÇÃO</v>
      </c>
      <c r="K368" s="25" t="str">
        <f>IFERROR(__xludf.DUMMYFUNCTION("""COMPUTED_VALUE"""),"Allison Breno Da Costa Borges Soares")</f>
        <v>Allison Breno Da Costa Borges Soares</v>
      </c>
    </row>
    <row r="369">
      <c r="A369" s="37">
        <f>IFERROR(__xludf.DUMMYFUNCTION("""COMPUTED_VALUE"""),45959.0)</f>
        <v>45959</v>
      </c>
      <c r="B369" s="42" t="str">
        <f>IFERROR(__xludf.DUMMYFUNCTION("""COMPUTED_VALUE"""),"MCC015UC0033")</f>
        <v>MCC015UC0033</v>
      </c>
      <c r="C369" s="31" t="str">
        <f>IFERROR(__xludf.DUMMYFUNCTION("""COMPUTED_VALUE"""),"FITA DE ARQUEAR PET VERDE 16MM X 0,8MM C/ 13KG")</f>
        <v>FITA DE ARQUEAR PET VERDE 16MM X 0,8MM C/ 13KG</v>
      </c>
      <c r="D369" s="39">
        <f>IFERROR(__xludf.DUMMYFUNCTION("""COMPUTED_VALUE"""),2.0)</f>
        <v>2</v>
      </c>
      <c r="E369" s="34" t="str">
        <f>IFERROR(__xludf.DUMMYFUNCTION("""COMPUTED_VALUE"""),"Saída")</f>
        <v>Saída</v>
      </c>
      <c r="F369" s="34" t="str">
        <f>IFERROR(__xludf.DUMMYFUNCTION("""COMPUTED_VALUE"""),"Estoque:package:")</f>
        <v>Estoque:package:</v>
      </c>
      <c r="G369" s="39">
        <f t="array" ref="G369">XLOOKUP(B369,'Página9'!A:A,'Página9'!F:F,"")</f>
        <v>4</v>
      </c>
      <c r="H369" s="39">
        <f t="array" ref="H369">XLOOKUP(B369,'Página9'!A:A,'Página9'!C:C,"")</f>
        <v>3</v>
      </c>
      <c r="I369" s="35" t="str">
        <f t="array" ref="I369">XLOOKUP(B369,'Página9'!A:A,'Página9'!G:G,"")</f>
        <v>OK</v>
      </c>
      <c r="J369" s="25" t="str">
        <f t="shared" si="1"/>
        <v>ESTOQUE</v>
      </c>
      <c r="K369" s="25" t="str">
        <f>IFERROR(__xludf.DUMMYFUNCTION("""COMPUTED_VALUE"""),"Pedro Lucas Matias Do Nascimento")</f>
        <v>Pedro Lucas Matias Do Nascimento</v>
      </c>
    </row>
    <row r="370">
      <c r="A370" s="37">
        <f>IFERROR(__xludf.DUMMYFUNCTION("""COMPUTED_VALUE"""),45959.0)</f>
        <v>45959</v>
      </c>
      <c r="B370" s="42" t="str">
        <f>IFERROR(__xludf.DUMMYFUNCTION("""COMPUTED_VALUE"""),"MCC046UC0638")</f>
        <v>MCC046UC0638</v>
      </c>
      <c r="C370" s="31" t="str">
        <f>IFERROR(__xludf.DUMMYFUNCTION("""COMPUTED_VALUE"""),"PILHA ALCALINA ELGIN PALITO AAA")</f>
        <v>PILHA ALCALINA ELGIN PALITO AAA</v>
      </c>
      <c r="D370" s="39">
        <f>IFERROR(__xludf.DUMMYFUNCTION("""COMPUTED_VALUE"""),2.0)</f>
        <v>2</v>
      </c>
      <c r="E370" s="34" t="str">
        <f>IFERROR(__xludf.DUMMYFUNCTION("""COMPUTED_VALUE"""),"Saída")</f>
        <v>Saída</v>
      </c>
      <c r="F370" s="34" t="str">
        <f>IFERROR(__xludf.DUMMYFUNCTION("""COMPUTED_VALUE"""),"Expedição:ex-escolas-exponenciais:")</f>
        <v>Expedição:ex-escolas-exponenciais:</v>
      </c>
      <c r="G370" s="39">
        <f t="array" ref="G370">XLOOKUP(B370,'Página9'!A:A,'Página9'!F:F,"")</f>
        <v>32</v>
      </c>
      <c r="H370" s="39">
        <f t="array" ref="H370">XLOOKUP(B370,'Página9'!A:A,'Página9'!C:C,"")</f>
        <v>4</v>
      </c>
      <c r="I370" s="35" t="str">
        <f t="array" ref="I370">XLOOKUP(B370,'Página9'!A:A,'Página9'!G:G,"")</f>
        <v>OK</v>
      </c>
      <c r="J370" s="25" t="str">
        <f t="shared" si="1"/>
        <v>EXPEDIÇÃO</v>
      </c>
      <c r="K370" s="25" t="str">
        <f>IFERROR(__xludf.DUMMYFUNCTION("""COMPUTED_VALUE"""),"Yago Rocha Fernandes")</f>
        <v>Yago Rocha Fernandes</v>
      </c>
    </row>
    <row r="371">
      <c r="A371" s="37">
        <f>IFERROR(__xludf.DUMMYFUNCTION("""COMPUTED_VALUE"""),45959.0)</f>
        <v>45959</v>
      </c>
      <c r="B371" s="42" t="str">
        <f>IFERROR(__xludf.DUMMYFUNCTION("""COMPUTED_VALUE"""),"MCC046UC0587")</f>
        <v>MCC046UC0587</v>
      </c>
      <c r="C371" s="31" t="str">
        <f>IFERROR(__xludf.DUMMYFUNCTION("""COMPUTED_VALUE"""),"TESOURA USO GERAL 21CM MUNDIAL 160-8N")</f>
        <v>TESOURA USO GERAL 21CM MUNDIAL 160-8N</v>
      </c>
      <c r="D371" s="39">
        <f>IFERROR(__xludf.DUMMYFUNCTION("""COMPUTED_VALUE"""),1.0)</f>
        <v>1</v>
      </c>
      <c r="E371" s="34" t="str">
        <f>IFERROR(__xludf.DUMMYFUNCTION("""COMPUTED_VALUE"""),"Saída")</f>
        <v>Saída</v>
      </c>
      <c r="F371" s="34" t="str">
        <f>IFERROR(__xludf.DUMMYFUNCTION("""COMPUTED_VALUE"""),"Estoque:package:")</f>
        <v>Estoque:package:</v>
      </c>
      <c r="G371" s="39">
        <f t="array" ref="G371">XLOOKUP(B371,'Página9'!A:A,'Página9'!F:F,"")</f>
        <v>-1</v>
      </c>
      <c r="H371" s="39">
        <f t="array" ref="H371">XLOOKUP(B371,'Página9'!A:A,'Página9'!C:C,"")</f>
        <v>2</v>
      </c>
      <c r="I371" s="35" t="str">
        <f t="array" ref="I371">XLOOKUP(B371,'Página9'!A:A,'Página9'!G:G,"")</f>
        <v>REPOR ESTOQUE</v>
      </c>
      <c r="J371" s="25" t="str">
        <f t="shared" si="1"/>
        <v>ESTOQUE</v>
      </c>
      <c r="K371" s="25" t="str">
        <f>IFERROR(__xludf.DUMMYFUNCTION("""COMPUTED_VALUE"""),"Francisco Edson Oliveira Dos Santos Vieira")</f>
        <v>Francisco Edson Oliveira Dos Santos Vieira</v>
      </c>
    </row>
    <row r="372">
      <c r="A372" s="37">
        <f>IFERROR(__xludf.DUMMYFUNCTION("""COMPUTED_VALUE"""),45964.499872685185)</f>
        <v>45964.49987</v>
      </c>
      <c r="B372" s="42" t="str">
        <f>IFERROR(__xludf.DUMMYFUNCTION("""COMPUTED_VALUE"""),"MCC046UC0215")</f>
        <v>MCC046UC0215</v>
      </c>
      <c r="C372" s="31" t="str">
        <f>IFERROR(__xludf.DUMMYFUNCTION("""COMPUTED_VALUE"""),"CANETA ESFEROGRAFICA ECONOMIC AZUL BIC")</f>
        <v>CANETA ESFEROGRAFICA ECONOMIC AZUL BIC</v>
      </c>
      <c r="D372" s="39">
        <f>IFERROR(__xludf.DUMMYFUNCTION("""COMPUTED_VALUE"""),20.0)</f>
        <v>20</v>
      </c>
      <c r="E372" s="34" t="str">
        <f>IFERROR(__xludf.DUMMYFUNCTION("""COMPUTED_VALUE"""),"Saída")</f>
        <v>Saída</v>
      </c>
      <c r="F372" s="34" t="str">
        <f>IFERROR(__xludf.DUMMYFUNCTION("""COMPUTED_VALUE"""),"Expedição:ex-escolas-exponenciais:")</f>
        <v>Expedição:ex-escolas-exponenciais:</v>
      </c>
      <c r="G372" s="39">
        <f t="array" ref="G372">XLOOKUP(B372,'Página9'!A:A,'Página9'!F:F,"")</f>
        <v>-20</v>
      </c>
      <c r="H372" s="39">
        <f t="array" ref="H372">XLOOKUP(B372,'Página9'!A:A,'Página9'!C:C,"")</f>
        <v>15</v>
      </c>
      <c r="I372" s="35" t="str">
        <f t="array" ref="I372">XLOOKUP(B372,'Página9'!A:A,'Página9'!G:G,"")</f>
        <v>REPOR ESTOQUE</v>
      </c>
      <c r="J372" s="25" t="str">
        <f t="shared" si="1"/>
        <v>EXPEDIÇÃO</v>
      </c>
      <c r="K372" s="25" t="str">
        <f>IFERROR(__xludf.DUMMYFUNCTION("""COMPUTED_VALUE"""),"Ana Virginia De Castro Costa")</f>
        <v>Ana Virginia De Castro Costa</v>
      </c>
    </row>
    <row r="373">
      <c r="A373" s="37">
        <f>IFERROR(__xludf.DUMMYFUNCTION("""COMPUTED_VALUE"""),45964.57003472222)</f>
        <v>45964.57003</v>
      </c>
      <c r="B373" s="42" t="str">
        <f>IFERROR(__xludf.DUMMYFUNCTION("""COMPUTED_VALUE"""),"MCC015UC0008")</f>
        <v>MCC015UC0008</v>
      </c>
      <c r="C373" s="31" t="str">
        <f>IFERROR(__xludf.DUMMYFUNCTION("""COMPUTED_VALUE"""),"FILME STRETCH 500X25")</f>
        <v>FILME STRETCH 500X25</v>
      </c>
      <c r="D373" s="39">
        <f>IFERROR(__xludf.DUMMYFUNCTION("""COMPUTED_VALUE"""),50.0)</f>
        <v>50</v>
      </c>
      <c r="E373" s="34" t="str">
        <f>IFERROR(__xludf.DUMMYFUNCTION("""COMPUTED_VALUE"""),"Saída")</f>
        <v>Saída</v>
      </c>
      <c r="F373" s="34" t="str">
        <f>IFERROR(__xludf.DUMMYFUNCTION("""COMPUTED_VALUE"""),"Expedição:ex-escolas-exponenciais:")</f>
        <v>Expedição:ex-escolas-exponenciais:</v>
      </c>
      <c r="G373" s="39">
        <f t="array" ref="G373">XLOOKUP(B373,'Página9'!A:A,'Página9'!F:F,"")</f>
        <v>-158</v>
      </c>
      <c r="H373" s="39">
        <f t="array" ref="H373">XLOOKUP(B373,'Página9'!A:A,'Página9'!C:C,"")</f>
        <v>40</v>
      </c>
      <c r="I373" s="35" t="str">
        <f t="array" ref="I373">XLOOKUP(B373,'Página9'!A:A,'Página9'!G:G,"")</f>
        <v>REPOR ESTOQUE</v>
      </c>
      <c r="J373" s="25" t="str">
        <f t="shared" si="1"/>
        <v>EXPEDIÇÃO</v>
      </c>
      <c r="K373" s="25" t="str">
        <f>IFERROR(__xludf.DUMMYFUNCTION("""COMPUTED_VALUE"""),"Allison Breno Da Costa Borges Soares")</f>
        <v>Allison Breno Da Costa Borges Soares</v>
      </c>
    </row>
    <row r="374">
      <c r="A374" s="37">
        <f>IFERROR(__xludf.DUMMYFUNCTION("""COMPUTED_VALUE"""),45964.57986111111)</f>
        <v>45964.57986</v>
      </c>
      <c r="B374" s="42" t="str">
        <f>IFERROR(__xludf.DUMMYFUNCTION("""COMPUTED_VALUE"""),"MCC046UC0082")</f>
        <v>MCC046UC0082</v>
      </c>
      <c r="C374" s="31" t="str">
        <f>IFERROR(__xludf.DUMMYFUNCTION("""COMPUTED_VALUE"""),"PAPEL SULFITE A4 75G 500 FOLHAS")</f>
        <v>PAPEL SULFITE A4 75G 500 FOLHAS</v>
      </c>
      <c r="D374" s="39">
        <f>IFERROR(__xludf.DUMMYFUNCTION("""COMPUTED_VALUE"""),1.0)</f>
        <v>1</v>
      </c>
      <c r="E374" s="34" t="str">
        <f>IFERROR(__xludf.DUMMYFUNCTION("""COMPUTED_VALUE"""),"Saída")</f>
        <v>Saída</v>
      </c>
      <c r="F374" s="34" t="str">
        <f>IFERROR(__xludf.DUMMYFUNCTION("""COMPUTED_VALUE"""),"Expedição:ex-escolas-exponenciais:")</f>
        <v>Expedição:ex-escolas-exponenciais:</v>
      </c>
      <c r="G374" s="39">
        <f t="array" ref="G374">XLOOKUP(B374,'Página9'!A:A,'Página9'!F:F,"")</f>
        <v>163</v>
      </c>
      <c r="H374" s="39">
        <f t="array" ref="H374">XLOOKUP(B374,'Página9'!A:A,'Página9'!C:C,"")</f>
        <v>10</v>
      </c>
      <c r="I374" s="35" t="str">
        <f t="array" ref="I374">XLOOKUP(B374,'Página9'!A:A,'Página9'!G:G,"")</f>
        <v>OK</v>
      </c>
      <c r="J374" s="25" t="str">
        <f t="shared" si="1"/>
        <v>EXPEDIÇÃO</v>
      </c>
      <c r="K374" s="25" t="str">
        <f>IFERROR(__xludf.DUMMYFUNCTION("""COMPUTED_VALUE"""),"Suellen Aguiar Da Silva")</f>
        <v>Suellen Aguiar Da Silva</v>
      </c>
    </row>
    <row r="375">
      <c r="A375" s="37">
        <f>IFERROR(__xludf.DUMMYFUNCTION("""COMPUTED_VALUE"""),45964.58043981482)</f>
        <v>45964.58044</v>
      </c>
      <c r="B375" s="42" t="str">
        <f>IFERROR(__xludf.DUMMYFUNCTION("""COMPUTED_VALUE"""),"MCC046UC0687")</f>
        <v>MCC046UC0687</v>
      </c>
      <c r="C375" s="31" t="str">
        <f>IFERROR(__xludf.DUMMYFUNCTION("""COMPUTED_VALUE"""),"ETIQUETA COUCHE - 100X100X 1")</f>
        <v>ETIQUETA COUCHE - 100X100X 1</v>
      </c>
      <c r="D375" s="39">
        <f>IFERROR(__xludf.DUMMYFUNCTION("""COMPUTED_VALUE"""),1.0)</f>
        <v>1</v>
      </c>
      <c r="E375" s="34" t="str">
        <f>IFERROR(__xludf.DUMMYFUNCTION("""COMPUTED_VALUE"""),"Saída")</f>
        <v>Saída</v>
      </c>
      <c r="F375" s="34" t="str">
        <f>IFERROR(__xludf.DUMMYFUNCTION("""COMPUTED_VALUE"""),"Expedição:ex-escolas-exponenciais:")</f>
        <v>Expedição:ex-escolas-exponenciais:</v>
      </c>
      <c r="G375" s="39">
        <f t="array" ref="G375">XLOOKUP(B375,'Página9'!A:A,'Página9'!F:F,"")</f>
        <v>335</v>
      </c>
      <c r="H375" s="39">
        <f t="array" ref="H375">XLOOKUP(B375,'Página9'!A:A,'Página9'!C:C,"")</f>
        <v>20</v>
      </c>
      <c r="I375" s="35" t="str">
        <f t="array" ref="I375">XLOOKUP(B375,'Página9'!A:A,'Página9'!G:G,"")</f>
        <v>OK</v>
      </c>
      <c r="J375" s="25" t="str">
        <f t="shared" si="1"/>
        <v>EXPEDIÇÃO</v>
      </c>
      <c r="K375" s="25" t="str">
        <f>IFERROR(__xludf.DUMMYFUNCTION("""COMPUTED_VALUE"""),"Suellen Aguiar Da Silva")</f>
        <v>Suellen Aguiar Da Silva</v>
      </c>
    </row>
    <row r="376">
      <c r="A376" s="37">
        <f>IFERROR(__xludf.DUMMYFUNCTION("""COMPUTED_VALUE"""),45964.82791666667)</f>
        <v>45964.82792</v>
      </c>
      <c r="B376" s="42" t="str">
        <f>IFERROR(__xludf.DUMMYFUNCTION("""COMPUTED_VALUE"""),"MCC046UC0520")</f>
        <v>MCC046UC0520</v>
      </c>
      <c r="C376" s="31" t="str">
        <f>IFERROR(__xludf.DUMMYFUNCTION("""COMPUTED_VALUE"""),"MARCA TEXTO LARANJA LUMICOLOR 200-SL PILOT")</f>
        <v>MARCA TEXTO LARANJA LUMICOLOR 200-SL PILOT</v>
      </c>
      <c r="D376" s="39">
        <f>IFERROR(__xludf.DUMMYFUNCTION("""COMPUTED_VALUE"""),1.0)</f>
        <v>1</v>
      </c>
      <c r="E376" s="34" t="str">
        <f>IFERROR(__xludf.DUMMYFUNCTION("""COMPUTED_VALUE"""),"Saída")</f>
        <v>Saída</v>
      </c>
      <c r="F376" s="34" t="str">
        <f>IFERROR(__xludf.DUMMYFUNCTION("""COMPUTED_VALUE"""),"CIQ :qualidade:")</f>
        <v>CIQ :qualidade:</v>
      </c>
      <c r="G376" s="39">
        <f t="array" ref="G376">XLOOKUP(B376,'Página9'!A:A,'Página9'!F:F,"")</f>
        <v>20</v>
      </c>
      <c r="H376" s="39">
        <f t="array" ref="H376">XLOOKUP(B376,'Página9'!A:A,'Página9'!C:C,"")</f>
        <v>3</v>
      </c>
      <c r="I376" s="35" t="str">
        <f t="array" ref="I376">XLOOKUP(B376,'Página9'!A:A,'Página9'!G:G,"")</f>
        <v>OK</v>
      </c>
      <c r="J376" s="25" t="str">
        <f t="shared" si="1"/>
        <v>CIQ</v>
      </c>
      <c r="K376" s="25" t="str">
        <f>IFERROR(__xludf.DUMMYFUNCTION("""COMPUTED_VALUE"""),"Jenifer da Silva Sousa")</f>
        <v>Jenifer da Silva Sousa</v>
      </c>
    </row>
    <row r="377">
      <c r="A377" s="37">
        <f>IFERROR(__xludf.DUMMYFUNCTION("""COMPUTED_VALUE"""),45964.82898148148)</f>
        <v>45964.82898</v>
      </c>
      <c r="B377" s="42" t="str">
        <f>IFERROR(__xludf.DUMMYFUNCTION("""COMPUTED_VALUE"""),"MCC046UC0520")</f>
        <v>MCC046UC0520</v>
      </c>
      <c r="C377" s="31" t="str">
        <f>IFERROR(__xludf.DUMMYFUNCTION("""COMPUTED_VALUE"""),"MARCA TEXTO LARANJA LUMICOLOR 200-SL PILOT")</f>
        <v>MARCA TEXTO LARANJA LUMICOLOR 200-SL PILOT</v>
      </c>
      <c r="D377" s="39">
        <f>IFERROR(__xludf.DUMMYFUNCTION("""COMPUTED_VALUE"""),1.0)</f>
        <v>1</v>
      </c>
      <c r="E377" s="34" t="str">
        <f>IFERROR(__xludf.DUMMYFUNCTION("""COMPUTED_VALUE"""),"Saída")</f>
        <v>Saída</v>
      </c>
      <c r="F377" s="34" t="str">
        <f>IFERROR(__xludf.DUMMYFUNCTION("""COMPUTED_VALUE"""),"Expedição:ex-escolas-exponenciais:")</f>
        <v>Expedição:ex-escolas-exponenciais:</v>
      </c>
      <c r="G377" s="39">
        <f t="array" ref="G377">XLOOKUP(B377,'Página9'!A:A,'Página9'!F:F,"")</f>
        <v>20</v>
      </c>
      <c r="H377" s="39">
        <f t="array" ref="H377">XLOOKUP(B377,'Página9'!A:A,'Página9'!C:C,"")</f>
        <v>3</v>
      </c>
      <c r="I377" s="35" t="str">
        <f t="array" ref="I377">XLOOKUP(B377,'Página9'!A:A,'Página9'!G:G,"")</f>
        <v>OK</v>
      </c>
      <c r="J377" s="25" t="str">
        <f t="shared" si="1"/>
        <v>EXPEDIÇÃO</v>
      </c>
      <c r="K377" s="25" t="str">
        <f>IFERROR(__xludf.DUMMYFUNCTION("""COMPUTED_VALUE"""),"Jenifer da Silva Sousa")</f>
        <v>Jenifer da Silva Sousa</v>
      </c>
    </row>
    <row r="378">
      <c r="A378" s="37">
        <f>IFERROR(__xludf.DUMMYFUNCTION("""COMPUTED_VALUE"""),45965.50003472222)</f>
        <v>45965.50003</v>
      </c>
      <c r="B378" s="42" t="str">
        <f>IFERROR(__xludf.DUMMYFUNCTION("""COMPUTED_VALUE"""),"MCC015UC0008")</f>
        <v>MCC015UC0008</v>
      </c>
      <c r="C378" s="31" t="str">
        <f>IFERROR(__xludf.DUMMYFUNCTION("""COMPUTED_VALUE"""),"FILME STRETCH 500X25")</f>
        <v>FILME STRETCH 500X25</v>
      </c>
      <c r="D378" s="39">
        <f>IFERROR(__xludf.DUMMYFUNCTION("""COMPUTED_VALUE"""),3.0)</f>
        <v>3</v>
      </c>
      <c r="E378" s="34" t="str">
        <f>IFERROR(__xludf.DUMMYFUNCTION("""COMPUTED_VALUE"""),"Saída")</f>
        <v>Saída</v>
      </c>
      <c r="F378" s="34" t="str">
        <f>IFERROR(__xludf.DUMMYFUNCTION("""COMPUTED_VALUE"""),"Expedição:ex-escolas-exponenciais:")</f>
        <v>Expedição:ex-escolas-exponenciais:</v>
      </c>
      <c r="G378" s="39">
        <f t="array" ref="G378">XLOOKUP(B378,'Página9'!A:A,'Página9'!F:F,"")</f>
        <v>-158</v>
      </c>
      <c r="H378" s="39">
        <f t="array" ref="H378">XLOOKUP(B378,'Página9'!A:A,'Página9'!C:C,"")</f>
        <v>40</v>
      </c>
      <c r="I378" s="35" t="str">
        <f t="array" ref="I378">XLOOKUP(B378,'Página9'!A:A,'Página9'!G:G,"")</f>
        <v>REPOR ESTOQUE</v>
      </c>
      <c r="J378" s="25" t="str">
        <f t="shared" si="1"/>
        <v>EXPEDIÇÃO</v>
      </c>
      <c r="K378" s="25" t="str">
        <f>IFERROR(__xludf.DUMMYFUNCTION("""COMPUTED_VALUE"""),"Paulo Henrique Chagas De Oliveira")</f>
        <v>Paulo Henrique Chagas De Oliveira</v>
      </c>
    </row>
    <row r="379">
      <c r="A379" s="37">
        <f>IFERROR(__xludf.DUMMYFUNCTION("""COMPUTED_VALUE"""),45965.62679398148)</f>
        <v>45965.62679</v>
      </c>
      <c r="B379" s="42" t="str">
        <f>IFERROR(__xludf.DUMMYFUNCTION("""COMPUTED_VALUE"""),"MCC046UC0695")</f>
        <v>MCC046UC0695</v>
      </c>
      <c r="C379" s="31" t="str">
        <f>IFERROR(__xludf.DUMMYFUNCTION("""COMPUTED_VALUE"""),"ETIQUETA COUCHE 98X50X1")</f>
        <v>ETIQUETA COUCHE 98X50X1</v>
      </c>
      <c r="D379" s="39">
        <f>IFERROR(__xludf.DUMMYFUNCTION("""COMPUTED_VALUE"""),6.0)</f>
        <v>6</v>
      </c>
      <c r="E379" s="34" t="str">
        <f>IFERROR(__xludf.DUMMYFUNCTION("""COMPUTED_VALUE"""),"Saída")</f>
        <v>Saída</v>
      </c>
      <c r="F379" s="34" t="str">
        <f>IFERROR(__xludf.DUMMYFUNCTION("""COMPUTED_VALUE"""),"Expedição:ex-escolas-exponenciais:")</f>
        <v>Expedição:ex-escolas-exponenciais:</v>
      </c>
      <c r="G379" s="39">
        <f t="array" ref="G379">XLOOKUP(B379,'Página9'!A:A,'Página9'!F:F,"")</f>
        <v>256</v>
      </c>
      <c r="H379" s="39">
        <f t="array" ref="H379">XLOOKUP(B379,'Página9'!A:A,'Página9'!C:C,"")</f>
        <v>20</v>
      </c>
      <c r="I379" s="35" t="str">
        <f t="array" ref="I379">XLOOKUP(B379,'Página9'!A:A,'Página9'!G:G,"")</f>
        <v>OK</v>
      </c>
      <c r="J379" s="25" t="str">
        <f t="shared" si="1"/>
        <v>EXPEDIÇÃO</v>
      </c>
      <c r="K379" s="25" t="str">
        <f>IFERROR(__xludf.DUMMYFUNCTION("""COMPUTED_VALUE"""),"Paulo Henrique Chagas De Oliveira")</f>
        <v>Paulo Henrique Chagas De Oliveira</v>
      </c>
    </row>
    <row r="380">
      <c r="A380" s="37">
        <f>IFERROR(__xludf.DUMMYFUNCTION("""COMPUTED_VALUE"""),45965.631898148145)</f>
        <v>45965.6319</v>
      </c>
      <c r="B380" s="42" t="str">
        <f>IFERROR(__xludf.DUMMYFUNCTION("""COMPUTED_VALUE"""),"MCC015UC0045")</f>
        <v>MCC015UC0045</v>
      </c>
      <c r="C380" s="31" t="str">
        <f>IFERROR(__xludf.DUMMYFUNCTION("""COMPUTED_VALUE"""),"FITA ADESIVA 69MM X 100M")</f>
        <v>FITA ADESIVA 69MM X 100M</v>
      </c>
      <c r="D380" s="39">
        <f>IFERROR(__xludf.DUMMYFUNCTION("""COMPUTED_VALUE"""),10.0)</f>
        <v>10</v>
      </c>
      <c r="E380" s="34" t="str">
        <f>IFERROR(__xludf.DUMMYFUNCTION("""COMPUTED_VALUE"""),"Saída")</f>
        <v>Saída</v>
      </c>
      <c r="F380" s="34" t="str">
        <f>IFERROR(__xludf.DUMMYFUNCTION("""COMPUTED_VALUE"""),"Expedição:ex-escolas-exponenciais:")</f>
        <v>Expedição:ex-escolas-exponenciais:</v>
      </c>
      <c r="G380" s="39">
        <f t="array" ref="G380">XLOOKUP(B380,'Página9'!A:A,'Página9'!F:F,"")</f>
        <v>287</v>
      </c>
      <c r="H380" s="39">
        <f t="array" ref="H380">XLOOKUP(B380,'Página9'!A:A,'Página9'!C:C,"")</f>
        <v>20</v>
      </c>
      <c r="I380" s="35" t="str">
        <f t="array" ref="I380">XLOOKUP(B380,'Página9'!A:A,'Página9'!G:G,"")</f>
        <v>OK</v>
      </c>
      <c r="J380" s="25" t="str">
        <f t="shared" si="1"/>
        <v>EXPEDIÇÃO</v>
      </c>
      <c r="K380" s="25" t="str">
        <f>IFERROR(__xludf.DUMMYFUNCTION("""COMPUTED_VALUE"""),"Allison Breno Da Costa Borges Soares")</f>
        <v>Allison Breno Da Costa Borges Soares</v>
      </c>
    </row>
    <row r="381">
      <c r="A381" s="37">
        <f>IFERROR(__xludf.DUMMYFUNCTION("""COMPUTED_VALUE"""),45965.77009259259)</f>
        <v>45965.77009</v>
      </c>
      <c r="B381" s="42" t="str">
        <f>IFERROR(__xludf.DUMMYFUNCTION("""COMPUTED_VALUE"""),"MCC046UC0596")</f>
        <v>MCC046UC0596</v>
      </c>
      <c r="C381" s="31" t="str">
        <f>IFERROR(__xludf.DUMMYFUNCTION("""COMPUTED_VALUE"""),"ETIQUETA ADESIVA COUCHE BRANCA   - 105X150MM SAS")</f>
        <v>ETIQUETA ADESIVA COUCHE BRANCA   - 105X150MM SAS</v>
      </c>
      <c r="D381" s="39">
        <f>IFERROR(__xludf.DUMMYFUNCTION("""COMPUTED_VALUE"""),1.0)</f>
        <v>1</v>
      </c>
      <c r="E381" s="34" t="str">
        <f>IFERROR(__xludf.DUMMYFUNCTION("""COMPUTED_VALUE"""),"Saída")</f>
        <v>Saída</v>
      </c>
      <c r="F381" s="34" t="str">
        <f>IFERROR(__xludf.DUMMYFUNCTION("""COMPUTED_VALUE"""),"Expedição:ex-escolas-exponenciais:")</f>
        <v>Expedição:ex-escolas-exponenciais:</v>
      </c>
      <c r="G381" s="39">
        <f t="array" ref="G381">XLOOKUP(B381,'Página9'!A:A,'Página9'!F:F,"")</f>
        <v>157</v>
      </c>
      <c r="H381" s="39">
        <f t="array" ref="H381">XLOOKUP(B381,'Página9'!A:A,'Página9'!C:C,"")</f>
        <v>20</v>
      </c>
      <c r="I381" s="35" t="str">
        <f t="array" ref="I381">XLOOKUP(B381,'Página9'!A:A,'Página9'!G:G,"")</f>
        <v>OK</v>
      </c>
      <c r="J381" s="25" t="str">
        <f t="shared" si="1"/>
        <v>EXPEDIÇÃO</v>
      </c>
      <c r="K381" s="25" t="str">
        <f>IFERROR(__xludf.DUMMYFUNCTION("""COMPUTED_VALUE"""),"Jose Antoniel Silva Mesquita")</f>
        <v>Jose Antoniel Silva Mesquita</v>
      </c>
    </row>
    <row r="382">
      <c r="A382" s="37">
        <f>IFERROR(__xludf.DUMMYFUNCTION("""COMPUTED_VALUE"""),45965.81512731482)</f>
        <v>45965.81513</v>
      </c>
      <c r="B382" s="42" t="str">
        <f>IFERROR(__xludf.DUMMYFUNCTION("""COMPUTED_VALUE"""),"MCC046UC0215")</f>
        <v>MCC046UC0215</v>
      </c>
      <c r="C382" s="31" t="str">
        <f>IFERROR(__xludf.DUMMYFUNCTION("""COMPUTED_VALUE"""),"CANETA ESFEROGRAFICA ECONOMIC AZUL BIC")</f>
        <v>CANETA ESFEROGRAFICA ECONOMIC AZUL BIC</v>
      </c>
      <c r="D382" s="39">
        <f>IFERROR(__xludf.DUMMYFUNCTION("""COMPUTED_VALUE"""),7.0)</f>
        <v>7</v>
      </c>
      <c r="E382" s="34" t="str">
        <f>IFERROR(__xludf.DUMMYFUNCTION("""COMPUTED_VALUE"""),"Saída")</f>
        <v>Saída</v>
      </c>
      <c r="F382" s="34" t="str">
        <f>IFERROR(__xludf.DUMMYFUNCTION("""COMPUTED_VALUE"""),"Expedição:ex-escolas-exponenciais:")</f>
        <v>Expedição:ex-escolas-exponenciais:</v>
      </c>
      <c r="G382" s="39">
        <f t="array" ref="G382">XLOOKUP(B382,'Página9'!A:A,'Página9'!F:F,"")</f>
        <v>-20</v>
      </c>
      <c r="H382" s="39">
        <f t="array" ref="H382">XLOOKUP(B382,'Página9'!A:A,'Página9'!C:C,"")</f>
        <v>15</v>
      </c>
      <c r="I382" s="35" t="str">
        <f t="array" ref="I382">XLOOKUP(B382,'Página9'!A:A,'Página9'!G:G,"")</f>
        <v>REPOR ESTOQUE</v>
      </c>
      <c r="J382" s="25" t="str">
        <f t="shared" si="1"/>
        <v>EXPEDIÇÃO</v>
      </c>
      <c r="K382" s="25" t="str">
        <f>IFERROR(__xludf.DUMMYFUNCTION("""COMPUTED_VALUE"""),"Antonio Marcos De Albuquerque")</f>
        <v>Antonio Marcos De Albuquerque</v>
      </c>
    </row>
    <row r="383">
      <c r="A383" s="37">
        <f>IFERROR(__xludf.DUMMYFUNCTION("""COMPUTED_VALUE"""),45965.83980324074)</f>
        <v>45965.8398</v>
      </c>
      <c r="B383" s="42" t="str">
        <f>IFERROR(__xludf.DUMMYFUNCTION("""COMPUTED_VALUE"""),"MCC046UC0387")</f>
        <v>MCC046UC0387</v>
      </c>
      <c r="C383" s="31" t="str">
        <f>IFERROR(__xludf.DUMMYFUNCTION("""COMPUTED_VALUE"""),"GRAMPEADOR PLUS LINE CIS PRETO 26/6 P/20")</f>
        <v>GRAMPEADOR PLUS LINE CIS PRETO 26/6 P/20</v>
      </c>
      <c r="D383" s="39">
        <f>IFERROR(__xludf.DUMMYFUNCTION("""COMPUTED_VALUE"""),1.0)</f>
        <v>1</v>
      </c>
      <c r="E383" s="34" t="str">
        <f>IFERROR(__xludf.DUMMYFUNCTION("""COMPUTED_VALUE"""),"Saída")</f>
        <v>Saída</v>
      </c>
      <c r="F383" s="34" t="str">
        <f>IFERROR(__xludf.DUMMYFUNCTION("""COMPUTED_VALUE"""),"Expedição:ex-escolas-exponenciais:")</f>
        <v>Expedição:ex-escolas-exponenciais:</v>
      </c>
      <c r="G383" s="39">
        <f t="array" ref="G383">XLOOKUP(B383,'Página9'!A:A,'Página9'!F:F,"")</f>
        <v>0</v>
      </c>
      <c r="H383" s="39">
        <f t="array" ref="H383">XLOOKUP(B383,'Página9'!A:A,'Página9'!C:C,"")</f>
        <v>1</v>
      </c>
      <c r="I383" s="35" t="str">
        <f t="array" ref="I383">XLOOKUP(B383,'Página9'!A:A,'Página9'!G:G,"")</f>
        <v>REPOR ESTOQUE</v>
      </c>
      <c r="J383" s="25" t="str">
        <f t="shared" si="1"/>
        <v>EXPEDIÇÃO</v>
      </c>
      <c r="K383" s="25" t="str">
        <f>IFERROR(__xludf.DUMMYFUNCTION("""COMPUTED_VALUE"""),"Jackson Alves Sales")</f>
        <v>Jackson Alves Sales</v>
      </c>
    </row>
    <row r="384">
      <c r="A384" s="37">
        <f>IFERROR(__xludf.DUMMYFUNCTION("""COMPUTED_VALUE"""),45965.84059027778)</f>
        <v>45965.84059</v>
      </c>
      <c r="B384" s="42" t="str">
        <f>IFERROR(__xludf.DUMMYFUNCTION("""COMPUTED_VALUE"""),"MCC046UC0398")</f>
        <v>MCC046UC0398</v>
      </c>
      <c r="C384" s="31" t="str">
        <f>IFERROR(__xludf.DUMMYFUNCTION("""COMPUTED_VALUE"""),"GRAMPO 26/6 COBREADO CX.C/5000 BACCHI")</f>
        <v>GRAMPO 26/6 COBREADO CX.C/5000 BACCHI</v>
      </c>
      <c r="D384" s="39">
        <f>IFERROR(__xludf.DUMMYFUNCTION("""COMPUTED_VALUE"""),1.0)</f>
        <v>1</v>
      </c>
      <c r="E384" s="34" t="str">
        <f>IFERROR(__xludf.DUMMYFUNCTION("""COMPUTED_VALUE"""),"Saída")</f>
        <v>Saída</v>
      </c>
      <c r="F384" s="34" t="str">
        <f>IFERROR(__xludf.DUMMYFUNCTION("""COMPUTED_VALUE"""),"Expedição:ex-escolas-exponenciais:")</f>
        <v>Expedição:ex-escolas-exponenciais:</v>
      </c>
      <c r="G384" s="39">
        <f t="array" ref="G384">XLOOKUP(B384,'Página9'!A:A,'Página9'!F:F,"")</f>
        <v>-13</v>
      </c>
      <c r="H384" s="39">
        <f t="array" ref="H384">XLOOKUP(B384,'Página9'!A:A,'Página9'!C:C,"")</f>
        <v>3</v>
      </c>
      <c r="I384" s="35" t="str">
        <f t="array" ref="I384">XLOOKUP(B384,'Página9'!A:A,'Página9'!G:G,"")</f>
        <v>REPOR ESTOQUE</v>
      </c>
      <c r="J384" s="25" t="str">
        <f t="shared" si="1"/>
        <v>EXPEDIÇÃO</v>
      </c>
      <c r="K384" s="25" t="str">
        <f>IFERROR(__xludf.DUMMYFUNCTION("""COMPUTED_VALUE"""),"Jackson Alves Sales")</f>
        <v>Jackson Alves Sales</v>
      </c>
    </row>
    <row r="385">
      <c r="A385" s="37">
        <f>IFERROR(__xludf.DUMMYFUNCTION("""COMPUTED_VALUE"""),45965.87788194444)</f>
        <v>45965.87788</v>
      </c>
      <c r="B385" s="42" t="str">
        <f>IFERROR(__xludf.DUMMYFUNCTION("""COMPUTED_VALUE"""),"MCC015UC0033")</f>
        <v>MCC015UC0033</v>
      </c>
      <c r="C385" s="31" t="str">
        <f>IFERROR(__xludf.DUMMYFUNCTION("""COMPUTED_VALUE"""),"FITA DE ARQUEAR PET VERDE 16MM X 0,8MM C/ 13KG")</f>
        <v>FITA DE ARQUEAR PET VERDE 16MM X 0,8MM C/ 13KG</v>
      </c>
      <c r="D385" s="39">
        <f>IFERROR(__xludf.DUMMYFUNCTION("""COMPUTED_VALUE"""),2.0)</f>
        <v>2</v>
      </c>
      <c r="E385" s="34" t="str">
        <f>IFERROR(__xludf.DUMMYFUNCTION("""COMPUTED_VALUE"""),"Saída")</f>
        <v>Saída</v>
      </c>
      <c r="F385" s="34" t="str">
        <f>IFERROR(__xludf.DUMMYFUNCTION("""COMPUTED_VALUE"""),"Recebimento:truck:")</f>
        <v>Recebimento:truck:</v>
      </c>
      <c r="G385" s="39">
        <f t="array" ref="G385">XLOOKUP(B385,'Página9'!A:A,'Página9'!F:F,"")</f>
        <v>4</v>
      </c>
      <c r="H385" s="39">
        <f t="array" ref="H385">XLOOKUP(B385,'Página9'!A:A,'Página9'!C:C,"")</f>
        <v>3</v>
      </c>
      <c r="I385" s="35" t="str">
        <f t="array" ref="I385">XLOOKUP(B385,'Página9'!A:A,'Página9'!G:G,"")</f>
        <v>OK</v>
      </c>
      <c r="J385" s="25" t="str">
        <f t="shared" si="1"/>
        <v>RECEBIMENTO</v>
      </c>
      <c r="K385" s="25" t="str">
        <f>IFERROR(__xludf.DUMMYFUNCTION("""COMPUTED_VALUE"""),"Jackson Alves Sales")</f>
        <v>Jackson Alves Sales</v>
      </c>
    </row>
    <row r="386">
      <c r="A386" s="37">
        <f>IFERROR(__xludf.DUMMYFUNCTION("""COMPUTED_VALUE"""),45966.50246527778)</f>
        <v>45966.50247</v>
      </c>
      <c r="B386" s="42" t="str">
        <f>IFERROR(__xludf.DUMMYFUNCTION("""COMPUTED_VALUE"""),"MCC046UC0687")</f>
        <v>MCC046UC0687</v>
      </c>
      <c r="C386" s="31" t="str">
        <f>IFERROR(__xludf.DUMMYFUNCTION("""COMPUTED_VALUE"""),"ETIQUETA COUCHE - 100X100X 1")</f>
        <v>ETIQUETA COUCHE - 100X100X 1</v>
      </c>
      <c r="D386" s="39">
        <f>IFERROR(__xludf.DUMMYFUNCTION("""COMPUTED_VALUE"""),4.0)</f>
        <v>4</v>
      </c>
      <c r="E386" s="34" t="str">
        <f>IFERROR(__xludf.DUMMYFUNCTION("""COMPUTED_VALUE"""),"Saída")</f>
        <v>Saída</v>
      </c>
      <c r="F386" s="34" t="str">
        <f>IFERROR(__xludf.DUMMYFUNCTION("""COMPUTED_VALUE"""),"Estoque:package:")</f>
        <v>Estoque:package:</v>
      </c>
      <c r="G386" s="39">
        <f t="array" ref="G386">XLOOKUP(B386,'Página9'!A:A,'Página9'!F:F,"")</f>
        <v>335</v>
      </c>
      <c r="H386" s="39">
        <f t="array" ref="H386">XLOOKUP(B386,'Página9'!A:A,'Página9'!C:C,"")</f>
        <v>20</v>
      </c>
      <c r="I386" s="35" t="str">
        <f t="array" ref="I386">XLOOKUP(B386,'Página9'!A:A,'Página9'!G:G,"")</f>
        <v>OK</v>
      </c>
      <c r="J386" s="25" t="str">
        <f t="shared" si="1"/>
        <v>ESTOQUE</v>
      </c>
      <c r="K386" s="25" t="str">
        <f>IFERROR(__xludf.DUMMYFUNCTION("""COMPUTED_VALUE"""),"Rubens Ribeiro Lisboa")</f>
        <v>Rubens Ribeiro Lisboa</v>
      </c>
    </row>
    <row r="387">
      <c r="A387" s="37">
        <f>IFERROR(__xludf.DUMMYFUNCTION("""COMPUTED_VALUE"""),45966.50895833333)</f>
        <v>45966.50896</v>
      </c>
      <c r="B387" s="42" t="str">
        <f>IFERROR(__xludf.DUMMYFUNCTION("""COMPUTED_VALUE"""),"MCC046UC0082")</f>
        <v>MCC046UC0082</v>
      </c>
      <c r="C387" s="31" t="str">
        <f>IFERROR(__xludf.DUMMYFUNCTION("""COMPUTED_VALUE"""),"PAPEL SULFITE A4 75G 500 FOLHAS")</f>
        <v>PAPEL SULFITE A4 75G 500 FOLHAS</v>
      </c>
      <c r="D387" s="39">
        <f>IFERROR(__xludf.DUMMYFUNCTION("""COMPUTED_VALUE"""),1.0)</f>
        <v>1</v>
      </c>
      <c r="E387" s="34" t="str">
        <f>IFERROR(__xludf.DUMMYFUNCTION("""COMPUTED_VALUE"""),"Saída")</f>
        <v>Saída</v>
      </c>
      <c r="F387" s="34" t="str">
        <f>IFERROR(__xludf.DUMMYFUNCTION("""COMPUTED_VALUE"""),"Recebimento:truck:")</f>
        <v>Recebimento:truck:</v>
      </c>
      <c r="G387" s="39">
        <f t="array" ref="G387">XLOOKUP(B387,'Página9'!A:A,'Página9'!F:F,"")</f>
        <v>163</v>
      </c>
      <c r="H387" s="39">
        <f t="array" ref="H387">XLOOKUP(B387,'Página9'!A:A,'Página9'!C:C,"")</f>
        <v>10</v>
      </c>
      <c r="I387" s="35" t="str">
        <f t="array" ref="I387">XLOOKUP(B387,'Página9'!A:A,'Página9'!G:G,"")</f>
        <v>OK</v>
      </c>
      <c r="J387" s="25" t="str">
        <f t="shared" si="1"/>
        <v>RECEBIMENTO</v>
      </c>
      <c r="K387" s="25" t="str">
        <f>IFERROR(__xludf.DUMMYFUNCTION("""COMPUTED_VALUE"""),"Francisco Renato Da Silva De Oliveira Junior")</f>
        <v>Francisco Renato Da Silva De Oliveira Junior</v>
      </c>
    </row>
    <row r="388">
      <c r="A388" s="37">
        <f>IFERROR(__xludf.DUMMYFUNCTION("""COMPUTED_VALUE"""),45966.56037037037)</f>
        <v>45966.56037</v>
      </c>
      <c r="B388" s="42" t="str">
        <f>IFERROR(__xludf.DUMMYFUNCTION("""COMPUTED_VALUE"""),"MCC015UC0045")</f>
        <v>MCC015UC0045</v>
      </c>
      <c r="C388" s="31" t="str">
        <f>IFERROR(__xludf.DUMMYFUNCTION("""COMPUTED_VALUE"""),"FITA ADESIVA 69MM X 100M")</f>
        <v>FITA ADESIVA 69MM X 100M</v>
      </c>
      <c r="D388" s="39">
        <f>IFERROR(__xludf.DUMMYFUNCTION("""COMPUTED_VALUE"""),2.0)</f>
        <v>2</v>
      </c>
      <c r="E388" s="34" t="str">
        <f>IFERROR(__xludf.DUMMYFUNCTION("""COMPUTED_VALUE"""),"Saída")</f>
        <v>Saída</v>
      </c>
      <c r="F388" s="34" t="str">
        <f>IFERROR(__xludf.DUMMYFUNCTION("""COMPUTED_VALUE"""),"Recebimento:truck:")</f>
        <v>Recebimento:truck:</v>
      </c>
      <c r="G388" s="39">
        <f t="array" ref="G388">XLOOKUP(B388,'Página9'!A:A,'Página9'!F:F,"")</f>
        <v>287</v>
      </c>
      <c r="H388" s="39">
        <f t="array" ref="H388">XLOOKUP(B388,'Página9'!A:A,'Página9'!C:C,"")</f>
        <v>20</v>
      </c>
      <c r="I388" s="35" t="str">
        <f t="array" ref="I388">XLOOKUP(B388,'Página9'!A:A,'Página9'!G:G,"")</f>
        <v>OK</v>
      </c>
      <c r="J388" s="25" t="str">
        <f t="shared" si="1"/>
        <v>RECEBIMENTO</v>
      </c>
      <c r="K388" s="25" t="str">
        <f>IFERROR(__xludf.DUMMYFUNCTION("""COMPUTED_VALUE"""),"Matheus De Almeida Rodrigues")</f>
        <v>Matheus De Almeida Rodrigues</v>
      </c>
    </row>
    <row r="389">
      <c r="A389" s="37">
        <f>IFERROR(__xludf.DUMMYFUNCTION("""COMPUTED_VALUE"""),45966.57650462963)</f>
        <v>45966.5765</v>
      </c>
      <c r="B389" s="42" t="str">
        <f>IFERROR(__xludf.DUMMYFUNCTION("""COMPUTED_VALUE"""),"MCC046UC0596")</f>
        <v>MCC046UC0596</v>
      </c>
      <c r="C389" s="31" t="str">
        <f>IFERROR(__xludf.DUMMYFUNCTION("""COMPUTED_VALUE"""),"ETIQUETA ADESIVA COUCHE BRANCA   - 105X150MM SAS")</f>
        <v>ETIQUETA ADESIVA COUCHE BRANCA   - 105X150MM SAS</v>
      </c>
      <c r="D389" s="39">
        <f>IFERROR(__xludf.DUMMYFUNCTION("""COMPUTED_VALUE"""),2.0)</f>
        <v>2</v>
      </c>
      <c r="E389" s="34" t="str">
        <f>IFERROR(__xludf.DUMMYFUNCTION("""COMPUTED_VALUE"""),"Saída")</f>
        <v>Saída</v>
      </c>
      <c r="F389" s="34" t="str">
        <f>IFERROR(__xludf.DUMMYFUNCTION("""COMPUTED_VALUE"""),"Expedição:ex-escolas-exponenciais:")</f>
        <v>Expedição:ex-escolas-exponenciais:</v>
      </c>
      <c r="G389" s="39">
        <f t="array" ref="G389">XLOOKUP(B389,'Página9'!A:A,'Página9'!F:F,"")</f>
        <v>157</v>
      </c>
      <c r="H389" s="39">
        <f t="array" ref="H389">XLOOKUP(B389,'Página9'!A:A,'Página9'!C:C,"")</f>
        <v>20</v>
      </c>
      <c r="I389" s="35" t="str">
        <f t="array" ref="I389">XLOOKUP(B389,'Página9'!A:A,'Página9'!G:G,"")</f>
        <v>OK</v>
      </c>
      <c r="J389" s="25" t="str">
        <f t="shared" si="1"/>
        <v>EXPEDIÇÃO</v>
      </c>
      <c r="K389" s="25" t="str">
        <f>IFERROR(__xludf.DUMMYFUNCTION("""COMPUTED_VALUE"""),"Suellen Aguiar Da Silva")</f>
        <v>Suellen Aguiar Da Silva</v>
      </c>
    </row>
    <row r="390">
      <c r="A390" s="37">
        <f>IFERROR(__xludf.DUMMYFUNCTION("""COMPUTED_VALUE"""),45966.58542824074)</f>
        <v>45966.58543</v>
      </c>
      <c r="B390" s="42" t="str">
        <f>IFERROR(__xludf.DUMMYFUNCTION("""COMPUTED_VALUE"""),"EMC015MO0001")</f>
        <v>EMC015MO0001</v>
      </c>
      <c r="C390" s="31" t="str">
        <f>IFERROR(__xludf.DUMMYFUNCTION("""COMPUTED_VALUE"""),"RIBBON CERA PRETO 110MMX300M")</f>
        <v>RIBBON CERA PRETO 110MMX300M</v>
      </c>
      <c r="D390" s="39">
        <f>IFERROR(__xludf.DUMMYFUNCTION("""COMPUTED_VALUE"""),2.0)</f>
        <v>2</v>
      </c>
      <c r="E390" s="34" t="str">
        <f>IFERROR(__xludf.DUMMYFUNCTION("""COMPUTED_VALUE"""),"Saída")</f>
        <v>Saída</v>
      </c>
      <c r="F390" s="34" t="str">
        <f>IFERROR(__xludf.DUMMYFUNCTION("""COMPUTED_VALUE"""),"Expedição:ex-escolas-exponenciais:")</f>
        <v>Expedição:ex-escolas-exponenciais:</v>
      </c>
      <c r="G390" s="39">
        <f t="array" ref="G390">XLOOKUP(B390,'Página9'!A:A,'Página9'!F:F,"")</f>
        <v>390</v>
      </c>
      <c r="H390" s="39">
        <f t="array" ref="H390">XLOOKUP(B390,'Página9'!A:A,'Página9'!C:C,"")</f>
        <v>5</v>
      </c>
      <c r="I390" s="35" t="str">
        <f t="array" ref="I390">XLOOKUP(B390,'Página9'!A:A,'Página9'!G:G,"")</f>
        <v>OK</v>
      </c>
      <c r="J390" s="25" t="str">
        <f t="shared" si="1"/>
        <v>EXPEDIÇÃO</v>
      </c>
      <c r="K390" s="25" t="str">
        <f>IFERROR(__xludf.DUMMYFUNCTION("""COMPUTED_VALUE"""),"Suellen Aguiar Da Silva")</f>
        <v>Suellen Aguiar Da Silva</v>
      </c>
    </row>
    <row r="391">
      <c r="A391" s="37">
        <f>IFERROR(__xludf.DUMMYFUNCTION("""COMPUTED_VALUE"""),45966.59085648148)</f>
        <v>45966.59086</v>
      </c>
      <c r="B391" s="42" t="str">
        <f>IFERROR(__xludf.DUMMYFUNCTION("""COMPUTED_VALUE"""),"MCC015UC0008")</f>
        <v>MCC015UC0008</v>
      </c>
      <c r="C391" s="31" t="str">
        <f>IFERROR(__xludf.DUMMYFUNCTION("""COMPUTED_VALUE"""),"FILME STRETCH 500X25")</f>
        <v>FILME STRETCH 500X25</v>
      </c>
      <c r="D391" s="39">
        <f>IFERROR(__xludf.DUMMYFUNCTION("""COMPUTED_VALUE"""),2.0)</f>
        <v>2</v>
      </c>
      <c r="E391" s="34" t="str">
        <f>IFERROR(__xludf.DUMMYFUNCTION("""COMPUTED_VALUE"""),"Saída")</f>
        <v>Saída</v>
      </c>
      <c r="F391" s="34" t="str">
        <f>IFERROR(__xludf.DUMMYFUNCTION("""COMPUTED_VALUE"""),"Expedição:ex-escolas-exponenciais:")</f>
        <v>Expedição:ex-escolas-exponenciais:</v>
      </c>
      <c r="G391" s="39">
        <f t="array" ref="G391">XLOOKUP(B391,'Página9'!A:A,'Página9'!F:F,"")</f>
        <v>-158</v>
      </c>
      <c r="H391" s="39">
        <f t="array" ref="H391">XLOOKUP(B391,'Página9'!A:A,'Página9'!C:C,"")</f>
        <v>40</v>
      </c>
      <c r="I391" s="35" t="str">
        <f t="array" ref="I391">XLOOKUP(B391,'Página9'!A:A,'Página9'!G:G,"")</f>
        <v>REPOR ESTOQUE</v>
      </c>
      <c r="J391" s="25" t="str">
        <f t="shared" si="1"/>
        <v>EXPEDIÇÃO</v>
      </c>
      <c r="K391" s="25" t="str">
        <f>IFERROR(__xludf.DUMMYFUNCTION("""COMPUTED_VALUE"""),"Rubens Ribeiro Lisboa")</f>
        <v>Rubens Ribeiro Lisboa</v>
      </c>
    </row>
    <row r="392">
      <c r="A392" s="37">
        <f>IFERROR(__xludf.DUMMYFUNCTION("""COMPUTED_VALUE"""),45966.60795138889)</f>
        <v>45966.60795</v>
      </c>
      <c r="B392" s="42" t="str">
        <f>IFERROR(__xludf.DUMMYFUNCTION("""COMPUTED_VALUE"""),"MCC046UC0695")</f>
        <v>MCC046UC0695</v>
      </c>
      <c r="C392" s="31" t="str">
        <f>IFERROR(__xludf.DUMMYFUNCTION("""COMPUTED_VALUE"""),"ETIQUETA COUCHE 98X50X1")</f>
        <v>ETIQUETA COUCHE 98X50X1</v>
      </c>
      <c r="D392" s="39">
        <f>IFERROR(__xludf.DUMMYFUNCTION("""COMPUTED_VALUE"""),5.0)</f>
        <v>5</v>
      </c>
      <c r="E392" s="34" t="str">
        <f>IFERROR(__xludf.DUMMYFUNCTION("""COMPUTED_VALUE"""),"Saída")</f>
        <v>Saída</v>
      </c>
      <c r="F392" s="34" t="str">
        <f>IFERROR(__xludf.DUMMYFUNCTION("""COMPUTED_VALUE"""),"Expedição:ex-escolas-exponenciais:")</f>
        <v>Expedição:ex-escolas-exponenciais:</v>
      </c>
      <c r="G392" s="39">
        <f t="array" ref="G392">XLOOKUP(B392,'Página9'!A:A,'Página9'!F:F,"")</f>
        <v>256</v>
      </c>
      <c r="H392" s="39">
        <f t="array" ref="H392">XLOOKUP(B392,'Página9'!A:A,'Página9'!C:C,"")</f>
        <v>20</v>
      </c>
      <c r="I392" s="35" t="str">
        <f t="array" ref="I392">XLOOKUP(B392,'Página9'!A:A,'Página9'!G:G,"")</f>
        <v>OK</v>
      </c>
      <c r="J392" s="25" t="str">
        <f t="shared" si="1"/>
        <v>EXPEDIÇÃO</v>
      </c>
      <c r="K392" s="25" t="str">
        <f>IFERROR(__xludf.DUMMYFUNCTION("""COMPUTED_VALUE"""),"Paulo Henrique Chagas De Oliveira")</f>
        <v>Paulo Henrique Chagas De Oliveira</v>
      </c>
    </row>
    <row r="393">
      <c r="A393" s="37">
        <f>IFERROR(__xludf.DUMMYFUNCTION("""COMPUTED_VALUE"""),45966.60837962963)</f>
        <v>45966.60838</v>
      </c>
      <c r="B393" s="42" t="str">
        <f>IFERROR(__xludf.DUMMYFUNCTION("""COMPUTED_VALUE"""),"EMC015MO0007")</f>
        <v>EMC015MO0007</v>
      </c>
      <c r="C393" s="31" t="str">
        <f>IFERROR(__xludf.DUMMYFUNCTION("""COMPUTED_VALUE"""),"RIBBON CERA PRETO 110MMX74M")</f>
        <v>RIBBON CERA PRETO 110MMX74M</v>
      </c>
      <c r="D393" s="39">
        <f>IFERROR(__xludf.DUMMYFUNCTION("""COMPUTED_VALUE"""),5.0)</f>
        <v>5</v>
      </c>
      <c r="E393" s="34" t="str">
        <f>IFERROR(__xludf.DUMMYFUNCTION("""COMPUTED_VALUE"""),"Saída")</f>
        <v>Saída</v>
      </c>
      <c r="F393" s="34" t="str">
        <f>IFERROR(__xludf.DUMMYFUNCTION("""COMPUTED_VALUE"""),"Estoque:package:")</f>
        <v>Estoque:package:</v>
      </c>
      <c r="G393" s="39">
        <f t="array" ref="G393">XLOOKUP(B393,'Página9'!A:A,'Página9'!F:F,"")</f>
        <v>646</v>
      </c>
      <c r="H393" s="39">
        <f t="array" ref="H393">XLOOKUP(B393,'Página9'!A:A,'Página9'!C:C,"")</f>
        <v>5</v>
      </c>
      <c r="I393" s="35" t="str">
        <f t="array" ref="I393">XLOOKUP(B393,'Página9'!A:A,'Página9'!G:G,"")</f>
        <v>OK</v>
      </c>
      <c r="J393" s="25" t="str">
        <f t="shared" si="1"/>
        <v>ESTOQUE</v>
      </c>
      <c r="K393" s="25" t="str">
        <f>IFERROR(__xludf.DUMMYFUNCTION("""COMPUTED_VALUE"""),"Paulo Henrique Chagas De Oliveira")</f>
        <v>Paulo Henrique Chagas De Oliveira</v>
      </c>
    </row>
    <row r="394">
      <c r="A394" s="37">
        <f>IFERROR(__xludf.DUMMYFUNCTION("""COMPUTED_VALUE"""),45966.61210648148)</f>
        <v>45966.61211</v>
      </c>
      <c r="B394" s="42" t="str">
        <f>IFERROR(__xludf.DUMMYFUNCTION("""COMPUTED_VALUE"""),"EMC015MO0007")</f>
        <v>EMC015MO0007</v>
      </c>
      <c r="C394" s="31" t="str">
        <f>IFERROR(__xludf.DUMMYFUNCTION("""COMPUTED_VALUE"""),"RIBBON CERA PRETO 110MMX74M")</f>
        <v>RIBBON CERA PRETO 110MMX74M</v>
      </c>
      <c r="D394" s="39">
        <f>IFERROR(__xludf.DUMMYFUNCTION("""COMPUTED_VALUE"""),2.0)</f>
        <v>2</v>
      </c>
      <c r="E394" s="34" t="str">
        <f>IFERROR(__xludf.DUMMYFUNCTION("""COMPUTED_VALUE"""),"Saída")</f>
        <v>Saída</v>
      </c>
      <c r="F394" s="34" t="str">
        <f>IFERROR(__xludf.DUMMYFUNCTION("""COMPUTED_VALUE"""),"Estoque:package:")</f>
        <v>Estoque:package:</v>
      </c>
      <c r="G394" s="39">
        <f t="array" ref="G394">XLOOKUP(B394,'Página9'!A:A,'Página9'!F:F,"")</f>
        <v>646</v>
      </c>
      <c r="H394" s="39">
        <f t="array" ref="H394">XLOOKUP(B394,'Página9'!A:A,'Página9'!C:C,"")</f>
        <v>5</v>
      </c>
      <c r="I394" s="35" t="str">
        <f t="array" ref="I394">XLOOKUP(B394,'Página9'!A:A,'Página9'!G:G,"")</f>
        <v>OK</v>
      </c>
      <c r="J394" s="25" t="str">
        <f t="shared" si="1"/>
        <v>ESTOQUE</v>
      </c>
      <c r="K394" s="25" t="str">
        <f>IFERROR(__xludf.DUMMYFUNCTION("""COMPUTED_VALUE"""),"Antonio Marcos De Albuquerque")</f>
        <v>Antonio Marcos De Albuquerque</v>
      </c>
    </row>
    <row r="395">
      <c r="A395" s="37">
        <f>IFERROR(__xludf.DUMMYFUNCTION("""COMPUTED_VALUE"""),45966.61505787037)</f>
        <v>45966.61506</v>
      </c>
      <c r="B395" s="42" t="str">
        <f>IFERROR(__xludf.DUMMYFUNCTION("""COMPUTED_VALUE"""),"MCC015UC0045")</f>
        <v>MCC015UC0045</v>
      </c>
      <c r="C395" s="31" t="str">
        <f>IFERROR(__xludf.DUMMYFUNCTION("""COMPUTED_VALUE"""),"FITA ADESIVA 69MM X 100M")</f>
        <v>FITA ADESIVA 69MM X 100M</v>
      </c>
      <c r="D395" s="39">
        <f>IFERROR(__xludf.DUMMYFUNCTION("""COMPUTED_VALUE"""),24.0)</f>
        <v>24</v>
      </c>
      <c r="E395" s="34" t="str">
        <f>IFERROR(__xludf.DUMMYFUNCTION("""COMPUTED_VALUE"""),"Saída")</f>
        <v>Saída</v>
      </c>
      <c r="F395" s="34" t="str">
        <f>IFERROR(__xludf.DUMMYFUNCTION("""COMPUTED_VALUE"""),"Estoque:package:")</f>
        <v>Estoque:package:</v>
      </c>
      <c r="G395" s="39">
        <f t="array" ref="G395">XLOOKUP(B395,'Página9'!A:A,'Página9'!F:F,"")</f>
        <v>287</v>
      </c>
      <c r="H395" s="39">
        <f t="array" ref="H395">XLOOKUP(B395,'Página9'!A:A,'Página9'!C:C,"")</f>
        <v>20</v>
      </c>
      <c r="I395" s="35" t="str">
        <f t="array" ref="I395">XLOOKUP(B395,'Página9'!A:A,'Página9'!G:G,"")</f>
        <v>OK</v>
      </c>
      <c r="J395" s="25" t="str">
        <f t="shared" si="1"/>
        <v>ESTOQUE</v>
      </c>
      <c r="K395" s="25" t="str">
        <f>IFERROR(__xludf.DUMMYFUNCTION("""COMPUTED_VALUE"""),"Paulo Henrique Chagas De Oliveira")</f>
        <v>Paulo Henrique Chagas De Oliveira</v>
      </c>
    </row>
    <row r="396">
      <c r="A396" s="37">
        <f>IFERROR(__xludf.DUMMYFUNCTION("""COMPUTED_VALUE"""),45966.83086805556)</f>
        <v>45966.83087</v>
      </c>
      <c r="B396" s="42" t="str">
        <f>IFERROR(__xludf.DUMMYFUNCTION("""COMPUTED_VALUE"""),"MCC046UC0215")</f>
        <v>MCC046UC0215</v>
      </c>
      <c r="C396" s="31" t="str">
        <f>IFERROR(__xludf.DUMMYFUNCTION("""COMPUTED_VALUE"""),"CANETA ESFEROGRAFICA ECONOMIC AZUL BIC")</f>
        <v>CANETA ESFEROGRAFICA ECONOMIC AZUL BIC</v>
      </c>
      <c r="D396" s="39">
        <f>IFERROR(__xludf.DUMMYFUNCTION("""COMPUTED_VALUE"""),10.0)</f>
        <v>10</v>
      </c>
      <c r="E396" s="34" t="str">
        <f>IFERROR(__xludf.DUMMYFUNCTION("""COMPUTED_VALUE"""),"Saída")</f>
        <v>Saída</v>
      </c>
      <c r="F396" s="34" t="str">
        <f>IFERROR(__xludf.DUMMYFUNCTION("""COMPUTED_VALUE"""),"Recebimento:truck:")</f>
        <v>Recebimento:truck:</v>
      </c>
      <c r="G396" s="39">
        <f t="array" ref="G396">XLOOKUP(B396,'Página9'!A:A,'Página9'!F:F,"")</f>
        <v>-20</v>
      </c>
      <c r="H396" s="39">
        <f t="array" ref="H396">XLOOKUP(B396,'Página9'!A:A,'Página9'!C:C,"")</f>
        <v>15</v>
      </c>
      <c r="I396" s="35" t="str">
        <f t="array" ref="I396">XLOOKUP(B396,'Página9'!A:A,'Página9'!G:G,"")</f>
        <v>REPOR ESTOQUE</v>
      </c>
      <c r="J396" s="25" t="str">
        <f t="shared" si="1"/>
        <v>RECEBIMENTO</v>
      </c>
      <c r="K396" s="25" t="str">
        <f>IFERROR(__xludf.DUMMYFUNCTION("""COMPUTED_VALUE"""),"Philipe Araujo Barroso")</f>
        <v>Philipe Araujo Barroso</v>
      </c>
    </row>
    <row r="397">
      <c r="A397" s="37">
        <f>IFERROR(__xludf.DUMMYFUNCTION("""COMPUTED_VALUE"""),45966.923842592594)</f>
        <v>45966.92384</v>
      </c>
      <c r="B397" s="42" t="str">
        <f>IFERROR(__xludf.DUMMYFUNCTION("""COMPUTED_VALUE"""),"MCC015UC0008")</f>
        <v>MCC015UC0008</v>
      </c>
      <c r="C397" s="31" t="str">
        <f>IFERROR(__xludf.DUMMYFUNCTION("""COMPUTED_VALUE"""),"FILME STRETCH 500X25")</f>
        <v>FILME STRETCH 500X25</v>
      </c>
      <c r="D397" s="39">
        <f>IFERROR(__xludf.DUMMYFUNCTION("""COMPUTED_VALUE"""),4.0)</f>
        <v>4</v>
      </c>
      <c r="E397" s="34" t="str">
        <f>IFERROR(__xludf.DUMMYFUNCTION("""COMPUTED_VALUE"""),"Saída")</f>
        <v>Saída</v>
      </c>
      <c r="F397" s="34" t="str">
        <f>IFERROR(__xludf.DUMMYFUNCTION("""COMPUTED_VALUE"""),"Expedição:ex-escolas-exponenciais:")</f>
        <v>Expedição:ex-escolas-exponenciais:</v>
      </c>
      <c r="G397" s="39">
        <f t="array" ref="G397">XLOOKUP(B397,'Página9'!A:A,'Página9'!F:F,"")</f>
        <v>-158</v>
      </c>
      <c r="H397" s="39">
        <f t="array" ref="H397">XLOOKUP(B397,'Página9'!A:A,'Página9'!C:C,"")</f>
        <v>40</v>
      </c>
      <c r="I397" s="35" t="str">
        <f t="array" ref="I397">XLOOKUP(B397,'Página9'!A:A,'Página9'!G:G,"")</f>
        <v>REPOR ESTOQUE</v>
      </c>
      <c r="J397" s="25" t="str">
        <f t="shared" si="1"/>
        <v>EXPEDIÇÃO</v>
      </c>
      <c r="K397" s="25" t="str">
        <f>IFERROR(__xludf.DUMMYFUNCTION("""COMPUTED_VALUE"""),"Rubens Ribeiro Lisboa")</f>
        <v>Rubens Ribeiro Lisboa</v>
      </c>
    </row>
    <row r="398">
      <c r="A398" s="37">
        <f>IFERROR(__xludf.DUMMYFUNCTION("""COMPUTED_VALUE"""),45967.51359953704)</f>
        <v>45967.5136</v>
      </c>
      <c r="B398" s="42" t="str">
        <f>IFERROR(__xludf.DUMMYFUNCTION("""COMPUTED_VALUE"""),"MCC015UC0008")</f>
        <v>MCC015UC0008</v>
      </c>
      <c r="C398" s="31" t="str">
        <f>IFERROR(__xludf.DUMMYFUNCTION("""COMPUTED_VALUE"""),"FILME STRETCH 500X25")</f>
        <v>FILME STRETCH 500X25</v>
      </c>
      <c r="D398" s="39">
        <f>IFERROR(__xludf.DUMMYFUNCTION("""COMPUTED_VALUE"""),1.0)</f>
        <v>1</v>
      </c>
      <c r="E398" s="34" t="str">
        <f>IFERROR(__xludf.DUMMYFUNCTION("""COMPUTED_VALUE"""),"Saída")</f>
        <v>Saída</v>
      </c>
      <c r="F398" s="34" t="str">
        <f>IFERROR(__xludf.DUMMYFUNCTION("""COMPUTED_VALUE"""),"Expedição:ex-escolas-exponenciais:")</f>
        <v>Expedição:ex-escolas-exponenciais:</v>
      </c>
      <c r="G398" s="39">
        <f t="array" ref="G398">XLOOKUP(B398,'Página9'!A:A,'Página9'!F:F,"")</f>
        <v>-158</v>
      </c>
      <c r="H398" s="39">
        <f t="array" ref="H398">XLOOKUP(B398,'Página9'!A:A,'Página9'!C:C,"")</f>
        <v>40</v>
      </c>
      <c r="I398" s="35" t="str">
        <f t="array" ref="I398">XLOOKUP(B398,'Página9'!A:A,'Página9'!G:G,"")</f>
        <v>REPOR ESTOQUE</v>
      </c>
      <c r="J398" s="25" t="str">
        <f t="shared" si="1"/>
        <v>EXPEDIÇÃO</v>
      </c>
      <c r="K398" s="25" t="str">
        <f>IFERROR(__xludf.DUMMYFUNCTION("""COMPUTED_VALUE"""),"Suellen Aguiar Da Silva")</f>
        <v>Suellen Aguiar Da Silva</v>
      </c>
    </row>
    <row r="399">
      <c r="A399" s="37">
        <f>IFERROR(__xludf.DUMMYFUNCTION("""COMPUTED_VALUE"""),45967.5312037037)</f>
        <v>45967.5312</v>
      </c>
      <c r="B399" s="42" t="str">
        <f>IFERROR(__xludf.DUMMYFUNCTION("""COMPUTED_VALUE"""),"MCC046UC0638")</f>
        <v>MCC046UC0638</v>
      </c>
      <c r="C399" s="31" t="str">
        <f>IFERROR(__xludf.DUMMYFUNCTION("""COMPUTED_VALUE"""),"PILHA ALCALINA ELGIN PALITO AAA")</f>
        <v>PILHA ALCALINA ELGIN PALITO AAA</v>
      </c>
      <c r="D399" s="39">
        <f>IFERROR(__xludf.DUMMYFUNCTION("""COMPUTED_VALUE"""),1.0)</f>
        <v>1</v>
      </c>
      <c r="E399" s="34" t="str">
        <f>IFERROR(__xludf.DUMMYFUNCTION("""COMPUTED_VALUE"""),"Saída")</f>
        <v>Saída</v>
      </c>
      <c r="F399" s="34" t="str">
        <f>IFERROR(__xludf.DUMMYFUNCTION("""COMPUTED_VALUE"""),"Expedição:ex-escolas-exponenciais:")</f>
        <v>Expedição:ex-escolas-exponenciais:</v>
      </c>
      <c r="G399" s="39">
        <f t="array" ref="G399">XLOOKUP(B399,'Página9'!A:A,'Página9'!F:F,"")</f>
        <v>32</v>
      </c>
      <c r="H399" s="39">
        <f t="array" ref="H399">XLOOKUP(B399,'Página9'!A:A,'Página9'!C:C,"")</f>
        <v>4</v>
      </c>
      <c r="I399" s="35" t="str">
        <f t="array" ref="I399">XLOOKUP(B399,'Página9'!A:A,'Página9'!G:G,"")</f>
        <v>OK</v>
      </c>
      <c r="J399" s="25" t="str">
        <f t="shared" si="1"/>
        <v>EXPEDIÇÃO</v>
      </c>
      <c r="K399" s="25" t="str">
        <f>IFERROR(__xludf.DUMMYFUNCTION("""COMPUTED_VALUE"""),"Heitor Ribeiro Antunes")</f>
        <v>Heitor Ribeiro Antunes</v>
      </c>
    </row>
    <row r="400">
      <c r="A400" s="37">
        <f>IFERROR(__xludf.DUMMYFUNCTION("""COMPUTED_VALUE"""),45967.533530092594)</f>
        <v>45967.53353</v>
      </c>
      <c r="B400" s="42" t="str">
        <f>IFERROR(__xludf.DUMMYFUNCTION("""COMPUTED_VALUE"""),"MCC015UC0008")</f>
        <v>MCC015UC0008</v>
      </c>
      <c r="C400" s="31" t="str">
        <f>IFERROR(__xludf.DUMMYFUNCTION("""COMPUTED_VALUE"""),"FILME STRETCH 500X25")</f>
        <v>FILME STRETCH 500X25</v>
      </c>
      <c r="D400" s="39">
        <f>IFERROR(__xludf.DUMMYFUNCTION("""COMPUTED_VALUE"""),5.0)</f>
        <v>5</v>
      </c>
      <c r="E400" s="34" t="str">
        <f>IFERROR(__xludf.DUMMYFUNCTION("""COMPUTED_VALUE"""),"Saída")</f>
        <v>Saída</v>
      </c>
      <c r="F400" s="34" t="str">
        <f>IFERROR(__xludf.DUMMYFUNCTION("""COMPUTED_VALUE"""),"Expedição:ex-escolas-exponenciais:")</f>
        <v>Expedição:ex-escolas-exponenciais:</v>
      </c>
      <c r="G400" s="39">
        <f t="array" ref="G400">XLOOKUP(B400,'Página9'!A:A,'Página9'!F:F,"")</f>
        <v>-158</v>
      </c>
      <c r="H400" s="39">
        <f t="array" ref="H400">XLOOKUP(B400,'Página9'!A:A,'Página9'!C:C,"")</f>
        <v>40</v>
      </c>
      <c r="I400" s="35" t="str">
        <f t="array" ref="I400">XLOOKUP(B400,'Página9'!A:A,'Página9'!G:G,"")</f>
        <v>REPOR ESTOQUE</v>
      </c>
      <c r="J400" s="25" t="str">
        <f t="shared" si="1"/>
        <v>EXPEDIÇÃO</v>
      </c>
      <c r="K400" s="25" t="str">
        <f>IFERROR(__xludf.DUMMYFUNCTION("""COMPUTED_VALUE"""),"Luciano De Brito Pereira")</f>
        <v>Luciano De Brito Pereira</v>
      </c>
    </row>
    <row r="401">
      <c r="A401" s="37">
        <f>IFERROR(__xludf.DUMMYFUNCTION("""COMPUTED_VALUE"""),45967.56951388889)</f>
        <v>45967.56951</v>
      </c>
      <c r="B401" s="42" t="str">
        <f>IFERROR(__xludf.DUMMYFUNCTION("""COMPUTED_VALUE"""),"MCC015UC0008")</f>
        <v>MCC015UC0008</v>
      </c>
      <c r="C401" s="31" t="str">
        <f>IFERROR(__xludf.DUMMYFUNCTION("""COMPUTED_VALUE"""),"FILME STRETCH 500X25")</f>
        <v>FILME STRETCH 500X25</v>
      </c>
      <c r="D401" s="39">
        <f>IFERROR(__xludf.DUMMYFUNCTION("""COMPUTED_VALUE"""),10.0)</f>
        <v>10</v>
      </c>
      <c r="E401" s="34" t="str">
        <f>IFERROR(__xludf.DUMMYFUNCTION("""COMPUTED_VALUE"""),"Saída")</f>
        <v>Saída</v>
      </c>
      <c r="F401" s="34" t="str">
        <f>IFERROR(__xludf.DUMMYFUNCTION("""COMPUTED_VALUE"""),"Expedição:ex-escolas-exponenciais:")</f>
        <v>Expedição:ex-escolas-exponenciais:</v>
      </c>
      <c r="G401" s="39">
        <f t="array" ref="G401">XLOOKUP(B401,'Página9'!A:A,'Página9'!F:F,"")</f>
        <v>-158</v>
      </c>
      <c r="H401" s="39">
        <f t="array" ref="H401">XLOOKUP(B401,'Página9'!A:A,'Página9'!C:C,"")</f>
        <v>40</v>
      </c>
      <c r="I401" s="35" t="str">
        <f t="array" ref="I401">XLOOKUP(B401,'Página9'!A:A,'Página9'!G:G,"")</f>
        <v>REPOR ESTOQUE</v>
      </c>
      <c r="J401" s="25" t="str">
        <f t="shared" si="1"/>
        <v>EXPEDIÇÃO</v>
      </c>
      <c r="K401" s="25" t="str">
        <f>IFERROR(__xludf.DUMMYFUNCTION("""COMPUTED_VALUE"""),"Gabriel De Sousa Freitas")</f>
        <v>Gabriel De Sousa Freitas</v>
      </c>
    </row>
    <row r="402">
      <c r="A402" s="37">
        <f>IFERROR(__xludf.DUMMYFUNCTION("""COMPUTED_VALUE"""),45967.608877314815)</f>
        <v>45967.60888</v>
      </c>
      <c r="B402" s="42" t="str">
        <f>IFERROR(__xludf.DUMMYFUNCTION("""COMPUTED_VALUE"""),"MCC049UC0600")</f>
        <v>MCC049UC0600</v>
      </c>
      <c r="C402" s="31" t="str">
        <f>IFERROR(__xludf.DUMMYFUNCTION("""COMPUTED_VALUE"""),"FITA ADESIVA P/ CACHORRO PERSONALIZADA")</f>
        <v>FITA ADESIVA P/ CACHORRO PERSONALIZADA</v>
      </c>
      <c r="D402" s="39">
        <f>IFERROR(__xludf.DUMMYFUNCTION("""COMPUTED_VALUE"""),12.0)</f>
        <v>12</v>
      </c>
      <c r="E402" s="34" t="str">
        <f>IFERROR(__xludf.DUMMYFUNCTION("""COMPUTED_VALUE"""),"Saída")</f>
        <v>Saída</v>
      </c>
      <c r="F402" s="34" t="str">
        <f>IFERROR(__xludf.DUMMYFUNCTION("""COMPUTED_VALUE"""),"Expedição:ex-escolas-exponenciais:")</f>
        <v>Expedição:ex-escolas-exponenciais:</v>
      </c>
      <c r="G402" s="39">
        <f t="array" ref="G402">XLOOKUP(B402,'Página9'!A:A,'Página9'!F:F,"")</f>
        <v>156</v>
      </c>
      <c r="H402" s="39">
        <f t="array" ref="H402">XLOOKUP(B402,'Página9'!A:A,'Página9'!C:C,"")</f>
        <v>10</v>
      </c>
      <c r="I402" s="35" t="str">
        <f t="array" ref="I402">XLOOKUP(B402,'Página9'!A:A,'Página9'!G:G,"")</f>
        <v>OK</v>
      </c>
      <c r="J402" s="25" t="str">
        <f t="shared" si="1"/>
        <v>EXPEDIÇÃO</v>
      </c>
      <c r="K402" s="25" t="str">
        <f>IFERROR(__xludf.DUMMYFUNCTION("""COMPUTED_VALUE"""),"Silvana Da Silva Pereira")</f>
        <v>Silvana Da Silva Pereira</v>
      </c>
    </row>
    <row r="403">
      <c r="A403" s="37">
        <f>IFERROR(__xludf.DUMMYFUNCTION("""COMPUTED_VALUE"""),45967.60972222222)</f>
        <v>45967.60972</v>
      </c>
      <c r="B403" s="42" t="str">
        <f>IFERROR(__xludf.DUMMYFUNCTION("""COMPUTED_VALUE"""),"MCC015UC0045")</f>
        <v>MCC015UC0045</v>
      </c>
      <c r="C403" s="31" t="str">
        <f>IFERROR(__xludf.DUMMYFUNCTION("""COMPUTED_VALUE"""),"FITA ADESIVA 69MM X 100M")</f>
        <v>FITA ADESIVA 69MM X 100M</v>
      </c>
      <c r="D403" s="39">
        <f>IFERROR(__xludf.DUMMYFUNCTION("""COMPUTED_VALUE"""),24.0)</f>
        <v>24</v>
      </c>
      <c r="E403" s="34" t="str">
        <f>IFERROR(__xludf.DUMMYFUNCTION("""COMPUTED_VALUE"""),"Saída")</f>
        <v>Saída</v>
      </c>
      <c r="F403" s="34" t="str">
        <f>IFERROR(__xludf.DUMMYFUNCTION("""COMPUTED_VALUE"""),"Expedição:ex-escolas-exponenciais:")</f>
        <v>Expedição:ex-escolas-exponenciais:</v>
      </c>
      <c r="G403" s="39">
        <f t="array" ref="G403">XLOOKUP(B403,'Página9'!A:A,'Página9'!F:F,"")</f>
        <v>287</v>
      </c>
      <c r="H403" s="39">
        <f t="array" ref="H403">XLOOKUP(B403,'Página9'!A:A,'Página9'!C:C,"")</f>
        <v>20</v>
      </c>
      <c r="I403" s="35" t="str">
        <f t="array" ref="I403">XLOOKUP(B403,'Página9'!A:A,'Página9'!G:G,"")</f>
        <v>OK</v>
      </c>
      <c r="J403" s="25" t="str">
        <f t="shared" si="1"/>
        <v>EXPEDIÇÃO</v>
      </c>
      <c r="K403" s="25" t="str">
        <f>IFERROR(__xludf.DUMMYFUNCTION("""COMPUTED_VALUE"""),"Silvana Da Silva Pereira")</f>
        <v>Silvana Da Silva Pereira</v>
      </c>
    </row>
    <row r="404">
      <c r="A404" s="37">
        <f>IFERROR(__xludf.DUMMYFUNCTION("""COMPUTED_VALUE"""),45967.72541666667)</f>
        <v>45967.72542</v>
      </c>
      <c r="B404" s="42" t="str">
        <f>IFERROR(__xludf.DUMMYFUNCTION("""COMPUTED_VALUE"""),"MCC015UC0008")</f>
        <v>MCC015UC0008</v>
      </c>
      <c r="C404" s="31" t="str">
        <f>IFERROR(__xludf.DUMMYFUNCTION("""COMPUTED_VALUE"""),"FILME STRETCH 500X25")</f>
        <v>FILME STRETCH 500X25</v>
      </c>
      <c r="D404" s="39">
        <f>IFERROR(__xludf.DUMMYFUNCTION("""COMPUTED_VALUE"""),3.0)</f>
        <v>3</v>
      </c>
      <c r="E404" s="34" t="str">
        <f>IFERROR(__xludf.DUMMYFUNCTION("""COMPUTED_VALUE"""),"Saída")</f>
        <v>Saída</v>
      </c>
      <c r="F404" s="34" t="str">
        <f>IFERROR(__xludf.DUMMYFUNCTION("""COMPUTED_VALUE"""),"Expedição:ex-escolas-exponenciais:")</f>
        <v>Expedição:ex-escolas-exponenciais:</v>
      </c>
      <c r="G404" s="39">
        <f t="array" ref="G404">XLOOKUP(B404,'Página9'!A:A,'Página9'!F:F,"")</f>
        <v>-158</v>
      </c>
      <c r="H404" s="39">
        <f t="array" ref="H404">XLOOKUP(B404,'Página9'!A:A,'Página9'!C:C,"")</f>
        <v>40</v>
      </c>
      <c r="I404" s="35" t="str">
        <f t="array" ref="I404">XLOOKUP(B404,'Página9'!A:A,'Página9'!G:G,"")</f>
        <v>REPOR ESTOQUE</v>
      </c>
      <c r="J404" s="25" t="str">
        <f t="shared" si="1"/>
        <v>EXPEDIÇÃO</v>
      </c>
      <c r="K404" s="25" t="str">
        <f>IFERROR(__xludf.DUMMYFUNCTION("""COMPUTED_VALUE"""),"Rodrigo Aragao Goncalves")</f>
        <v>Rodrigo Aragao Goncalves</v>
      </c>
    </row>
    <row r="405">
      <c r="A405" s="37">
        <f>IFERROR(__xludf.DUMMYFUNCTION("""COMPUTED_VALUE"""),45967.859826388885)</f>
        <v>45967.85983</v>
      </c>
      <c r="B405" s="42" t="str">
        <f>IFERROR(__xludf.DUMMYFUNCTION("""COMPUTED_VALUE"""),"MCC046UC0164")</f>
        <v>MCC046UC0164</v>
      </c>
      <c r="C405" s="31" t="str">
        <f>IFERROR(__xludf.DUMMYFUNCTION("""COMPUTED_VALUE"""),"APAGADOR P/ QUADRO BRANCO RADEX")</f>
        <v>APAGADOR P/ QUADRO BRANCO RADEX</v>
      </c>
      <c r="D405" s="39">
        <f>IFERROR(__xludf.DUMMYFUNCTION("""COMPUTED_VALUE"""),1.0)</f>
        <v>1</v>
      </c>
      <c r="E405" s="34" t="str">
        <f>IFERROR(__xludf.DUMMYFUNCTION("""COMPUTED_VALUE"""),"Saída")</f>
        <v>Saída</v>
      </c>
      <c r="F405" s="34" t="str">
        <f>IFERROR(__xludf.DUMMYFUNCTION("""COMPUTED_VALUE"""),"Expedição:ex-escolas-exponenciais:")</f>
        <v>Expedição:ex-escolas-exponenciais:</v>
      </c>
      <c r="G405" s="39">
        <f t="array" ref="G405">XLOOKUP(B405,'Página9'!A:A,'Página9'!F:F,"")</f>
        <v>-1</v>
      </c>
      <c r="H405" s="39">
        <f t="array" ref="H405">XLOOKUP(B405,'Página9'!A:A,'Página9'!C:C,"")</f>
        <v>1</v>
      </c>
      <c r="I405" s="35" t="str">
        <f t="array" ref="I405">XLOOKUP(B405,'Página9'!A:A,'Página9'!G:G,"")</f>
        <v>REPOR ESTOQUE</v>
      </c>
      <c r="J405" s="25" t="str">
        <f t="shared" si="1"/>
        <v>EXPEDIÇÃO</v>
      </c>
      <c r="K405" s="25" t="str">
        <f>IFERROR(__xludf.DUMMYFUNCTION("""COMPUTED_VALUE"""),"Suellen Aguiar Da Silva")</f>
        <v>Suellen Aguiar Da Silva</v>
      </c>
    </row>
    <row r="406">
      <c r="A406" s="37">
        <f>IFERROR(__xludf.DUMMYFUNCTION("""COMPUTED_VALUE"""),45967.86011574074)</f>
        <v>45967.86012</v>
      </c>
      <c r="B406" s="42" t="str">
        <f>IFERROR(__xludf.DUMMYFUNCTION("""COMPUTED_VALUE"""),"MCC046UC0526")</f>
        <v>MCC046UC0526</v>
      </c>
      <c r="C406" s="31" t="str">
        <f>IFERROR(__xludf.DUMMYFUNCTION("""COMPUTED_VALUE"""),"CANETA PINCEL ATOMICO PRETA PILOT 1100")</f>
        <v>CANETA PINCEL ATOMICO PRETA PILOT 1100</v>
      </c>
      <c r="D406" s="39">
        <f>IFERROR(__xludf.DUMMYFUNCTION("""COMPUTED_VALUE"""),3.0)</f>
        <v>3</v>
      </c>
      <c r="E406" s="34" t="str">
        <f>IFERROR(__xludf.DUMMYFUNCTION("""COMPUTED_VALUE"""),"Saída")</f>
        <v>Saída</v>
      </c>
      <c r="F406" s="34" t="str">
        <f>IFERROR(__xludf.DUMMYFUNCTION("""COMPUTED_VALUE"""),"Estoque:package:")</f>
        <v>Estoque:package:</v>
      </c>
      <c r="G406" s="39">
        <f t="array" ref="G406">XLOOKUP(B406,'Página9'!A:A,'Página9'!F:F,"")</f>
        <v>1</v>
      </c>
      <c r="H406" s="39">
        <f t="array" ref="H406">XLOOKUP(B406,'Página9'!A:A,'Página9'!C:C,"")</f>
        <v>3</v>
      </c>
      <c r="I406" s="35" t="str">
        <f t="array" ref="I406">XLOOKUP(B406,'Página9'!A:A,'Página9'!G:G,"")</f>
        <v>REPOR ESTOQUE</v>
      </c>
      <c r="J406" s="25" t="str">
        <f t="shared" si="1"/>
        <v>ESTOQUE</v>
      </c>
      <c r="K406" s="25" t="str">
        <f>IFERROR(__xludf.DUMMYFUNCTION("""COMPUTED_VALUE"""),"Suellen Aguiar Da Silva")</f>
        <v>Suellen Aguiar Da Silva</v>
      </c>
    </row>
    <row r="407">
      <c r="A407" s="37">
        <f>IFERROR(__xludf.DUMMYFUNCTION("""COMPUTED_VALUE"""),45968.55248842593)</f>
        <v>45968.55249</v>
      </c>
      <c r="B407" s="42" t="str">
        <f>IFERROR(__xludf.DUMMYFUNCTION("""COMPUTED_VALUE"""),"MCC049UC0288")</f>
        <v>MCC049UC0288</v>
      </c>
      <c r="C407" s="31" t="str">
        <f>IFERROR(__xludf.DUMMYFUNCTION("""COMPUTED_VALUE"""),"FITILHO POLIPROPILENO P/EMBALAGEM")</f>
        <v>FITILHO POLIPROPILENO P/EMBALAGEM</v>
      </c>
      <c r="D407" s="39">
        <f>IFERROR(__xludf.DUMMYFUNCTION("""COMPUTED_VALUE"""),1.0)</f>
        <v>1</v>
      </c>
      <c r="E407" s="34" t="str">
        <f>IFERROR(__xludf.DUMMYFUNCTION("""COMPUTED_VALUE"""),"Saída")</f>
        <v>Saída</v>
      </c>
      <c r="F407" s="34" t="str">
        <f>IFERROR(__xludf.DUMMYFUNCTION("""COMPUTED_VALUE"""),"Recebimento:truck:")</f>
        <v>Recebimento:truck:</v>
      </c>
      <c r="G407" s="39">
        <f t="array" ref="G407">XLOOKUP(B407,'Página9'!A:A,'Página9'!F:F,"")</f>
        <v>-24</v>
      </c>
      <c r="H407" s="39">
        <f t="array" ref="H407">XLOOKUP(B407,'Página9'!A:A,'Página9'!C:C,"")</f>
        <v>2</v>
      </c>
      <c r="I407" s="35" t="str">
        <f t="array" ref="I407">XLOOKUP(B407,'Página9'!A:A,'Página9'!G:G,"")</f>
        <v>REPOR ESTOQUE</v>
      </c>
      <c r="J407" s="25" t="str">
        <f t="shared" si="1"/>
        <v>RECEBIMENTO</v>
      </c>
      <c r="K407" s="25" t="str">
        <f>IFERROR(__xludf.DUMMYFUNCTION("""COMPUTED_VALUE"""),"Rejane Fontes De Sousa")</f>
        <v>Rejane Fontes De Sousa</v>
      </c>
    </row>
    <row r="408">
      <c r="A408" s="37">
        <f>IFERROR(__xludf.DUMMYFUNCTION("""COMPUTED_VALUE"""),45968.55546296296)</f>
        <v>45968.55546</v>
      </c>
      <c r="B408" s="42" t="str">
        <f>IFERROR(__xludf.DUMMYFUNCTION("""COMPUTED_VALUE"""),"MCC015UC0045")</f>
        <v>MCC015UC0045</v>
      </c>
      <c r="C408" s="31" t="str">
        <f>IFERROR(__xludf.DUMMYFUNCTION("""COMPUTED_VALUE"""),"FITA ADESIVA 69MM X 100M")</f>
        <v>FITA ADESIVA 69MM X 100M</v>
      </c>
      <c r="D408" s="39">
        <f>IFERROR(__xludf.DUMMYFUNCTION("""COMPUTED_VALUE"""),3.0)</f>
        <v>3</v>
      </c>
      <c r="E408" s="34" t="str">
        <f>IFERROR(__xludf.DUMMYFUNCTION("""COMPUTED_VALUE"""),"Saída")</f>
        <v>Saída</v>
      </c>
      <c r="F408" s="34" t="str">
        <f>IFERROR(__xludf.DUMMYFUNCTION("""COMPUTED_VALUE"""),"Recebimento:truck:")</f>
        <v>Recebimento:truck:</v>
      </c>
      <c r="G408" s="39">
        <f t="array" ref="G408">XLOOKUP(B408,'Página9'!A:A,'Página9'!F:F,"")</f>
        <v>287</v>
      </c>
      <c r="H408" s="39">
        <f t="array" ref="H408">XLOOKUP(B408,'Página9'!A:A,'Página9'!C:C,"")</f>
        <v>20</v>
      </c>
      <c r="I408" s="35" t="str">
        <f t="array" ref="I408">XLOOKUP(B408,'Página9'!A:A,'Página9'!G:G,"")</f>
        <v>OK</v>
      </c>
      <c r="J408" s="25" t="str">
        <f t="shared" si="1"/>
        <v>RECEBIMENTO</v>
      </c>
      <c r="K408" s="25" t="str">
        <f>IFERROR(__xludf.DUMMYFUNCTION("""COMPUTED_VALUE"""),"Matheus De Almeida Rodrigues")</f>
        <v>Matheus De Almeida Rodrigues</v>
      </c>
    </row>
    <row r="409">
      <c r="A409" s="37">
        <f>IFERROR(__xludf.DUMMYFUNCTION("""COMPUTED_VALUE"""),45968.57099537037)</f>
        <v>45968.571</v>
      </c>
      <c r="B409" s="42" t="str">
        <f>IFERROR(__xludf.DUMMYFUNCTION("""COMPUTED_VALUE"""),"MCC046UC0695")</f>
        <v>MCC046UC0695</v>
      </c>
      <c r="C409" s="31" t="str">
        <f>IFERROR(__xludf.DUMMYFUNCTION("""COMPUTED_VALUE"""),"ETIQUETA COUCHE 98X50X1")</f>
        <v>ETIQUETA COUCHE 98X50X1</v>
      </c>
      <c r="D409" s="39">
        <f>IFERROR(__xludf.DUMMYFUNCTION("""COMPUTED_VALUE"""),5.0)</f>
        <v>5</v>
      </c>
      <c r="E409" s="34" t="str">
        <f>IFERROR(__xludf.DUMMYFUNCTION("""COMPUTED_VALUE"""),"Saída")</f>
        <v>Saída</v>
      </c>
      <c r="F409" s="34" t="str">
        <f>IFERROR(__xludf.DUMMYFUNCTION("""COMPUTED_VALUE"""),"Expedição:ex-escolas-exponenciais:")</f>
        <v>Expedição:ex-escolas-exponenciais:</v>
      </c>
      <c r="G409" s="39">
        <f t="array" ref="G409">XLOOKUP(B409,'Página9'!A:A,'Página9'!F:F,"")</f>
        <v>256</v>
      </c>
      <c r="H409" s="39">
        <f t="array" ref="H409">XLOOKUP(B409,'Página9'!A:A,'Página9'!C:C,"")</f>
        <v>20</v>
      </c>
      <c r="I409" s="35" t="str">
        <f t="array" ref="I409">XLOOKUP(B409,'Página9'!A:A,'Página9'!G:G,"")</f>
        <v>OK</v>
      </c>
      <c r="J409" s="25" t="str">
        <f t="shared" si="1"/>
        <v>EXPEDIÇÃO</v>
      </c>
      <c r="K409" s="25" t="str">
        <f>IFERROR(__xludf.DUMMYFUNCTION("""COMPUTED_VALUE"""),"Paulo Henrique Chagas De Oliveira")</f>
        <v>Paulo Henrique Chagas De Oliveira</v>
      </c>
    </row>
    <row r="410">
      <c r="A410" s="37">
        <f>IFERROR(__xludf.DUMMYFUNCTION("""COMPUTED_VALUE"""),45968.627858796295)</f>
        <v>45968.62786</v>
      </c>
      <c r="B410" s="42" t="str">
        <f>IFERROR(__xludf.DUMMYFUNCTION("""COMPUTED_VALUE"""),"MCC015UC0008")</f>
        <v>MCC015UC0008</v>
      </c>
      <c r="C410" s="31" t="str">
        <f>IFERROR(__xludf.DUMMYFUNCTION("""COMPUTED_VALUE"""),"FILME STRETCH 500X25")</f>
        <v>FILME STRETCH 500X25</v>
      </c>
      <c r="D410" s="39">
        <f>IFERROR(__xludf.DUMMYFUNCTION("""COMPUTED_VALUE"""),50.0)</f>
        <v>50</v>
      </c>
      <c r="E410" s="34" t="str">
        <f>IFERROR(__xludf.DUMMYFUNCTION("""COMPUTED_VALUE"""),"Saída")</f>
        <v>Saída</v>
      </c>
      <c r="F410" s="34" t="str">
        <f>IFERROR(__xludf.DUMMYFUNCTION("""COMPUTED_VALUE"""),"Expedição:ex-escolas-exponenciais:")</f>
        <v>Expedição:ex-escolas-exponenciais:</v>
      </c>
      <c r="G410" s="39">
        <f t="array" ref="G410">XLOOKUP(B410,'Página9'!A:A,'Página9'!F:F,"")</f>
        <v>-158</v>
      </c>
      <c r="H410" s="39">
        <f t="array" ref="H410">XLOOKUP(B410,'Página9'!A:A,'Página9'!C:C,"")</f>
        <v>40</v>
      </c>
      <c r="I410" s="35" t="str">
        <f t="array" ref="I410">XLOOKUP(B410,'Página9'!A:A,'Página9'!G:G,"")</f>
        <v>REPOR ESTOQUE</v>
      </c>
      <c r="J410" s="25" t="str">
        <f t="shared" si="1"/>
        <v>EXPEDIÇÃO</v>
      </c>
      <c r="K410" s="25" t="str">
        <f>IFERROR(__xludf.DUMMYFUNCTION("""COMPUTED_VALUE"""),"Allison Breno Da Costa Borges Soares")</f>
        <v>Allison Breno Da Costa Borges Soares</v>
      </c>
    </row>
    <row r="411">
      <c r="A411" s="37">
        <f>IFERROR(__xludf.DUMMYFUNCTION("""COMPUTED_VALUE"""),45968.628287037034)</f>
        <v>45968.62829</v>
      </c>
      <c r="B411" s="42" t="str">
        <f>IFERROR(__xludf.DUMMYFUNCTION("""COMPUTED_VALUE"""),"MCC015UC0038")</f>
        <v>MCC015UC0038</v>
      </c>
      <c r="C411" s="31" t="str">
        <f>IFERROR(__xludf.DUMMYFUNCTION("""COMPUTED_VALUE"""),"BOBINA SHRINK 500MM")</f>
        <v>BOBINA SHRINK 500MM</v>
      </c>
      <c r="D411" s="39">
        <f>IFERROR(__xludf.DUMMYFUNCTION("""COMPUTED_VALUE"""),1.0)</f>
        <v>1</v>
      </c>
      <c r="E411" s="34" t="str">
        <f>IFERROR(__xludf.DUMMYFUNCTION("""COMPUTED_VALUE"""),"Saída")</f>
        <v>Saída</v>
      </c>
      <c r="F411" s="34" t="str">
        <f>IFERROR(__xludf.DUMMYFUNCTION("""COMPUTED_VALUE"""),"Expedição:ex-escolas-exponenciais:")</f>
        <v>Expedição:ex-escolas-exponenciais:</v>
      </c>
      <c r="G411" s="39">
        <f t="array" ref="G411">XLOOKUP(B411,'Página9'!A:A,'Página9'!F:F,"")</f>
        <v>13</v>
      </c>
      <c r="H411" s="39">
        <f t="array" ref="H411">XLOOKUP(B411,'Página9'!A:A,'Página9'!C:C,"")</f>
        <v>3</v>
      </c>
      <c r="I411" s="35" t="str">
        <f t="array" ref="I411">XLOOKUP(B411,'Página9'!A:A,'Página9'!G:G,"")</f>
        <v>OK</v>
      </c>
      <c r="J411" s="25" t="str">
        <f t="shared" si="1"/>
        <v>EXPEDIÇÃO</v>
      </c>
      <c r="K411" s="25" t="str">
        <f>IFERROR(__xludf.DUMMYFUNCTION("""COMPUTED_VALUE"""),"Diego Araujo Dias")</f>
        <v>Diego Araujo Dias</v>
      </c>
    </row>
    <row r="412">
      <c r="A412" s="37">
        <f>IFERROR(__xludf.DUMMYFUNCTION("""COMPUTED_VALUE"""),45968.70196759259)</f>
        <v>45968.70197</v>
      </c>
      <c r="B412" s="42" t="str">
        <f>IFERROR(__xludf.DUMMYFUNCTION("""COMPUTED_VALUE"""),"MCC049UC0604")</f>
        <v>MCC049UC0604</v>
      </c>
      <c r="C412" s="31" t="str">
        <f>IFERROR(__xludf.DUMMYFUNCTION("""COMPUTED_VALUE"""),"FITA DE DEMARCAÇÃO AMARELA")</f>
        <v>FITA DE DEMARCAÇÃO AMARELA</v>
      </c>
      <c r="D412" s="39">
        <f>IFERROR(__xludf.DUMMYFUNCTION("""COMPUTED_VALUE"""),2.0)</f>
        <v>2</v>
      </c>
      <c r="E412" s="34" t="str">
        <f>IFERROR(__xludf.DUMMYFUNCTION("""COMPUTED_VALUE"""),"Saída")</f>
        <v>Saída</v>
      </c>
      <c r="F412" s="34" t="str">
        <f>IFERROR(__xludf.DUMMYFUNCTION("""COMPUTED_VALUE"""),"Expedição:ex-escolas-exponenciais:")</f>
        <v>Expedição:ex-escolas-exponenciais:</v>
      </c>
      <c r="G412" s="39">
        <f t="array" ref="G412">XLOOKUP(B412,'Página9'!A:A,'Página9'!F:F,"")</f>
        <v>-12</v>
      </c>
      <c r="H412" s="39">
        <f t="array" ref="H412">XLOOKUP(B412,'Página9'!A:A,'Página9'!C:C,"")</f>
        <v>3</v>
      </c>
      <c r="I412" s="35" t="str">
        <f t="array" ref="I412">XLOOKUP(B412,'Página9'!A:A,'Página9'!G:G,"")</f>
        <v>REPOR ESTOQUE</v>
      </c>
      <c r="J412" s="25" t="str">
        <f t="shared" si="1"/>
        <v>EXPEDIÇÃO</v>
      </c>
      <c r="K412" s="25" t="str">
        <f>IFERROR(__xludf.DUMMYFUNCTION("""COMPUTED_VALUE"""),"Philipe Araujo Barroso")</f>
        <v>Philipe Araujo Barroso</v>
      </c>
    </row>
    <row r="413">
      <c r="A413" s="37">
        <f>IFERROR(__xludf.DUMMYFUNCTION("""COMPUTED_VALUE"""),45968.7969212963)</f>
        <v>45968.79692</v>
      </c>
      <c r="B413" s="42" t="str">
        <f>IFERROR(__xludf.DUMMYFUNCTION("""COMPUTED_VALUE"""),"MCC046UC0549")</f>
        <v>MCC046UC0549</v>
      </c>
      <c r="C413" s="31" t="str">
        <f>IFERROR(__xludf.DUMMYFUNCTION("""COMPUTED_VALUE"""),"PRANCHETA OFICIO MDF PRENDEDOR METAL ACRIMET 105")</f>
        <v>PRANCHETA OFICIO MDF PRENDEDOR METAL ACRIMET 105</v>
      </c>
      <c r="D413" s="39">
        <f>IFERROR(__xludf.DUMMYFUNCTION("""COMPUTED_VALUE"""),5.0)</f>
        <v>5</v>
      </c>
      <c r="E413" s="34" t="str">
        <f>IFERROR(__xludf.DUMMYFUNCTION("""COMPUTED_VALUE"""),"Saída")</f>
        <v>Saída</v>
      </c>
      <c r="F413" s="34" t="str">
        <f>IFERROR(__xludf.DUMMYFUNCTION("""COMPUTED_VALUE"""),"Expedição:ex-escolas-exponenciais:")</f>
        <v>Expedição:ex-escolas-exponenciais:</v>
      </c>
      <c r="G413" s="39">
        <f t="array" ref="G413">XLOOKUP(B413,'Página9'!A:A,'Página9'!F:F,"")</f>
        <v>-2</v>
      </c>
      <c r="H413" s="39">
        <f t="array" ref="H413">XLOOKUP(B413,'Página9'!A:A,'Página9'!C:C,"")</f>
        <v>5</v>
      </c>
      <c r="I413" s="35" t="str">
        <f t="array" ref="I413">XLOOKUP(B413,'Página9'!A:A,'Página9'!G:G,"")</f>
        <v>REPOR ESTOQUE</v>
      </c>
      <c r="J413" s="25" t="str">
        <f t="shared" si="1"/>
        <v>EXPEDIÇÃO</v>
      </c>
      <c r="K413" s="25" t="str">
        <f>IFERROR(__xludf.DUMMYFUNCTION("""COMPUTED_VALUE"""),"Rejane Fontes De Sousa")</f>
        <v>Rejane Fontes De Sousa</v>
      </c>
    </row>
    <row r="414">
      <c r="A414" s="37">
        <f>IFERROR(__xludf.DUMMYFUNCTION("""COMPUTED_VALUE"""),45969.49162037037)</f>
        <v>45969.49162</v>
      </c>
      <c r="B414" s="42" t="str">
        <f>IFERROR(__xludf.DUMMYFUNCTION("""COMPUTED_VALUE"""),"MCC046UC0596")</f>
        <v>MCC046UC0596</v>
      </c>
      <c r="C414" s="31" t="str">
        <f>IFERROR(__xludf.DUMMYFUNCTION("""COMPUTED_VALUE"""),"ETIQUETA ADESIVA COUCHE BRANCA   - 105X150MM SAS")</f>
        <v>ETIQUETA ADESIVA COUCHE BRANCA   - 105X150MM SAS</v>
      </c>
      <c r="D414" s="39">
        <f>IFERROR(__xludf.DUMMYFUNCTION("""COMPUTED_VALUE"""),8.0)</f>
        <v>8</v>
      </c>
      <c r="E414" s="34" t="str">
        <f>IFERROR(__xludf.DUMMYFUNCTION("""COMPUTED_VALUE"""),"Saída")</f>
        <v>Saída</v>
      </c>
      <c r="F414" s="34" t="str">
        <f>IFERROR(__xludf.DUMMYFUNCTION("""COMPUTED_VALUE"""),"Expedição:ex-escolas-exponenciais:")</f>
        <v>Expedição:ex-escolas-exponenciais:</v>
      </c>
      <c r="G414" s="39">
        <f t="array" ref="G414">XLOOKUP(B414,'Página9'!A:A,'Página9'!F:F,"")</f>
        <v>157</v>
      </c>
      <c r="H414" s="39">
        <f t="array" ref="H414">XLOOKUP(B414,'Página9'!A:A,'Página9'!C:C,"")</f>
        <v>20</v>
      </c>
      <c r="I414" s="35" t="str">
        <f t="array" ref="I414">XLOOKUP(B414,'Página9'!A:A,'Página9'!G:G,"")</f>
        <v>OK</v>
      </c>
      <c r="J414" s="25" t="str">
        <f t="shared" si="1"/>
        <v>EXPEDIÇÃO</v>
      </c>
      <c r="K414" s="25" t="str">
        <f>IFERROR(__xludf.DUMMYFUNCTION("""COMPUTED_VALUE"""),"Silvana Da Silva Pereira")</f>
        <v>Silvana Da Silva Pereira</v>
      </c>
    </row>
    <row r="415">
      <c r="A415" s="37">
        <f>IFERROR(__xludf.DUMMYFUNCTION("""COMPUTED_VALUE"""),45969.50546296296)</f>
        <v>45969.50546</v>
      </c>
      <c r="B415" s="42" t="str">
        <f>IFERROR(__xludf.DUMMYFUNCTION("""COMPUTED_VALUE"""),"MCC046UC0687")</f>
        <v>MCC046UC0687</v>
      </c>
      <c r="C415" s="31" t="str">
        <f>IFERROR(__xludf.DUMMYFUNCTION("""COMPUTED_VALUE"""),"ETIQUETA COUCHE - 100X100X 1")</f>
        <v>ETIQUETA COUCHE - 100X100X 1</v>
      </c>
      <c r="D415" s="39">
        <f>IFERROR(__xludf.DUMMYFUNCTION("""COMPUTED_VALUE"""),8.0)</f>
        <v>8</v>
      </c>
      <c r="E415" s="34" t="str">
        <f>IFERROR(__xludf.DUMMYFUNCTION("""COMPUTED_VALUE"""),"Saída")</f>
        <v>Saída</v>
      </c>
      <c r="F415" s="34" t="str">
        <f>IFERROR(__xludf.DUMMYFUNCTION("""COMPUTED_VALUE"""),"Recebimento:truck:")</f>
        <v>Recebimento:truck:</v>
      </c>
      <c r="G415" s="39">
        <f t="array" ref="G415">XLOOKUP(B415,'Página9'!A:A,'Página9'!F:F,"")</f>
        <v>335</v>
      </c>
      <c r="H415" s="39">
        <f t="array" ref="H415">XLOOKUP(B415,'Página9'!A:A,'Página9'!C:C,"")</f>
        <v>20</v>
      </c>
      <c r="I415" s="35" t="str">
        <f t="array" ref="I415">XLOOKUP(B415,'Página9'!A:A,'Página9'!G:G,"")</f>
        <v>OK</v>
      </c>
      <c r="J415" s="25" t="str">
        <f t="shared" si="1"/>
        <v>RECEBIMENTO</v>
      </c>
      <c r="K415" s="25" t="str">
        <f>IFERROR(__xludf.DUMMYFUNCTION("""COMPUTED_VALUE"""),"Silvana Da Silva Pereira")</f>
        <v>Silvana Da Silva Pereira</v>
      </c>
    </row>
    <row r="416">
      <c r="A416" s="37">
        <f>IFERROR(__xludf.DUMMYFUNCTION("""COMPUTED_VALUE"""),45969.52751157407)</f>
        <v>45969.52751</v>
      </c>
      <c r="B416" s="42" t="str">
        <f>IFERROR(__xludf.DUMMYFUNCTION("""COMPUTED_VALUE"""),"MCC015UC0008")</f>
        <v>MCC015UC0008</v>
      </c>
      <c r="C416" s="31" t="str">
        <f>IFERROR(__xludf.DUMMYFUNCTION("""COMPUTED_VALUE"""),"FILME STRETCH 500X25")</f>
        <v>FILME STRETCH 500X25</v>
      </c>
      <c r="D416" s="39">
        <f>IFERROR(__xludf.DUMMYFUNCTION("""COMPUTED_VALUE"""),10.0)</f>
        <v>10</v>
      </c>
      <c r="E416" s="34" t="str">
        <f>IFERROR(__xludf.DUMMYFUNCTION("""COMPUTED_VALUE"""),"Saída")</f>
        <v>Saída</v>
      </c>
      <c r="F416" s="34" t="str">
        <f>IFERROR(__xludf.DUMMYFUNCTION("""COMPUTED_VALUE"""),"Recebimento:truck:")</f>
        <v>Recebimento:truck:</v>
      </c>
      <c r="G416" s="39">
        <f t="array" ref="G416">XLOOKUP(B416,'Página9'!A:A,'Página9'!F:F,"")</f>
        <v>-158</v>
      </c>
      <c r="H416" s="39">
        <f t="array" ref="H416">XLOOKUP(B416,'Página9'!A:A,'Página9'!C:C,"")</f>
        <v>40</v>
      </c>
      <c r="I416" s="35" t="str">
        <f t="array" ref="I416">XLOOKUP(B416,'Página9'!A:A,'Página9'!G:G,"")</f>
        <v>REPOR ESTOQUE</v>
      </c>
      <c r="J416" s="25" t="str">
        <f t="shared" si="1"/>
        <v>RECEBIMENTO</v>
      </c>
      <c r="K416" s="25" t="str">
        <f>IFERROR(__xludf.DUMMYFUNCTION("""COMPUTED_VALUE"""),"Gabriel De Sousa Freitas")</f>
        <v>Gabriel De Sousa Freitas</v>
      </c>
    </row>
    <row r="417">
      <c r="A417" s="37">
        <f>IFERROR(__xludf.DUMMYFUNCTION("""COMPUTED_VALUE"""),45969.591203703705)</f>
        <v>45969.5912</v>
      </c>
      <c r="B417" s="42" t="str">
        <f>IFERROR(__xludf.DUMMYFUNCTION("""COMPUTED_VALUE"""),"MCC015UC0045")</f>
        <v>MCC015UC0045</v>
      </c>
      <c r="C417" s="31" t="str">
        <f>IFERROR(__xludf.DUMMYFUNCTION("""COMPUTED_VALUE"""),"FITA ADESIVA 69MM X 100M")</f>
        <v>FITA ADESIVA 69MM X 100M</v>
      </c>
      <c r="D417" s="39">
        <f>IFERROR(__xludf.DUMMYFUNCTION("""COMPUTED_VALUE"""),1.0)</f>
        <v>1</v>
      </c>
      <c r="E417" s="34" t="str">
        <f>IFERROR(__xludf.DUMMYFUNCTION("""COMPUTED_VALUE"""),"Saída")</f>
        <v>Saída</v>
      </c>
      <c r="F417" s="34" t="str">
        <f>IFERROR(__xludf.DUMMYFUNCTION("""COMPUTED_VALUE"""),"Recebimento:truck:")</f>
        <v>Recebimento:truck:</v>
      </c>
      <c r="G417" s="39">
        <f t="array" ref="G417">XLOOKUP(B417,'Página9'!A:A,'Página9'!F:F,"")</f>
        <v>287</v>
      </c>
      <c r="H417" s="39">
        <f t="array" ref="H417">XLOOKUP(B417,'Página9'!A:A,'Página9'!C:C,"")</f>
        <v>20</v>
      </c>
      <c r="I417" s="35" t="str">
        <f t="array" ref="I417">XLOOKUP(B417,'Página9'!A:A,'Página9'!G:G,"")</f>
        <v>OK</v>
      </c>
      <c r="J417" s="25" t="str">
        <f t="shared" si="1"/>
        <v>RECEBIMENTO</v>
      </c>
      <c r="K417" s="25" t="str">
        <f>IFERROR(__xludf.DUMMYFUNCTION("""COMPUTED_VALUE"""),"Francisco Samuel Trindade Nascimento")</f>
        <v>Francisco Samuel Trindade Nascimento</v>
      </c>
    </row>
    <row r="418">
      <c r="A418" s="37">
        <f>IFERROR(__xludf.DUMMYFUNCTION("""COMPUTED_VALUE"""),45971.508877314816)</f>
        <v>45971.50888</v>
      </c>
      <c r="B418" s="42" t="str">
        <f>IFERROR(__xludf.DUMMYFUNCTION("""COMPUTED_VALUE"""),"MCC015UC0008")</f>
        <v>MCC015UC0008</v>
      </c>
      <c r="C418" s="31" t="str">
        <f>IFERROR(__xludf.DUMMYFUNCTION("""COMPUTED_VALUE"""),"FILME STRETCH 500X25")</f>
        <v>FILME STRETCH 500X25</v>
      </c>
      <c r="D418" s="39">
        <f>IFERROR(__xludf.DUMMYFUNCTION("""COMPUTED_VALUE"""),6.0)</f>
        <v>6</v>
      </c>
      <c r="E418" s="34" t="str">
        <f>IFERROR(__xludf.DUMMYFUNCTION("""COMPUTED_VALUE"""),"Saída")</f>
        <v>Saída</v>
      </c>
      <c r="F418" s="34" t="str">
        <f>IFERROR(__xludf.DUMMYFUNCTION("""COMPUTED_VALUE"""),"Expedição:ex-escolas-exponenciais:")</f>
        <v>Expedição:ex-escolas-exponenciais:</v>
      </c>
      <c r="G418" s="39">
        <f t="array" ref="G418">XLOOKUP(B418,'Página9'!A:A,'Página9'!F:F,"")</f>
        <v>-158</v>
      </c>
      <c r="H418" s="39">
        <f t="array" ref="H418">XLOOKUP(B418,'Página9'!A:A,'Página9'!C:C,"")</f>
        <v>40</v>
      </c>
      <c r="I418" s="35" t="str">
        <f t="array" ref="I418">XLOOKUP(B418,'Página9'!A:A,'Página9'!G:G,"")</f>
        <v>REPOR ESTOQUE</v>
      </c>
      <c r="J418" s="25" t="str">
        <f t="shared" si="1"/>
        <v>EXPEDIÇÃO</v>
      </c>
      <c r="K418" s="25" t="str">
        <f>IFERROR(__xludf.DUMMYFUNCTION("""COMPUTED_VALUE"""),"Jackson Alves Sales")</f>
        <v>Jackson Alves Sales</v>
      </c>
    </row>
    <row r="419">
      <c r="A419" s="37">
        <f>IFERROR(__xludf.DUMMYFUNCTION("""COMPUTED_VALUE"""),45971.707280092596)</f>
        <v>45971.70728</v>
      </c>
      <c r="B419" s="42" t="str">
        <f>IFERROR(__xludf.DUMMYFUNCTION("""COMPUTED_VALUE"""),"MCC015UC0038")</f>
        <v>MCC015UC0038</v>
      </c>
      <c r="C419" s="31" t="str">
        <f>IFERROR(__xludf.DUMMYFUNCTION("""COMPUTED_VALUE"""),"BOBINA SHRINK 500MM")</f>
        <v>BOBINA SHRINK 500MM</v>
      </c>
      <c r="D419" s="39">
        <f>IFERROR(__xludf.DUMMYFUNCTION("""COMPUTED_VALUE"""),1.0)</f>
        <v>1</v>
      </c>
      <c r="E419" s="34" t="str">
        <f>IFERROR(__xludf.DUMMYFUNCTION("""COMPUTED_VALUE"""),"Saída")</f>
        <v>Saída</v>
      </c>
      <c r="F419" s="34" t="str">
        <f>IFERROR(__xludf.DUMMYFUNCTION("""COMPUTED_VALUE"""),"Expedição:ex-escolas-exponenciais:")</f>
        <v>Expedição:ex-escolas-exponenciais:</v>
      </c>
      <c r="G419" s="39">
        <f t="array" ref="G419">XLOOKUP(B419,'Página9'!A:A,'Página9'!F:F,"")</f>
        <v>13</v>
      </c>
      <c r="H419" s="39">
        <f t="array" ref="H419">XLOOKUP(B419,'Página9'!A:A,'Página9'!C:C,"")</f>
        <v>3</v>
      </c>
      <c r="I419" s="35" t="str">
        <f t="array" ref="I419">XLOOKUP(B419,'Página9'!A:A,'Página9'!G:G,"")</f>
        <v>OK</v>
      </c>
      <c r="J419" s="25" t="str">
        <f t="shared" si="1"/>
        <v>EXPEDIÇÃO</v>
      </c>
      <c r="K419" s="25" t="str">
        <f>IFERROR(__xludf.DUMMYFUNCTION("""COMPUTED_VALUE"""),"Paulo Henrique Chagas De Oliveira")</f>
        <v>Paulo Henrique Chagas De Oliveira</v>
      </c>
    </row>
    <row r="420">
      <c r="A420" s="37">
        <f>IFERROR(__xludf.DUMMYFUNCTION("""COMPUTED_VALUE"""),45971.719293981485)</f>
        <v>45971.71929</v>
      </c>
      <c r="B420" s="42" t="str">
        <f>IFERROR(__xludf.DUMMYFUNCTION("""COMPUTED_VALUE"""),"MCC015UC0045")</f>
        <v>MCC015UC0045</v>
      </c>
      <c r="C420" s="31" t="str">
        <f>IFERROR(__xludf.DUMMYFUNCTION("""COMPUTED_VALUE"""),"FITA ADESIVA 69MM X 100M")</f>
        <v>FITA ADESIVA 69MM X 100M</v>
      </c>
      <c r="D420" s="39">
        <f>IFERROR(__xludf.DUMMYFUNCTION("""COMPUTED_VALUE"""),25.0)</f>
        <v>25</v>
      </c>
      <c r="E420" s="34" t="str">
        <f>IFERROR(__xludf.DUMMYFUNCTION("""COMPUTED_VALUE"""),"Saída")</f>
        <v>Saída</v>
      </c>
      <c r="F420" s="34" t="str">
        <f>IFERROR(__xludf.DUMMYFUNCTION("""COMPUTED_VALUE"""),"Expedição:ex-escolas-exponenciais:")</f>
        <v>Expedição:ex-escolas-exponenciais:</v>
      </c>
      <c r="G420" s="39">
        <f t="array" ref="G420">XLOOKUP(B420,'Página9'!A:A,'Página9'!F:F,"")</f>
        <v>287</v>
      </c>
      <c r="H420" s="39">
        <f t="array" ref="H420">XLOOKUP(B420,'Página9'!A:A,'Página9'!C:C,"")</f>
        <v>20</v>
      </c>
      <c r="I420" s="35" t="str">
        <f t="array" ref="I420">XLOOKUP(B420,'Página9'!A:A,'Página9'!G:G,"")</f>
        <v>OK</v>
      </c>
      <c r="J420" s="25" t="str">
        <f t="shared" si="1"/>
        <v>EXPEDIÇÃO</v>
      </c>
      <c r="K420" s="25" t="str">
        <f>IFERROR(__xludf.DUMMYFUNCTION("""COMPUTED_VALUE"""),"Rejane Fontes De Sousa")</f>
        <v>Rejane Fontes De Sousa</v>
      </c>
    </row>
    <row r="421">
      <c r="A421" s="37">
        <f>IFERROR(__xludf.DUMMYFUNCTION("""COMPUTED_VALUE"""),45972.49630787037)</f>
        <v>45972.49631</v>
      </c>
      <c r="B421" s="42" t="str">
        <f>IFERROR(__xludf.DUMMYFUNCTION("""COMPUTED_VALUE"""),"MCC015UC0045")</f>
        <v>MCC015UC0045</v>
      </c>
      <c r="C421" s="31" t="str">
        <f>IFERROR(__xludf.DUMMYFUNCTION("""COMPUTED_VALUE"""),"FITA ADESIVA 69MM X 100M")</f>
        <v>FITA ADESIVA 69MM X 100M</v>
      </c>
      <c r="D421" s="39">
        <f>IFERROR(__xludf.DUMMYFUNCTION("""COMPUTED_VALUE"""),5.0)</f>
        <v>5</v>
      </c>
      <c r="E421" s="34" t="str">
        <f>IFERROR(__xludf.DUMMYFUNCTION("""COMPUTED_VALUE"""),"Saída")</f>
        <v>Saída</v>
      </c>
      <c r="F421" s="34" t="str">
        <f>IFERROR(__xludf.DUMMYFUNCTION("""COMPUTED_VALUE"""),"Expedição:ex-escolas-exponenciais:")</f>
        <v>Expedição:ex-escolas-exponenciais:</v>
      </c>
      <c r="G421" s="39">
        <f t="array" ref="G421">XLOOKUP(B421,'Página9'!A:A,'Página9'!F:F,"")</f>
        <v>287</v>
      </c>
      <c r="H421" s="39">
        <f t="array" ref="H421">XLOOKUP(B421,'Página9'!A:A,'Página9'!C:C,"")</f>
        <v>20</v>
      </c>
      <c r="I421" s="35" t="str">
        <f t="array" ref="I421">XLOOKUP(B421,'Página9'!A:A,'Página9'!G:G,"")</f>
        <v>OK</v>
      </c>
      <c r="J421" s="25" t="str">
        <f t="shared" si="1"/>
        <v>EXPEDIÇÃO</v>
      </c>
      <c r="K421" s="25" t="str">
        <f>IFERROR(__xludf.DUMMYFUNCTION("""COMPUTED_VALUE"""),"Pedro Lucas Matias Do Nascimento")</f>
        <v>Pedro Lucas Matias Do Nascimento</v>
      </c>
    </row>
    <row r="422">
      <c r="A422" s="37">
        <f>IFERROR(__xludf.DUMMYFUNCTION("""COMPUTED_VALUE"""),45972.509780092594)</f>
        <v>45972.50978</v>
      </c>
      <c r="B422" s="42" t="str">
        <f>IFERROR(__xludf.DUMMYFUNCTION("""COMPUTED_VALUE"""),"MCC015UC0045")</f>
        <v>MCC015UC0045</v>
      </c>
      <c r="C422" s="31" t="str">
        <f>IFERROR(__xludf.DUMMYFUNCTION("""COMPUTED_VALUE"""),"FITA ADESIVA 69MM X 100M")</f>
        <v>FITA ADESIVA 69MM X 100M</v>
      </c>
      <c r="D422" s="39">
        <f>IFERROR(__xludf.DUMMYFUNCTION("""COMPUTED_VALUE"""),3.0)</f>
        <v>3</v>
      </c>
      <c r="E422" s="34" t="str">
        <f>IFERROR(__xludf.DUMMYFUNCTION("""COMPUTED_VALUE"""),"Saída")</f>
        <v>Saída</v>
      </c>
      <c r="F422" s="34" t="str">
        <f>IFERROR(__xludf.DUMMYFUNCTION("""COMPUTED_VALUE"""),"Recebimento:truck:")</f>
        <v>Recebimento:truck:</v>
      </c>
      <c r="G422" s="39">
        <f t="array" ref="G422">XLOOKUP(B422,'Página9'!A:A,'Página9'!F:F,"")</f>
        <v>287</v>
      </c>
      <c r="H422" s="39">
        <f t="array" ref="H422">XLOOKUP(B422,'Página9'!A:A,'Página9'!C:C,"")</f>
        <v>20</v>
      </c>
      <c r="I422" s="35" t="str">
        <f t="array" ref="I422">XLOOKUP(B422,'Página9'!A:A,'Página9'!G:G,"")</f>
        <v>OK</v>
      </c>
      <c r="J422" s="25" t="str">
        <f t="shared" si="1"/>
        <v>RECEBIMENTO</v>
      </c>
      <c r="K422" s="25" t="str">
        <f>IFERROR(__xludf.DUMMYFUNCTION("""COMPUTED_VALUE"""),"Matheus De Almeida Rodrigues")</f>
        <v>Matheus De Almeida Rodrigues</v>
      </c>
    </row>
    <row r="423">
      <c r="A423" s="37">
        <f>IFERROR(__xludf.DUMMYFUNCTION("""COMPUTED_VALUE"""),45972.51866898148)</f>
        <v>45972.51867</v>
      </c>
      <c r="B423" s="42" t="str">
        <f>IFERROR(__xludf.DUMMYFUNCTION("""COMPUTED_VALUE"""),"MCC046UC0082")</f>
        <v>MCC046UC0082</v>
      </c>
      <c r="C423" s="31" t="str">
        <f>IFERROR(__xludf.DUMMYFUNCTION("""COMPUTED_VALUE"""),"PAPEL SULFITE A4 75G 500 FOLHAS")</f>
        <v>PAPEL SULFITE A4 75G 500 FOLHAS</v>
      </c>
      <c r="D423" s="39">
        <f>IFERROR(__xludf.DUMMYFUNCTION("""COMPUTED_VALUE"""),1.0)</f>
        <v>1</v>
      </c>
      <c r="E423" s="34" t="str">
        <f>IFERROR(__xludf.DUMMYFUNCTION("""COMPUTED_VALUE"""),"Saída")</f>
        <v>Saída</v>
      </c>
      <c r="F423" s="34" t="str">
        <f>IFERROR(__xludf.DUMMYFUNCTION("""COMPUTED_VALUE"""),"Estoque:package:")</f>
        <v>Estoque:package:</v>
      </c>
      <c r="G423" s="39">
        <f t="array" ref="G423">XLOOKUP(B423,'Página9'!A:A,'Página9'!F:F,"")</f>
        <v>163</v>
      </c>
      <c r="H423" s="39">
        <f t="array" ref="H423">XLOOKUP(B423,'Página9'!A:A,'Página9'!C:C,"")</f>
        <v>10</v>
      </c>
      <c r="I423" s="35" t="str">
        <f t="array" ref="I423">XLOOKUP(B423,'Página9'!A:A,'Página9'!G:G,"")</f>
        <v>OK</v>
      </c>
      <c r="J423" s="25" t="str">
        <f t="shared" si="1"/>
        <v>ESTOQUE</v>
      </c>
      <c r="K423" s="25" t="str">
        <f>IFERROR(__xludf.DUMMYFUNCTION("""COMPUTED_VALUE"""),"Suellen Aguiar Da Silva")</f>
        <v>Suellen Aguiar Da Silva</v>
      </c>
    </row>
    <row r="424">
      <c r="A424" s="37">
        <f>IFERROR(__xludf.DUMMYFUNCTION("""COMPUTED_VALUE"""),45972.53925925926)</f>
        <v>45972.53926</v>
      </c>
      <c r="B424" s="42" t="str">
        <f>IFERROR(__xludf.DUMMYFUNCTION("""COMPUTED_VALUE"""),"MCC046UC0082")</f>
        <v>MCC046UC0082</v>
      </c>
      <c r="C424" s="31" t="str">
        <f>IFERROR(__xludf.DUMMYFUNCTION("""COMPUTED_VALUE"""),"PAPEL SULFITE A4 75G 500 FOLHAS")</f>
        <v>PAPEL SULFITE A4 75G 500 FOLHAS</v>
      </c>
      <c r="D424" s="39">
        <f>IFERROR(__xludf.DUMMYFUNCTION("""COMPUTED_VALUE"""),2.0)</f>
        <v>2</v>
      </c>
      <c r="E424" s="34" t="str">
        <f>IFERROR(__xludf.DUMMYFUNCTION("""COMPUTED_VALUE"""),"Saída")</f>
        <v>Saída</v>
      </c>
      <c r="F424" s="34" t="str">
        <f>IFERROR(__xludf.DUMMYFUNCTION("""COMPUTED_VALUE"""),"PMM:livro-voador:")</f>
        <v>PMM:livro-voador:</v>
      </c>
      <c r="G424" s="39">
        <f t="array" ref="G424">XLOOKUP(B424,'Página9'!A:A,'Página9'!F:F,"")</f>
        <v>163</v>
      </c>
      <c r="H424" s="39">
        <f t="array" ref="H424">XLOOKUP(B424,'Página9'!A:A,'Página9'!C:C,"")</f>
        <v>10</v>
      </c>
      <c r="I424" s="35" t="str">
        <f t="array" ref="I424">XLOOKUP(B424,'Página9'!A:A,'Página9'!G:G,"")</f>
        <v>OK</v>
      </c>
      <c r="J424" s="25" t="str">
        <f t="shared" si="1"/>
        <v>PMM</v>
      </c>
      <c r="K424" s="25" t="str">
        <f>IFERROR(__xludf.DUMMYFUNCTION("""COMPUTED_VALUE"""),"Allison Breno Da Costa Borges Soares")</f>
        <v>Allison Breno Da Costa Borges Soares</v>
      </c>
    </row>
    <row r="425">
      <c r="A425" s="37">
        <f>IFERROR(__xludf.DUMMYFUNCTION("""COMPUTED_VALUE"""),45972.75994212963)</f>
        <v>45972.75994</v>
      </c>
      <c r="B425" s="42" t="str">
        <f>IFERROR(__xludf.DUMMYFUNCTION("""COMPUTED_VALUE"""),"MCC046UC0695")</f>
        <v>MCC046UC0695</v>
      </c>
      <c r="C425" s="31" t="str">
        <f>IFERROR(__xludf.DUMMYFUNCTION("""COMPUTED_VALUE"""),"ETIQUETA COUCHE 98X50X1")</f>
        <v>ETIQUETA COUCHE 98X50X1</v>
      </c>
      <c r="D425" s="39">
        <f>IFERROR(__xludf.DUMMYFUNCTION("""COMPUTED_VALUE"""),6.0)</f>
        <v>6</v>
      </c>
      <c r="E425" s="34" t="str">
        <f>IFERROR(__xludf.DUMMYFUNCTION("""COMPUTED_VALUE"""),"Saída")</f>
        <v>Saída</v>
      </c>
      <c r="F425" s="34" t="str">
        <f>IFERROR(__xludf.DUMMYFUNCTION("""COMPUTED_VALUE"""),"PMM:livro-voador:")</f>
        <v>PMM:livro-voador:</v>
      </c>
      <c r="G425" s="39">
        <f t="array" ref="G425">XLOOKUP(B425,'Página9'!A:A,'Página9'!F:F,"")</f>
        <v>256</v>
      </c>
      <c r="H425" s="39">
        <f t="array" ref="H425">XLOOKUP(B425,'Página9'!A:A,'Página9'!C:C,"")</f>
        <v>20</v>
      </c>
      <c r="I425" s="35" t="str">
        <f t="array" ref="I425">XLOOKUP(B425,'Página9'!A:A,'Página9'!G:G,"")</f>
        <v>OK</v>
      </c>
      <c r="J425" s="25" t="str">
        <f t="shared" si="1"/>
        <v>PMM</v>
      </c>
      <c r="K425" s="25" t="str">
        <f>IFERROR(__xludf.DUMMYFUNCTION("""COMPUTED_VALUE"""),"Paulo Henrique Chagas De Oliveira")</f>
        <v>Paulo Henrique Chagas De Oliveira</v>
      </c>
    </row>
    <row r="426">
      <c r="A426" s="37">
        <f>IFERROR(__xludf.DUMMYFUNCTION("""COMPUTED_VALUE"""),45973.48297453704)</f>
        <v>45973.48297</v>
      </c>
      <c r="B426" s="42" t="str">
        <f>IFERROR(__xludf.DUMMYFUNCTION("""COMPUTED_VALUE"""),"MCC015UC0008")</f>
        <v>MCC015UC0008</v>
      </c>
      <c r="C426" s="31" t="str">
        <f>IFERROR(__xludf.DUMMYFUNCTION("""COMPUTED_VALUE"""),"FILME STRETCH 500X25")</f>
        <v>FILME STRETCH 500X25</v>
      </c>
      <c r="D426" s="39">
        <f>IFERROR(__xludf.DUMMYFUNCTION("""COMPUTED_VALUE"""),4.0)</f>
        <v>4</v>
      </c>
      <c r="E426" s="34" t="str">
        <f>IFERROR(__xludf.DUMMYFUNCTION("""COMPUTED_VALUE"""),"Saída")</f>
        <v>Saída</v>
      </c>
      <c r="F426" s="34" t="str">
        <f>IFERROR(__xludf.DUMMYFUNCTION("""COMPUTED_VALUE"""),"Estoque:package:")</f>
        <v>Estoque:package:</v>
      </c>
      <c r="G426" s="39">
        <f t="array" ref="G426">XLOOKUP(B426,'Página9'!A:A,'Página9'!F:F,"")</f>
        <v>-158</v>
      </c>
      <c r="H426" s="39">
        <f t="array" ref="H426">XLOOKUP(B426,'Página9'!A:A,'Página9'!C:C,"")</f>
        <v>40</v>
      </c>
      <c r="I426" s="35" t="str">
        <f t="array" ref="I426">XLOOKUP(B426,'Página9'!A:A,'Página9'!G:G,"")</f>
        <v>REPOR ESTOQUE</v>
      </c>
      <c r="J426" s="25" t="str">
        <f t="shared" si="1"/>
        <v>ESTOQUE</v>
      </c>
      <c r="K426" s="25" t="str">
        <f>IFERROR(__xludf.DUMMYFUNCTION("""COMPUTED_VALUE"""),"Jackson Alves Sales")</f>
        <v>Jackson Alves Sales</v>
      </c>
    </row>
    <row r="427">
      <c r="A427" s="37">
        <f>IFERROR(__xludf.DUMMYFUNCTION("""COMPUTED_VALUE"""),45973.51047453703)</f>
        <v>45973.51047</v>
      </c>
      <c r="B427" s="42" t="str">
        <f>IFERROR(__xludf.DUMMYFUNCTION("""COMPUTED_VALUE"""),"MCC046UC0082")</f>
        <v>MCC046UC0082</v>
      </c>
      <c r="C427" s="31" t="str">
        <f>IFERROR(__xludf.DUMMYFUNCTION("""COMPUTED_VALUE"""),"PAPEL SULFITE A4 75G 500 FOLHAS")</f>
        <v>PAPEL SULFITE A4 75G 500 FOLHAS</v>
      </c>
      <c r="D427" s="39">
        <f>IFERROR(__xludf.DUMMYFUNCTION("""COMPUTED_VALUE"""),2.0)</f>
        <v>2</v>
      </c>
      <c r="E427" s="34" t="str">
        <f>IFERROR(__xludf.DUMMYFUNCTION("""COMPUTED_VALUE"""),"Saída")</f>
        <v>Saída</v>
      </c>
      <c r="F427" s="34" t="str">
        <f>IFERROR(__xludf.DUMMYFUNCTION("""COMPUTED_VALUE"""),"Recebimento:truck:")</f>
        <v>Recebimento:truck:</v>
      </c>
      <c r="G427" s="39">
        <f t="array" ref="G427">XLOOKUP(B427,'Página9'!A:A,'Página9'!F:F,"")</f>
        <v>163</v>
      </c>
      <c r="H427" s="39">
        <f t="array" ref="H427">XLOOKUP(B427,'Página9'!A:A,'Página9'!C:C,"")</f>
        <v>10</v>
      </c>
      <c r="I427" s="35" t="str">
        <f t="array" ref="I427">XLOOKUP(B427,'Página9'!A:A,'Página9'!G:G,"")</f>
        <v>OK</v>
      </c>
      <c r="J427" s="25" t="str">
        <f t="shared" si="1"/>
        <v>RECEBIMENTO</v>
      </c>
      <c r="K427" s="25" t="str">
        <f>IFERROR(__xludf.DUMMYFUNCTION("""COMPUTED_VALUE"""),"Pedro Lucas Matias Do Nascimento")</f>
        <v>Pedro Lucas Matias Do Nascimento</v>
      </c>
    </row>
    <row r="428">
      <c r="A428" s="37">
        <f>IFERROR(__xludf.DUMMYFUNCTION("""COMPUTED_VALUE"""),45973.51773148148)</f>
        <v>45973.51773</v>
      </c>
      <c r="B428" s="42" t="str">
        <f>IFERROR(__xludf.DUMMYFUNCTION("""COMPUTED_VALUE"""),"MCC015UC0008")</f>
        <v>MCC015UC0008</v>
      </c>
      <c r="C428" s="31" t="str">
        <f>IFERROR(__xludf.DUMMYFUNCTION("""COMPUTED_VALUE"""),"FILME STRETCH 500X25")</f>
        <v>FILME STRETCH 500X25</v>
      </c>
      <c r="D428" s="39">
        <f>IFERROR(__xludf.DUMMYFUNCTION("""COMPUTED_VALUE"""),10.0)</f>
        <v>10</v>
      </c>
      <c r="E428" s="34" t="str">
        <f>IFERROR(__xludf.DUMMYFUNCTION("""COMPUTED_VALUE"""),"Saída")</f>
        <v>Saída</v>
      </c>
      <c r="F428" s="34" t="str">
        <f>IFERROR(__xludf.DUMMYFUNCTION("""COMPUTED_VALUE"""),"PMM:livro-voador:")</f>
        <v>PMM:livro-voador:</v>
      </c>
      <c r="G428" s="39">
        <f t="array" ref="G428">XLOOKUP(B428,'Página9'!A:A,'Página9'!F:F,"")</f>
        <v>-158</v>
      </c>
      <c r="H428" s="39">
        <f t="array" ref="H428">XLOOKUP(B428,'Página9'!A:A,'Página9'!C:C,"")</f>
        <v>40</v>
      </c>
      <c r="I428" s="35" t="str">
        <f t="array" ref="I428">XLOOKUP(B428,'Página9'!A:A,'Página9'!G:G,"")</f>
        <v>REPOR ESTOQUE</v>
      </c>
      <c r="J428" s="25" t="str">
        <f t="shared" si="1"/>
        <v>PMM</v>
      </c>
      <c r="K428" s="25" t="str">
        <f>IFERROR(__xludf.DUMMYFUNCTION("""COMPUTED_VALUE"""),"Pedro Lucas Matias Do Nascimento")</f>
        <v>Pedro Lucas Matias Do Nascimento</v>
      </c>
    </row>
    <row r="429">
      <c r="A429" s="37">
        <f>IFERROR(__xludf.DUMMYFUNCTION("""COMPUTED_VALUE"""),45973.536770833336)</f>
        <v>45973.53677</v>
      </c>
      <c r="B429" s="42" t="str">
        <f>IFERROR(__xludf.DUMMYFUNCTION("""COMPUTED_VALUE"""),"MCC046UC0695")</f>
        <v>MCC046UC0695</v>
      </c>
      <c r="C429" s="31" t="str">
        <f>IFERROR(__xludf.DUMMYFUNCTION("""COMPUTED_VALUE"""),"ETIQUETA COUCHE 98X50X1")</f>
        <v>ETIQUETA COUCHE 98X50X1</v>
      </c>
      <c r="D429" s="39">
        <f>IFERROR(__xludf.DUMMYFUNCTION("""COMPUTED_VALUE"""),6.0)</f>
        <v>6</v>
      </c>
      <c r="E429" s="34" t="str">
        <f>IFERROR(__xludf.DUMMYFUNCTION("""COMPUTED_VALUE"""),"Saída")</f>
        <v>Saída</v>
      </c>
      <c r="F429" s="34" t="str">
        <f>IFERROR(__xludf.DUMMYFUNCTION("""COMPUTED_VALUE"""),"Estoque:package:")</f>
        <v>Estoque:package:</v>
      </c>
      <c r="G429" s="39">
        <f t="array" ref="G429">XLOOKUP(B429,'Página9'!A:A,'Página9'!F:F,"")</f>
        <v>256</v>
      </c>
      <c r="H429" s="39">
        <f t="array" ref="H429">XLOOKUP(B429,'Página9'!A:A,'Página9'!C:C,"")</f>
        <v>20</v>
      </c>
      <c r="I429" s="35" t="str">
        <f t="array" ref="I429">XLOOKUP(B429,'Página9'!A:A,'Página9'!G:G,"")</f>
        <v>OK</v>
      </c>
      <c r="J429" s="25" t="str">
        <f t="shared" si="1"/>
        <v>ESTOQUE</v>
      </c>
      <c r="K429" s="25" t="str">
        <f>IFERROR(__xludf.DUMMYFUNCTION("""COMPUTED_VALUE"""),"Paulo Henrique Chagas De Oliveira")</f>
        <v>Paulo Henrique Chagas De Oliveira</v>
      </c>
    </row>
    <row r="430">
      <c r="A430" s="37">
        <f>IFERROR(__xludf.DUMMYFUNCTION("""COMPUTED_VALUE"""),45973.53729166667)</f>
        <v>45973.53729</v>
      </c>
      <c r="B430" s="42" t="str">
        <f>IFERROR(__xludf.DUMMYFUNCTION("""COMPUTED_VALUE"""),"EMC015MO0007")</f>
        <v>EMC015MO0007</v>
      </c>
      <c r="C430" s="31" t="str">
        <f>IFERROR(__xludf.DUMMYFUNCTION("""COMPUTED_VALUE"""),"RIBBON CERA PRETO 110MMX74M")</f>
        <v>RIBBON CERA PRETO 110MMX74M</v>
      </c>
      <c r="D430" s="39">
        <f>IFERROR(__xludf.DUMMYFUNCTION("""COMPUTED_VALUE"""),5.0)</f>
        <v>5</v>
      </c>
      <c r="E430" s="34" t="str">
        <f>IFERROR(__xludf.DUMMYFUNCTION("""COMPUTED_VALUE"""),"Saída")</f>
        <v>Saída</v>
      </c>
      <c r="F430" s="34" t="str">
        <f>IFERROR(__xludf.DUMMYFUNCTION("""COMPUTED_VALUE"""),"Expedição:ex-escolas-exponenciais:")</f>
        <v>Expedição:ex-escolas-exponenciais:</v>
      </c>
      <c r="G430" s="39">
        <f t="array" ref="G430">XLOOKUP(B430,'Página9'!A:A,'Página9'!F:F,"")</f>
        <v>646</v>
      </c>
      <c r="H430" s="39">
        <f t="array" ref="H430">XLOOKUP(B430,'Página9'!A:A,'Página9'!C:C,"")</f>
        <v>5</v>
      </c>
      <c r="I430" s="35" t="str">
        <f t="array" ref="I430">XLOOKUP(B430,'Página9'!A:A,'Página9'!G:G,"")</f>
        <v>OK</v>
      </c>
      <c r="J430" s="25" t="str">
        <f t="shared" si="1"/>
        <v>EXPEDIÇÃO</v>
      </c>
      <c r="K430" s="25" t="str">
        <f>IFERROR(__xludf.DUMMYFUNCTION("""COMPUTED_VALUE"""),"Paulo Henrique Chagas De Oliveira")</f>
        <v>Paulo Henrique Chagas De Oliveira</v>
      </c>
    </row>
    <row r="431">
      <c r="A431" s="37">
        <f>IFERROR(__xludf.DUMMYFUNCTION("""COMPUTED_VALUE"""),45973.56211805555)</f>
        <v>45973.56212</v>
      </c>
      <c r="B431" s="42" t="str">
        <f>IFERROR(__xludf.DUMMYFUNCTION("""COMPUTED_VALUE"""),"MCC046UC0215")</f>
        <v>MCC046UC0215</v>
      </c>
      <c r="C431" s="31" t="str">
        <f>IFERROR(__xludf.DUMMYFUNCTION("""COMPUTED_VALUE"""),"CANETA ESFEROGRAFICA ECONOMIC AZUL BIC")</f>
        <v>CANETA ESFEROGRAFICA ECONOMIC AZUL BIC</v>
      </c>
      <c r="D431" s="39">
        <f>IFERROR(__xludf.DUMMYFUNCTION("""COMPUTED_VALUE"""),2.0)</f>
        <v>2</v>
      </c>
      <c r="E431" s="34" t="str">
        <f>IFERROR(__xludf.DUMMYFUNCTION("""COMPUTED_VALUE"""),"Saída")</f>
        <v>Saída</v>
      </c>
      <c r="F431" s="34" t="str">
        <f>IFERROR(__xludf.DUMMYFUNCTION("""COMPUTED_VALUE"""),"Expedição:ex-escolas-exponenciais:")</f>
        <v>Expedição:ex-escolas-exponenciais:</v>
      </c>
      <c r="G431" s="39">
        <f t="array" ref="G431">XLOOKUP(B431,'Página9'!A:A,'Página9'!F:F,"")</f>
        <v>-20</v>
      </c>
      <c r="H431" s="39">
        <f t="array" ref="H431">XLOOKUP(B431,'Página9'!A:A,'Página9'!C:C,"")</f>
        <v>15</v>
      </c>
      <c r="I431" s="35" t="str">
        <f t="array" ref="I431">XLOOKUP(B431,'Página9'!A:A,'Página9'!G:G,"")</f>
        <v>REPOR ESTOQUE</v>
      </c>
      <c r="J431" s="25" t="str">
        <f t="shared" si="1"/>
        <v>EXPEDIÇÃO</v>
      </c>
      <c r="K431" s="25" t="str">
        <f>IFERROR(__xludf.DUMMYFUNCTION("""COMPUTED_VALUE"""),"Jose Antoniel Silva Mesquita")</f>
        <v>Jose Antoniel Silva Mesquita</v>
      </c>
    </row>
    <row r="432">
      <c r="A432" s="37">
        <f>IFERROR(__xludf.DUMMYFUNCTION("""COMPUTED_VALUE"""),45973.56396990741)</f>
        <v>45973.56397</v>
      </c>
      <c r="B432" s="42" t="str">
        <f>IFERROR(__xludf.DUMMYFUNCTION("""COMPUTED_VALUE"""),"MCC015UC0008")</f>
        <v>MCC015UC0008</v>
      </c>
      <c r="C432" s="31" t="str">
        <f>IFERROR(__xludf.DUMMYFUNCTION("""COMPUTED_VALUE"""),"FILME STRETCH 500X25")</f>
        <v>FILME STRETCH 500X25</v>
      </c>
      <c r="D432" s="39">
        <f>IFERROR(__xludf.DUMMYFUNCTION("""COMPUTED_VALUE"""),6.0)</f>
        <v>6</v>
      </c>
      <c r="E432" s="34" t="str">
        <f>IFERROR(__xludf.DUMMYFUNCTION("""COMPUTED_VALUE"""),"Saída")</f>
        <v>Saída</v>
      </c>
      <c r="F432" s="34" t="str">
        <f>IFERROR(__xludf.DUMMYFUNCTION("""COMPUTED_VALUE"""),"Expedição:ex-escolas-exponenciais:")</f>
        <v>Expedição:ex-escolas-exponenciais:</v>
      </c>
      <c r="G432" s="39">
        <f t="array" ref="G432">XLOOKUP(B432,'Página9'!A:A,'Página9'!F:F,"")</f>
        <v>-158</v>
      </c>
      <c r="H432" s="39">
        <f t="array" ref="H432">XLOOKUP(B432,'Página9'!A:A,'Página9'!C:C,"")</f>
        <v>40</v>
      </c>
      <c r="I432" s="35" t="str">
        <f t="array" ref="I432">XLOOKUP(B432,'Página9'!A:A,'Página9'!G:G,"")</f>
        <v>REPOR ESTOQUE</v>
      </c>
      <c r="J432" s="25" t="str">
        <f t="shared" si="1"/>
        <v>EXPEDIÇÃO</v>
      </c>
      <c r="K432" s="25" t="str">
        <f>IFERROR(__xludf.DUMMYFUNCTION("""COMPUTED_VALUE"""),"Yago Rocha Fernandes")</f>
        <v>Yago Rocha Fernandes</v>
      </c>
    </row>
    <row r="433">
      <c r="A433" s="37">
        <f>IFERROR(__xludf.DUMMYFUNCTION("""COMPUTED_VALUE"""),45973.60241898148)</f>
        <v>45973.60242</v>
      </c>
      <c r="B433" s="42" t="str">
        <f>IFERROR(__xludf.DUMMYFUNCTION("""COMPUTED_VALUE"""),"MCC015UC0045")</f>
        <v>MCC015UC0045</v>
      </c>
      <c r="C433" s="31" t="str">
        <f>IFERROR(__xludf.DUMMYFUNCTION("""COMPUTED_VALUE"""),"FITA ADESIVA 69MM X 100M")</f>
        <v>FITA ADESIVA 69MM X 100M</v>
      </c>
      <c r="D433" s="39">
        <f>IFERROR(__xludf.DUMMYFUNCTION("""COMPUTED_VALUE"""),24.0)</f>
        <v>24</v>
      </c>
      <c r="E433" s="34" t="str">
        <f>IFERROR(__xludf.DUMMYFUNCTION("""COMPUTED_VALUE"""),"Saída")</f>
        <v>Saída</v>
      </c>
      <c r="F433" s="34" t="str">
        <f>IFERROR(__xludf.DUMMYFUNCTION("""COMPUTED_VALUE"""),"Recebimento:truck:")</f>
        <v>Recebimento:truck:</v>
      </c>
      <c r="G433" s="39">
        <f t="array" ref="G433">XLOOKUP(B433,'Página9'!A:A,'Página9'!F:F,"")</f>
        <v>287</v>
      </c>
      <c r="H433" s="39">
        <f t="array" ref="H433">XLOOKUP(B433,'Página9'!A:A,'Página9'!C:C,"")</f>
        <v>20</v>
      </c>
      <c r="I433" s="35" t="str">
        <f t="array" ref="I433">XLOOKUP(B433,'Página9'!A:A,'Página9'!G:G,"")</f>
        <v>OK</v>
      </c>
      <c r="J433" s="25" t="str">
        <f t="shared" si="1"/>
        <v>RECEBIMENTO</v>
      </c>
      <c r="K433" s="25" t="str">
        <f>IFERROR(__xludf.DUMMYFUNCTION("""COMPUTED_VALUE"""),"Paulo Henrique Chagas De Oliveira")</f>
        <v>Paulo Henrique Chagas De Oliveira</v>
      </c>
    </row>
    <row r="434">
      <c r="A434" s="37">
        <f>IFERROR(__xludf.DUMMYFUNCTION("""COMPUTED_VALUE"""),45973.60451388889)</f>
        <v>45973.60451</v>
      </c>
      <c r="B434" s="42" t="str">
        <f>IFERROR(__xludf.DUMMYFUNCTION("""COMPUTED_VALUE"""),"MCC015UC0045")</f>
        <v>MCC015UC0045</v>
      </c>
      <c r="C434" s="31" t="str">
        <f>IFERROR(__xludf.DUMMYFUNCTION("""COMPUTED_VALUE"""),"FITA ADESIVA 69MM X 100M")</f>
        <v>FITA ADESIVA 69MM X 100M</v>
      </c>
      <c r="D434" s="39">
        <f>IFERROR(__xludf.DUMMYFUNCTION("""COMPUTED_VALUE"""),24.0)</f>
        <v>24</v>
      </c>
      <c r="E434" s="34" t="str">
        <f>IFERROR(__xludf.DUMMYFUNCTION("""COMPUTED_VALUE"""),"Saída")</f>
        <v>Saída</v>
      </c>
      <c r="F434" s="34" t="str">
        <f>IFERROR(__xludf.DUMMYFUNCTION("""COMPUTED_VALUE"""),"PMM:livro-voador:")</f>
        <v>PMM:livro-voador:</v>
      </c>
      <c r="G434" s="39">
        <f t="array" ref="G434">XLOOKUP(B434,'Página9'!A:A,'Página9'!F:F,"")</f>
        <v>287</v>
      </c>
      <c r="H434" s="39">
        <f t="array" ref="H434">XLOOKUP(B434,'Página9'!A:A,'Página9'!C:C,"")</f>
        <v>20</v>
      </c>
      <c r="I434" s="35" t="str">
        <f t="array" ref="I434">XLOOKUP(B434,'Página9'!A:A,'Página9'!G:G,"")</f>
        <v>OK</v>
      </c>
      <c r="J434" s="25" t="str">
        <f t="shared" si="1"/>
        <v>PMM</v>
      </c>
      <c r="K434" s="25" t="str">
        <f>IFERROR(__xludf.DUMMYFUNCTION("""COMPUTED_VALUE"""),"Philipe Araujo Barroso")</f>
        <v>Philipe Araujo Barroso</v>
      </c>
    </row>
    <row r="435">
      <c r="A435" s="37">
        <f>IFERROR(__xludf.DUMMYFUNCTION("""COMPUTED_VALUE"""),45973.74875)</f>
        <v>45973.74875</v>
      </c>
      <c r="B435" s="42" t="str">
        <f>IFERROR(__xludf.DUMMYFUNCTION("""COMPUTED_VALUE"""),"MCC046UC0668")</f>
        <v>MCC046UC0668</v>
      </c>
      <c r="C435" s="31" t="str">
        <f>IFERROR(__xludf.DUMMYFUNCTION("""COMPUTED_VALUE"""),"ETIQUETA ADESIVA COUCHE CINZA 100X150X1")</f>
        <v>ETIQUETA ADESIVA COUCHE CINZA 100X150X1</v>
      </c>
      <c r="D435" s="39">
        <f>IFERROR(__xludf.DUMMYFUNCTION("""COMPUTED_VALUE"""),1.0)</f>
        <v>1</v>
      </c>
      <c r="E435" s="34" t="str">
        <f>IFERROR(__xludf.DUMMYFUNCTION("""COMPUTED_VALUE"""),"Saída")</f>
        <v>Saída</v>
      </c>
      <c r="F435" s="34" t="str">
        <f>IFERROR(__xludf.DUMMYFUNCTION("""COMPUTED_VALUE"""),"Recebimento:truck:")</f>
        <v>Recebimento:truck:</v>
      </c>
      <c r="G435" s="39">
        <f t="array" ref="G435">XLOOKUP(B435,'Página9'!A:A,'Página9'!F:F,"")</f>
        <v>104</v>
      </c>
      <c r="H435" s="39">
        <f t="array" ref="H435">XLOOKUP(B435,'Página9'!A:A,'Página9'!C:C,"")</f>
        <v>5</v>
      </c>
      <c r="I435" s="35" t="str">
        <f t="array" ref="I435">XLOOKUP(B435,'Página9'!A:A,'Página9'!G:G,"")</f>
        <v>OK</v>
      </c>
      <c r="J435" s="25" t="str">
        <f t="shared" si="1"/>
        <v>RECEBIMENTO</v>
      </c>
      <c r="K435" s="25" t="str">
        <f>IFERROR(__xludf.DUMMYFUNCTION("""COMPUTED_VALUE"""),"Paulo Henrique Chagas De Oliveira")</f>
        <v>Paulo Henrique Chagas De Oliveira</v>
      </c>
    </row>
    <row r="436">
      <c r="A436" s="37">
        <f>IFERROR(__xludf.DUMMYFUNCTION("""COMPUTED_VALUE"""),45974.443020833336)</f>
        <v>45974.44302</v>
      </c>
      <c r="B436" s="42" t="str">
        <f>IFERROR(__xludf.DUMMYFUNCTION("""COMPUTED_VALUE"""),"MCC046UC0639")</f>
        <v>MCC046UC0639</v>
      </c>
      <c r="C436" s="31" t="str">
        <f>IFERROR(__xludf.DUMMYFUNCTION("""COMPUTED_VALUE"""),"PILHA ALCALINA ELGIN PEQ.AA")</f>
        <v>PILHA ALCALINA ELGIN PEQ.AA</v>
      </c>
      <c r="D436" s="39">
        <f>IFERROR(__xludf.DUMMYFUNCTION("""COMPUTED_VALUE"""),1.0)</f>
        <v>1</v>
      </c>
      <c r="E436" s="34" t="str">
        <f>IFERROR(__xludf.DUMMYFUNCTION("""COMPUTED_VALUE"""),"Saída")</f>
        <v>Saída</v>
      </c>
      <c r="F436" s="34" t="str">
        <f>IFERROR(__xludf.DUMMYFUNCTION("""COMPUTED_VALUE"""),"Recebimento:truck:")</f>
        <v>Recebimento:truck:</v>
      </c>
      <c r="G436" s="39">
        <f t="array" ref="G436">XLOOKUP(B436,'Página9'!A:A,'Página9'!F:F,"")</f>
        <v>-5</v>
      </c>
      <c r="H436" s="39">
        <f t="array" ref="H436">XLOOKUP(B436,'Página9'!A:A,'Página9'!C:C,"")</f>
        <v>4</v>
      </c>
      <c r="I436" s="35" t="str">
        <f t="array" ref="I436">XLOOKUP(B436,'Página9'!A:A,'Página9'!G:G,"")</f>
        <v>REPOR ESTOQUE</v>
      </c>
      <c r="J436" s="25" t="str">
        <f t="shared" si="1"/>
        <v>RECEBIMENTO</v>
      </c>
      <c r="K436" s="25" t="str">
        <f>IFERROR(__xludf.DUMMYFUNCTION("""COMPUTED_VALUE"""),"Raimundo Reurison Belarmino Da Gama")</f>
        <v>Raimundo Reurison Belarmino Da Gama</v>
      </c>
    </row>
    <row r="437">
      <c r="A437" s="37">
        <f>IFERROR(__xludf.DUMMYFUNCTION("""COMPUTED_VALUE"""),45974.474490740744)</f>
        <v>45974.47449</v>
      </c>
      <c r="B437" s="42" t="str">
        <f>IFERROR(__xludf.DUMMYFUNCTION("""COMPUTED_VALUE"""),"MCC046UC0215")</f>
        <v>MCC046UC0215</v>
      </c>
      <c r="C437" s="31" t="str">
        <f>IFERROR(__xludf.DUMMYFUNCTION("""COMPUTED_VALUE"""),"CANETA ESFEROGRAFICA ECONOMIC AZUL BIC")</f>
        <v>CANETA ESFEROGRAFICA ECONOMIC AZUL BIC</v>
      </c>
      <c r="D437" s="39">
        <f>IFERROR(__xludf.DUMMYFUNCTION("""COMPUTED_VALUE"""),10.0)</f>
        <v>10</v>
      </c>
      <c r="E437" s="34" t="str">
        <f>IFERROR(__xludf.DUMMYFUNCTION("""COMPUTED_VALUE"""),"Saída")</f>
        <v>Saída</v>
      </c>
      <c r="F437" s="34" t="str">
        <f>IFERROR(__xludf.DUMMYFUNCTION("""COMPUTED_VALUE"""),"Recebimento:truck:")</f>
        <v>Recebimento:truck:</v>
      </c>
      <c r="G437" s="39">
        <f t="array" ref="G437">XLOOKUP(B437,'Página9'!A:A,'Página9'!F:F,"")</f>
        <v>-20</v>
      </c>
      <c r="H437" s="39">
        <f t="array" ref="H437">XLOOKUP(B437,'Página9'!A:A,'Página9'!C:C,"")</f>
        <v>15</v>
      </c>
      <c r="I437" s="35" t="str">
        <f t="array" ref="I437">XLOOKUP(B437,'Página9'!A:A,'Página9'!G:G,"")</f>
        <v>REPOR ESTOQUE</v>
      </c>
      <c r="J437" s="25" t="str">
        <f t="shared" si="1"/>
        <v>RECEBIMENTO</v>
      </c>
      <c r="K437" s="25" t="str">
        <f>IFERROR(__xludf.DUMMYFUNCTION("""COMPUTED_VALUE"""),"Francisco Renato Da Silva De Oliveira Junior")</f>
        <v>Francisco Renato Da Silva De Oliveira Junior</v>
      </c>
    </row>
    <row r="438">
      <c r="A438" s="37">
        <f>IFERROR(__xludf.DUMMYFUNCTION("""COMPUTED_VALUE"""),45974.48337962963)</f>
        <v>45974.48338</v>
      </c>
      <c r="B438" s="42" t="str">
        <f>IFERROR(__xludf.DUMMYFUNCTION("""COMPUTED_VALUE"""),"MCC015UC0038")</f>
        <v>MCC015UC0038</v>
      </c>
      <c r="C438" s="31" t="str">
        <f>IFERROR(__xludf.DUMMYFUNCTION("""COMPUTED_VALUE"""),"BOBINA SHRINK 500MM")</f>
        <v>BOBINA SHRINK 500MM</v>
      </c>
      <c r="D438" s="39">
        <f>IFERROR(__xludf.DUMMYFUNCTION("""COMPUTED_VALUE"""),1.0)</f>
        <v>1</v>
      </c>
      <c r="E438" s="34" t="str">
        <f>IFERROR(__xludf.DUMMYFUNCTION("""COMPUTED_VALUE"""),"Saída")</f>
        <v>Saída</v>
      </c>
      <c r="F438" s="34" t="str">
        <f>IFERROR(__xludf.DUMMYFUNCTION("""COMPUTED_VALUE"""),"Recebimento:truck:")</f>
        <v>Recebimento:truck:</v>
      </c>
      <c r="G438" s="39">
        <f t="array" ref="G438">XLOOKUP(B438,'Página9'!A:A,'Página9'!F:F,"")</f>
        <v>13</v>
      </c>
      <c r="H438" s="39">
        <f t="array" ref="H438">XLOOKUP(B438,'Página9'!A:A,'Página9'!C:C,"")</f>
        <v>3</v>
      </c>
      <c r="I438" s="35" t="str">
        <f t="array" ref="I438">XLOOKUP(B438,'Página9'!A:A,'Página9'!G:G,"")</f>
        <v>OK</v>
      </c>
      <c r="J438" s="25" t="str">
        <f t="shared" si="1"/>
        <v>RECEBIMENTO</v>
      </c>
      <c r="K438" s="25" t="str">
        <f>IFERROR(__xludf.DUMMYFUNCTION("""COMPUTED_VALUE"""),"Paulo Henrique Chagas De Oliveira")</f>
        <v>Paulo Henrique Chagas De Oliveira</v>
      </c>
    </row>
    <row r="439">
      <c r="A439" s="37">
        <f>IFERROR(__xludf.DUMMYFUNCTION("""COMPUTED_VALUE"""),45974.61620370371)</f>
        <v>45974.6162</v>
      </c>
      <c r="B439" s="42" t="str">
        <f>IFERROR(__xludf.DUMMYFUNCTION("""COMPUTED_VALUE"""),"MCC049UC0288")</f>
        <v>MCC049UC0288</v>
      </c>
      <c r="C439" s="31" t="str">
        <f>IFERROR(__xludf.DUMMYFUNCTION("""COMPUTED_VALUE"""),"FITILHO POLIPROPILENO P/EMBALAGEM")</f>
        <v>FITILHO POLIPROPILENO P/EMBALAGEM</v>
      </c>
      <c r="D439" s="39">
        <f>IFERROR(__xludf.DUMMYFUNCTION("""COMPUTED_VALUE"""),5.0)</f>
        <v>5</v>
      </c>
      <c r="E439" s="34" t="str">
        <f>IFERROR(__xludf.DUMMYFUNCTION("""COMPUTED_VALUE"""),"Saída")</f>
        <v>Saída</v>
      </c>
      <c r="F439" s="34" t="str">
        <f>IFERROR(__xludf.DUMMYFUNCTION("""COMPUTED_VALUE"""),"Expedição:ex-escolas-exponenciais:")</f>
        <v>Expedição:ex-escolas-exponenciais:</v>
      </c>
      <c r="G439" s="39">
        <f t="array" ref="G439">XLOOKUP(B439,'Página9'!A:A,'Página9'!F:F,"")</f>
        <v>-24</v>
      </c>
      <c r="H439" s="39">
        <f t="array" ref="H439">XLOOKUP(B439,'Página9'!A:A,'Página9'!C:C,"")</f>
        <v>2</v>
      </c>
      <c r="I439" s="35" t="str">
        <f t="array" ref="I439">XLOOKUP(B439,'Página9'!A:A,'Página9'!G:G,"")</f>
        <v>REPOR ESTOQUE</v>
      </c>
      <c r="J439" s="25" t="str">
        <f t="shared" si="1"/>
        <v>EXPEDIÇÃO</v>
      </c>
      <c r="K439" s="25" t="str">
        <f>IFERROR(__xludf.DUMMYFUNCTION("""COMPUTED_VALUE"""),"Rejane Fontes De Sousa")</f>
        <v>Rejane Fontes De Sousa</v>
      </c>
    </row>
    <row r="440">
      <c r="A440" s="37">
        <f>IFERROR(__xludf.DUMMYFUNCTION("""COMPUTED_VALUE"""),45974.7215162037)</f>
        <v>45974.72152</v>
      </c>
      <c r="B440" s="42" t="str">
        <f>IFERROR(__xludf.DUMMYFUNCTION("""COMPUTED_VALUE"""),"MCC046UC0210")</f>
        <v>MCC046UC0210</v>
      </c>
      <c r="C440" s="31" t="str">
        <f>IFERROR(__xludf.DUMMYFUNCTION("""COMPUTED_VALUE"""),"CALCULADORA MESA 12 DIGITOS ZT 712 ZETA")</f>
        <v>CALCULADORA MESA 12 DIGITOS ZT 712 ZETA</v>
      </c>
      <c r="D440" s="39">
        <f>IFERROR(__xludf.DUMMYFUNCTION("""COMPUTED_VALUE"""),10.0)</f>
        <v>10</v>
      </c>
      <c r="E440" s="34" t="str">
        <f>IFERROR(__xludf.DUMMYFUNCTION("""COMPUTED_VALUE"""),"Saída")</f>
        <v>Saída</v>
      </c>
      <c r="F440" s="34" t="str">
        <f>IFERROR(__xludf.DUMMYFUNCTION("""COMPUTED_VALUE"""),"Expedição:ex-escolas-exponenciais:")</f>
        <v>Expedição:ex-escolas-exponenciais:</v>
      </c>
      <c r="G440" s="39">
        <f t="array" ref="G440">XLOOKUP(B440,'Página9'!A:A,'Página9'!F:F,"")</f>
        <v>2</v>
      </c>
      <c r="H440" s="39">
        <f t="array" ref="H440">XLOOKUP(B440,'Página9'!A:A,'Página9'!C:C,"")</f>
        <v>1</v>
      </c>
      <c r="I440" s="35" t="str">
        <f t="array" ref="I440">XLOOKUP(B440,'Página9'!A:A,'Página9'!G:G,"")</f>
        <v>OK</v>
      </c>
      <c r="J440" s="25" t="str">
        <f t="shared" si="1"/>
        <v>EXPEDIÇÃO</v>
      </c>
      <c r="K440" s="25" t="str">
        <f>IFERROR(__xludf.DUMMYFUNCTION("""COMPUTED_VALUE"""),"Lisandra Marchi Da Silva")</f>
        <v>Lisandra Marchi Da Silva</v>
      </c>
    </row>
    <row r="441">
      <c r="A441" s="37">
        <f>IFERROR(__xludf.DUMMYFUNCTION("""COMPUTED_VALUE"""),45974.73303240741)</f>
        <v>45974.73303</v>
      </c>
      <c r="B441" s="42" t="str">
        <f>IFERROR(__xludf.DUMMYFUNCTION("""COMPUTED_VALUE"""),"MCC049UC0610")</f>
        <v>MCC049UC0610</v>
      </c>
      <c r="C441" s="31" t="str">
        <f>IFERROR(__xludf.DUMMYFUNCTION("""COMPUTED_VALUE"""),"GRAMPO PISTOLA ROCAMA 106/8 CX 5.000 UN")</f>
        <v>GRAMPO PISTOLA ROCAMA 106/8 CX 5.000 UN</v>
      </c>
      <c r="D441" s="39">
        <f>IFERROR(__xludf.DUMMYFUNCTION("""COMPUTED_VALUE"""),1.0)</f>
        <v>1</v>
      </c>
      <c r="E441" s="34" t="str">
        <f>IFERROR(__xludf.DUMMYFUNCTION("""COMPUTED_VALUE"""),"Saída")</f>
        <v>Saída</v>
      </c>
      <c r="F441" s="34" t="str">
        <f>IFERROR(__xludf.DUMMYFUNCTION("""COMPUTED_VALUE"""),"Estoque:package:")</f>
        <v>Estoque:package:</v>
      </c>
      <c r="G441" s="39">
        <f t="array" ref="G441">XLOOKUP(B441,'Página9'!A:A,'Página9'!F:F,"")</f>
        <v>-14</v>
      </c>
      <c r="H441" s="39">
        <f t="array" ref="H441">XLOOKUP(B441,'Página9'!A:A,'Página9'!C:C,"")</f>
        <v>1</v>
      </c>
      <c r="I441" s="35" t="str">
        <f t="array" ref="I441">XLOOKUP(B441,'Página9'!A:A,'Página9'!G:G,"")</f>
        <v>REPOR ESTOQUE</v>
      </c>
      <c r="J441" s="25" t="str">
        <f t="shared" si="1"/>
        <v>ESTOQUE</v>
      </c>
      <c r="K441" s="25" t="str">
        <f>IFERROR(__xludf.DUMMYFUNCTION("""COMPUTED_VALUE"""),"Paulo Henrique Chagas De Oliveira")</f>
        <v>Paulo Henrique Chagas De Oliveira</v>
      </c>
    </row>
    <row r="442">
      <c r="A442" s="37">
        <f>IFERROR(__xludf.DUMMYFUNCTION("""COMPUTED_VALUE"""),45974.734305555554)</f>
        <v>45974.73431</v>
      </c>
      <c r="B442" s="42" t="str">
        <f>IFERROR(__xludf.DUMMYFUNCTION("""COMPUTED_VALUE"""),"MCC049UC0603")</f>
        <v>MCC049UC0603</v>
      </c>
      <c r="C442" s="31" t="str">
        <f>IFERROR(__xludf.DUMMYFUNCTION("""COMPUTED_VALUE"""),"PLASTICO PLASTIF. A-4 220/307 C/100 UN PROLAM")</f>
        <v>PLASTICO PLASTIF. A-4 220/307 C/100 UN PROLAM</v>
      </c>
      <c r="D442" s="39">
        <f>IFERROR(__xludf.DUMMYFUNCTION("""COMPUTED_VALUE"""),1.0)</f>
        <v>1</v>
      </c>
      <c r="E442" s="34" t="str">
        <f>IFERROR(__xludf.DUMMYFUNCTION("""COMPUTED_VALUE"""),"Saída")</f>
        <v>Saída</v>
      </c>
      <c r="F442" s="34" t="str">
        <f>IFERROR(__xludf.DUMMYFUNCTION("""COMPUTED_VALUE"""),"PMM:livro-voador:")</f>
        <v>PMM:livro-voador:</v>
      </c>
      <c r="G442" s="39">
        <f t="array" ref="G442">XLOOKUP(B442,'Página9'!A:A,'Página9'!F:F,"")</f>
        <v>-504</v>
      </c>
      <c r="H442" s="39">
        <f t="array" ref="H442">XLOOKUP(B442,'Página9'!A:A,'Página9'!C:C,"")</f>
        <v>150</v>
      </c>
      <c r="I442" s="35" t="str">
        <f t="array" ref="I442">XLOOKUP(B442,'Página9'!A:A,'Página9'!G:G,"")</f>
        <v>REPOR ESTOQUE</v>
      </c>
      <c r="J442" s="25" t="str">
        <f t="shared" si="1"/>
        <v>PMM</v>
      </c>
      <c r="K442" s="25" t="str">
        <f>IFERROR(__xludf.DUMMYFUNCTION("""COMPUTED_VALUE"""),"Paulo Henrique Chagas De Oliveira")</f>
        <v>Paulo Henrique Chagas De Oliveira</v>
      </c>
    </row>
    <row r="443">
      <c r="A443" s="37">
        <f>IFERROR(__xludf.DUMMYFUNCTION("""COMPUTED_VALUE"""),45974.74428240741)</f>
        <v>45974.74428</v>
      </c>
      <c r="B443" s="42" t="str">
        <f>IFERROR(__xludf.DUMMYFUNCTION("""COMPUTED_VALUE"""),"MCC015UC0008")</f>
        <v>MCC015UC0008</v>
      </c>
      <c r="C443" s="31" t="str">
        <f>IFERROR(__xludf.DUMMYFUNCTION("""COMPUTED_VALUE"""),"FILME STRETCH 500X25")</f>
        <v>FILME STRETCH 500X25</v>
      </c>
      <c r="D443" s="39">
        <f>IFERROR(__xludf.DUMMYFUNCTION("""COMPUTED_VALUE"""),10.0)</f>
        <v>10</v>
      </c>
      <c r="E443" s="34" t="str">
        <f>IFERROR(__xludf.DUMMYFUNCTION("""COMPUTED_VALUE"""),"Saída")</f>
        <v>Saída</v>
      </c>
      <c r="F443" s="34" t="str">
        <f>IFERROR(__xludf.DUMMYFUNCTION("""COMPUTED_VALUE"""),"Recebimento:truck:")</f>
        <v>Recebimento:truck:</v>
      </c>
      <c r="G443" s="39">
        <f t="array" ref="G443">XLOOKUP(B443,'Página9'!A:A,'Página9'!F:F,"")</f>
        <v>-158</v>
      </c>
      <c r="H443" s="39">
        <f t="array" ref="H443">XLOOKUP(B443,'Página9'!A:A,'Página9'!C:C,"")</f>
        <v>40</v>
      </c>
      <c r="I443" s="35" t="str">
        <f t="array" ref="I443">XLOOKUP(B443,'Página9'!A:A,'Página9'!G:G,"")</f>
        <v>REPOR ESTOQUE</v>
      </c>
      <c r="J443" s="25" t="str">
        <f t="shared" si="1"/>
        <v>RECEBIMENTO</v>
      </c>
      <c r="K443" s="25" t="str">
        <f>IFERROR(__xludf.DUMMYFUNCTION("""COMPUTED_VALUE"""),"Jackson Alves Sales")</f>
        <v>Jackson Alves Sales</v>
      </c>
    </row>
    <row r="444">
      <c r="A444" s="37">
        <f>IFERROR(__xludf.DUMMYFUNCTION("""COMPUTED_VALUE"""),45974.84349537037)</f>
        <v>45974.8435</v>
      </c>
      <c r="B444" s="42" t="str">
        <f>IFERROR(__xludf.DUMMYFUNCTION("""COMPUTED_VALUE"""),"MCC046UC0525")</f>
        <v>MCC046UC0525</v>
      </c>
      <c r="C444" s="31" t="str">
        <f>IFERROR(__xludf.DUMMYFUNCTION("""COMPUTED_VALUE"""),"CANETA PINCEL ATOMICO AZUL PILOT 1100")</f>
        <v>CANETA PINCEL ATOMICO AZUL PILOT 1100</v>
      </c>
      <c r="D444" s="39">
        <f>IFERROR(__xludf.DUMMYFUNCTION("""COMPUTED_VALUE"""),1.0)</f>
        <v>1</v>
      </c>
      <c r="E444" s="34" t="str">
        <f>IFERROR(__xludf.DUMMYFUNCTION("""COMPUTED_VALUE"""),"Saída")</f>
        <v>Saída</v>
      </c>
      <c r="F444" s="34" t="str">
        <f>IFERROR(__xludf.DUMMYFUNCTION("""COMPUTED_VALUE"""),"CIQ :qualidade:")</f>
        <v>CIQ :qualidade:</v>
      </c>
      <c r="G444" s="39">
        <f t="array" ref="G444">XLOOKUP(B444,'Página9'!A:A,'Página9'!F:F,"")</f>
        <v>5</v>
      </c>
      <c r="H444" s="39">
        <f t="array" ref="H444">XLOOKUP(B444,'Página9'!A:A,'Página9'!C:C,"")</f>
        <v>3</v>
      </c>
      <c r="I444" s="35" t="str">
        <f t="array" ref="I444">XLOOKUP(B444,'Página9'!A:A,'Página9'!G:G,"")</f>
        <v>OK</v>
      </c>
      <c r="J444" s="25" t="str">
        <f t="shared" si="1"/>
        <v>CIQ</v>
      </c>
      <c r="K444" s="25" t="str">
        <f>IFERROR(__xludf.DUMMYFUNCTION("""COMPUTED_VALUE"""),"Jackson Alves Sales")</f>
        <v>Jackson Alves Sales</v>
      </c>
    </row>
    <row r="445">
      <c r="A445" s="37">
        <f>IFERROR(__xludf.DUMMYFUNCTION("""COMPUTED_VALUE"""),45974.84378472222)</f>
        <v>45974.84378</v>
      </c>
      <c r="B445" s="42" t="str">
        <f>IFERROR(__xludf.DUMMYFUNCTION("""COMPUTED_VALUE"""),"MCC046UC0675")</f>
        <v>MCC046UC0675</v>
      </c>
      <c r="C445" s="31" t="str">
        <f>IFERROR(__xludf.DUMMYFUNCTION("""COMPUTED_VALUE"""),"MARCADOR QUADRO BRANCO VERMELHO RECARREGAVEL")</f>
        <v>MARCADOR QUADRO BRANCO VERMELHO RECARREGAVEL</v>
      </c>
      <c r="D445" s="39">
        <f>IFERROR(__xludf.DUMMYFUNCTION("""COMPUTED_VALUE"""),1.0)</f>
        <v>1</v>
      </c>
      <c r="E445" s="34" t="str">
        <f>IFERROR(__xludf.DUMMYFUNCTION("""COMPUTED_VALUE"""),"Saída")</f>
        <v>Saída</v>
      </c>
      <c r="F445" s="34" t="str">
        <f>IFERROR(__xludf.DUMMYFUNCTION("""COMPUTED_VALUE"""),"Expedição:ex-escolas-exponenciais:")</f>
        <v>Expedição:ex-escolas-exponenciais:</v>
      </c>
      <c r="G445" s="39">
        <f t="array" ref="G445">XLOOKUP(B445,'Página9'!A:A,'Página9'!F:F,"")</f>
        <v>12</v>
      </c>
      <c r="H445" s="39">
        <f t="array" ref="H445">XLOOKUP(B445,'Página9'!A:A,'Página9'!C:C,"")</f>
        <v>3</v>
      </c>
      <c r="I445" s="35" t="str">
        <f t="array" ref="I445">XLOOKUP(B445,'Página9'!A:A,'Página9'!G:G,"")</f>
        <v>OK</v>
      </c>
      <c r="J445" s="25" t="str">
        <f t="shared" si="1"/>
        <v>EXPEDIÇÃO</v>
      </c>
      <c r="K445" s="25" t="str">
        <f>IFERROR(__xludf.DUMMYFUNCTION("""COMPUTED_VALUE"""),"Jackson Alves Sales")</f>
        <v>Jackson Alves Sales</v>
      </c>
    </row>
    <row r="446">
      <c r="A446" s="37">
        <f>IFERROR(__xludf.DUMMYFUNCTION("""COMPUTED_VALUE"""),45974.84527777778)</f>
        <v>45974.84528</v>
      </c>
      <c r="B446" s="42" t="str">
        <f>IFERROR(__xludf.DUMMYFUNCTION("""COMPUTED_VALUE"""),"MCC046UC0224")</f>
        <v>MCC046UC0224</v>
      </c>
      <c r="C446" s="31" t="str">
        <f>IFERROR(__xludf.DUMMYFUNCTION("""COMPUTED_VALUE"""),"MARCA TEXTO AMARELA BRW")</f>
        <v>MARCA TEXTO AMARELA BRW</v>
      </c>
      <c r="D446" s="39">
        <f>IFERROR(__xludf.DUMMYFUNCTION("""COMPUTED_VALUE"""),1.0)</f>
        <v>1</v>
      </c>
      <c r="E446" s="34" t="str">
        <f>IFERROR(__xludf.DUMMYFUNCTION("""COMPUTED_VALUE"""),"Saída")</f>
        <v>Saída</v>
      </c>
      <c r="F446" s="34" t="str">
        <f>IFERROR(__xludf.DUMMYFUNCTION("""COMPUTED_VALUE"""),"Expedição:ex-escolas-exponenciais:")</f>
        <v>Expedição:ex-escolas-exponenciais:</v>
      </c>
      <c r="G446" s="39">
        <f t="array" ref="G446">XLOOKUP(B446,'Página9'!A:A,'Página9'!F:F,"")</f>
        <v>21</v>
      </c>
      <c r="H446" s="39">
        <f t="array" ref="H446">XLOOKUP(B446,'Página9'!A:A,'Página9'!C:C,"")</f>
        <v>3</v>
      </c>
      <c r="I446" s="35" t="str">
        <f t="array" ref="I446">XLOOKUP(B446,'Página9'!A:A,'Página9'!G:G,"")</f>
        <v>OK</v>
      </c>
      <c r="J446" s="25" t="str">
        <f t="shared" si="1"/>
        <v>EXPEDIÇÃO</v>
      </c>
      <c r="K446" s="25" t="str">
        <f>IFERROR(__xludf.DUMMYFUNCTION("""COMPUTED_VALUE"""),"Jackson Alves Sales")</f>
        <v>Jackson Alves Sales</v>
      </c>
    </row>
    <row r="447">
      <c r="A447" s="37">
        <f>IFERROR(__xludf.DUMMYFUNCTION("""COMPUTED_VALUE"""),45975.469143518516)</f>
        <v>45975.46914</v>
      </c>
      <c r="B447" s="42" t="str">
        <f>IFERROR(__xludf.DUMMYFUNCTION("""COMPUTED_VALUE"""),"MCC046UC0638")</f>
        <v>MCC046UC0638</v>
      </c>
      <c r="C447" s="31" t="str">
        <f>IFERROR(__xludf.DUMMYFUNCTION("""COMPUTED_VALUE"""),"PILHA ALCALINA ELGIN PALITO AAA")</f>
        <v>PILHA ALCALINA ELGIN PALITO AAA</v>
      </c>
      <c r="D447" s="39">
        <f>IFERROR(__xludf.DUMMYFUNCTION("""COMPUTED_VALUE"""),-2.0)</f>
        <v>-2</v>
      </c>
      <c r="E447" s="34" t="str">
        <f>IFERROR(__xludf.DUMMYFUNCTION("""COMPUTED_VALUE"""),"Saída")</f>
        <v>Saída</v>
      </c>
      <c r="F447" s="34" t="str">
        <f>IFERROR(__xludf.DUMMYFUNCTION("""COMPUTED_VALUE"""),"Expedição:ex-escolas-exponenciais:")</f>
        <v>Expedição:ex-escolas-exponenciais:</v>
      </c>
      <c r="G447" s="39">
        <f t="array" ref="G447">XLOOKUP(B447,'Página9'!A:A,'Página9'!F:F,"")</f>
        <v>32</v>
      </c>
      <c r="H447" s="39">
        <f t="array" ref="H447">XLOOKUP(B447,'Página9'!A:A,'Página9'!C:C,"")</f>
        <v>4</v>
      </c>
      <c r="I447" s="35" t="str">
        <f t="array" ref="I447">XLOOKUP(B447,'Página9'!A:A,'Página9'!G:G,"")</f>
        <v>OK</v>
      </c>
      <c r="J447" s="25" t="str">
        <f t="shared" si="1"/>
        <v>EXPEDIÇÃO</v>
      </c>
      <c r="K447" s="25" t="str">
        <f>IFERROR(__xludf.DUMMYFUNCTION("""COMPUTED_VALUE"""),"Antonio Rafael De Maria")</f>
        <v>Antonio Rafael De Maria</v>
      </c>
    </row>
    <row r="448">
      <c r="A448" s="37">
        <f>IFERROR(__xludf.DUMMYFUNCTION("""COMPUTED_VALUE"""),45975.592199074075)</f>
        <v>45975.5922</v>
      </c>
      <c r="B448" s="42" t="str">
        <f>IFERROR(__xludf.DUMMYFUNCTION("""COMPUTED_VALUE"""),"MCC015UC0045")</f>
        <v>MCC015UC0045</v>
      </c>
      <c r="C448" s="31" t="str">
        <f>IFERROR(__xludf.DUMMYFUNCTION("""COMPUTED_VALUE"""),"FITA ADESIVA 69MM X 100M")</f>
        <v>FITA ADESIVA 69MM X 100M</v>
      </c>
      <c r="D448" s="39">
        <f>IFERROR(__xludf.DUMMYFUNCTION("""COMPUTED_VALUE"""),24.0)</f>
        <v>24</v>
      </c>
      <c r="E448" s="34" t="str">
        <f>IFERROR(__xludf.DUMMYFUNCTION("""COMPUTED_VALUE"""),"Saída")</f>
        <v>Saída</v>
      </c>
      <c r="F448" s="34" t="str">
        <f>IFERROR(__xludf.DUMMYFUNCTION("""COMPUTED_VALUE"""),"PMM:livro-voador:")</f>
        <v>PMM:livro-voador:</v>
      </c>
      <c r="G448" s="39">
        <f t="array" ref="G448">XLOOKUP(B448,'Página9'!A:A,'Página9'!F:F,"")</f>
        <v>287</v>
      </c>
      <c r="H448" s="39">
        <f t="array" ref="H448">XLOOKUP(B448,'Página9'!A:A,'Página9'!C:C,"")</f>
        <v>20</v>
      </c>
      <c r="I448" s="35" t="str">
        <f t="array" ref="I448">XLOOKUP(B448,'Página9'!A:A,'Página9'!G:G,"")</f>
        <v>OK</v>
      </c>
      <c r="J448" s="25" t="str">
        <f t="shared" si="1"/>
        <v>PMM</v>
      </c>
      <c r="K448" s="25" t="str">
        <f>IFERROR(__xludf.DUMMYFUNCTION("""COMPUTED_VALUE"""),"Rejane Fontes De Sousa")</f>
        <v>Rejane Fontes De Sousa</v>
      </c>
    </row>
    <row r="449">
      <c r="A449" s="37">
        <f>IFERROR(__xludf.DUMMYFUNCTION("""COMPUTED_VALUE"""),45975.64125)</f>
        <v>45975.64125</v>
      </c>
      <c r="B449" s="42" t="str">
        <f>IFERROR(__xludf.DUMMYFUNCTION("""COMPUTED_VALUE"""),"MCC015UC0045")</f>
        <v>MCC015UC0045</v>
      </c>
      <c r="C449" s="31" t="str">
        <f>IFERROR(__xludf.DUMMYFUNCTION("""COMPUTED_VALUE"""),"FITA ADESIVA 69MM X 100M")</f>
        <v>FITA ADESIVA 69MM X 100M</v>
      </c>
      <c r="D449" s="39">
        <f>IFERROR(__xludf.DUMMYFUNCTION("""COMPUTED_VALUE"""),4.0)</f>
        <v>4</v>
      </c>
      <c r="E449" s="34" t="str">
        <f>IFERROR(__xludf.DUMMYFUNCTION("""COMPUTED_VALUE"""),"Saída")</f>
        <v>Saída</v>
      </c>
      <c r="F449" s="34" t="str">
        <f>IFERROR(__xludf.DUMMYFUNCTION("""COMPUTED_VALUE"""),"PMM:livro-voador:")</f>
        <v>PMM:livro-voador:</v>
      </c>
      <c r="G449" s="39">
        <f t="array" ref="G449">XLOOKUP(B449,'Página9'!A:A,'Página9'!F:F,"")</f>
        <v>287</v>
      </c>
      <c r="H449" s="39">
        <f t="array" ref="H449">XLOOKUP(B449,'Página9'!A:A,'Página9'!C:C,"")</f>
        <v>20</v>
      </c>
      <c r="I449" s="35" t="str">
        <f t="array" ref="I449">XLOOKUP(B449,'Página9'!A:A,'Página9'!G:G,"")</f>
        <v>OK</v>
      </c>
      <c r="J449" s="25" t="str">
        <f t="shared" si="1"/>
        <v>PMM</v>
      </c>
      <c r="K449" s="25" t="str">
        <f>IFERROR(__xludf.DUMMYFUNCTION("""COMPUTED_VALUE"""),"Jackson Alves Sales")</f>
        <v>Jackson Alves Sales</v>
      </c>
    </row>
    <row r="450">
      <c r="A450" s="37">
        <f>IFERROR(__xludf.DUMMYFUNCTION("""COMPUTED_VALUE"""),45975.71125)</f>
        <v>45975.71125</v>
      </c>
      <c r="B450" s="42" t="str">
        <f>IFERROR(__xludf.DUMMYFUNCTION("""COMPUTED_VALUE"""),"MCC046UC0525")</f>
        <v>MCC046UC0525</v>
      </c>
      <c r="C450" s="31" t="str">
        <f>IFERROR(__xludf.DUMMYFUNCTION("""COMPUTED_VALUE"""),"CANETA PINCEL ATOMICO AZUL PILOT 1100")</f>
        <v>CANETA PINCEL ATOMICO AZUL PILOT 1100</v>
      </c>
      <c r="D450" s="39">
        <f>IFERROR(__xludf.DUMMYFUNCTION("""COMPUTED_VALUE"""),1.0)</f>
        <v>1</v>
      </c>
      <c r="E450" s="34" t="str">
        <f>IFERROR(__xludf.DUMMYFUNCTION("""COMPUTED_VALUE"""),"Saída")</f>
        <v>Saída</v>
      </c>
      <c r="F450" s="34" t="str">
        <f>IFERROR(__xludf.DUMMYFUNCTION("""COMPUTED_VALUE"""),"Expedição:ex-escolas-exponenciais:")</f>
        <v>Expedição:ex-escolas-exponenciais:</v>
      </c>
      <c r="G450" s="39">
        <f t="array" ref="G450">XLOOKUP(B450,'Página9'!A:A,'Página9'!F:F,"")</f>
        <v>5</v>
      </c>
      <c r="H450" s="39">
        <f t="array" ref="H450">XLOOKUP(B450,'Página9'!A:A,'Página9'!C:C,"")</f>
        <v>3</v>
      </c>
      <c r="I450" s="35" t="str">
        <f t="array" ref="I450">XLOOKUP(B450,'Página9'!A:A,'Página9'!G:G,"")</f>
        <v>OK</v>
      </c>
      <c r="J450" s="25" t="str">
        <f t="shared" si="1"/>
        <v>EXPEDIÇÃO</v>
      </c>
      <c r="K450" s="25" t="str">
        <f>IFERROR(__xludf.DUMMYFUNCTION("""COMPUTED_VALUE"""),"Paulo Henrique Chagas De Oliveira")</f>
        <v>Paulo Henrique Chagas De Oliveira</v>
      </c>
    </row>
    <row r="451">
      <c r="A451" s="37">
        <f>IFERROR(__xludf.DUMMYFUNCTION("""COMPUTED_VALUE"""),45975.7115162037)</f>
        <v>45975.71152</v>
      </c>
      <c r="B451" s="42" t="str">
        <f>IFERROR(__xludf.DUMMYFUNCTION("""COMPUTED_VALUE"""),"MCC046UC0526")</f>
        <v>MCC046UC0526</v>
      </c>
      <c r="C451" s="31" t="str">
        <f>IFERROR(__xludf.DUMMYFUNCTION("""COMPUTED_VALUE"""),"CANETA PINCEL ATOMICO PRETA PILOT 1100")</f>
        <v>CANETA PINCEL ATOMICO PRETA PILOT 1100</v>
      </c>
      <c r="D451" s="39">
        <f>IFERROR(__xludf.DUMMYFUNCTION("""COMPUTED_VALUE"""),1.0)</f>
        <v>1</v>
      </c>
      <c r="E451" s="34" t="str">
        <f>IFERROR(__xludf.DUMMYFUNCTION("""COMPUTED_VALUE"""),"Saída")</f>
        <v>Saída</v>
      </c>
      <c r="F451" s="34" t="str">
        <f>IFERROR(__xludf.DUMMYFUNCTION("""COMPUTED_VALUE"""),"Expedição:ex-escolas-exponenciais:")</f>
        <v>Expedição:ex-escolas-exponenciais:</v>
      </c>
      <c r="G451" s="39">
        <f t="array" ref="G451">XLOOKUP(B451,'Página9'!A:A,'Página9'!F:F,"")</f>
        <v>1</v>
      </c>
      <c r="H451" s="39">
        <f t="array" ref="H451">XLOOKUP(B451,'Página9'!A:A,'Página9'!C:C,"")</f>
        <v>3</v>
      </c>
      <c r="I451" s="35" t="str">
        <f t="array" ref="I451">XLOOKUP(B451,'Página9'!A:A,'Página9'!G:G,"")</f>
        <v>REPOR ESTOQUE</v>
      </c>
      <c r="J451" s="25" t="str">
        <f t="shared" si="1"/>
        <v>EXPEDIÇÃO</v>
      </c>
      <c r="K451" s="25" t="str">
        <f>IFERROR(__xludf.DUMMYFUNCTION("""COMPUTED_VALUE"""),"Paulo Henrique Chagas De Oliveira")</f>
        <v>Paulo Henrique Chagas De Oliveira</v>
      </c>
    </row>
    <row r="452">
      <c r="A452" s="37">
        <f>IFERROR(__xludf.DUMMYFUNCTION("""COMPUTED_VALUE"""),45975.83101851852)</f>
        <v>45975.83102</v>
      </c>
      <c r="B452" s="42" t="str">
        <f>IFERROR(__xludf.DUMMYFUNCTION("""COMPUTED_VALUE"""),"MCC015UC0008")</f>
        <v>MCC015UC0008</v>
      </c>
      <c r="C452" s="31" t="str">
        <f>IFERROR(__xludf.DUMMYFUNCTION("""COMPUTED_VALUE"""),"FILME STRETCH 500X25")</f>
        <v>FILME STRETCH 500X25</v>
      </c>
      <c r="D452" s="39">
        <f>IFERROR(__xludf.DUMMYFUNCTION("""COMPUTED_VALUE"""),3.0)</f>
        <v>3</v>
      </c>
      <c r="E452" s="34" t="str">
        <f>IFERROR(__xludf.DUMMYFUNCTION("""COMPUTED_VALUE"""),"Saída")</f>
        <v>Saída</v>
      </c>
      <c r="F452" s="34" t="str">
        <f>IFERROR(__xludf.DUMMYFUNCTION("""COMPUTED_VALUE"""),"Expedição:ex-escolas-exponenciais:")</f>
        <v>Expedição:ex-escolas-exponenciais:</v>
      </c>
      <c r="G452" s="39">
        <f t="array" ref="G452">XLOOKUP(B452,'Página9'!A:A,'Página9'!F:F,"")</f>
        <v>-158</v>
      </c>
      <c r="H452" s="39">
        <f t="array" ref="H452">XLOOKUP(B452,'Página9'!A:A,'Página9'!C:C,"")</f>
        <v>40</v>
      </c>
      <c r="I452" s="35" t="str">
        <f t="array" ref="I452">XLOOKUP(B452,'Página9'!A:A,'Página9'!G:G,"")</f>
        <v>REPOR ESTOQUE</v>
      </c>
      <c r="J452" s="25" t="str">
        <f t="shared" si="1"/>
        <v>EXPEDIÇÃO</v>
      </c>
      <c r="K452" s="25" t="str">
        <f>IFERROR(__xludf.DUMMYFUNCTION("""COMPUTED_VALUE"""),"Paulo Henrique Chagas De Oliveira")</f>
        <v>Paulo Henrique Chagas De Oliveira</v>
      </c>
    </row>
    <row r="453">
      <c r="A453" s="37">
        <f>IFERROR(__xludf.DUMMYFUNCTION("""COMPUTED_VALUE"""),45976.567777777775)</f>
        <v>45976.56778</v>
      </c>
      <c r="B453" s="42" t="str">
        <f>IFERROR(__xludf.DUMMYFUNCTION("""COMPUTED_VALUE"""),"MCC046UC0695")</f>
        <v>MCC046UC0695</v>
      </c>
      <c r="C453" s="31" t="str">
        <f>IFERROR(__xludf.DUMMYFUNCTION("""COMPUTED_VALUE"""),"ETIQUETA COUCHE 98X50X1")</f>
        <v>ETIQUETA COUCHE 98X50X1</v>
      </c>
      <c r="D453" s="39">
        <f>IFERROR(__xludf.DUMMYFUNCTION("""COMPUTED_VALUE"""),3.0)</f>
        <v>3</v>
      </c>
      <c r="E453" s="34" t="str">
        <f>IFERROR(__xludf.DUMMYFUNCTION("""COMPUTED_VALUE"""),"Saída")</f>
        <v>Saída</v>
      </c>
      <c r="F453" s="34" t="str">
        <f>IFERROR(__xludf.DUMMYFUNCTION("""COMPUTED_VALUE"""),"Expedição:ex-escolas-exponenciais:")</f>
        <v>Expedição:ex-escolas-exponenciais:</v>
      </c>
      <c r="G453" s="39">
        <f t="array" ref="G453">XLOOKUP(B453,'Página9'!A:A,'Página9'!F:F,"")</f>
        <v>256</v>
      </c>
      <c r="H453" s="39">
        <f t="array" ref="H453">XLOOKUP(B453,'Página9'!A:A,'Página9'!C:C,"")</f>
        <v>20</v>
      </c>
      <c r="I453" s="35" t="str">
        <f t="array" ref="I453">XLOOKUP(B453,'Página9'!A:A,'Página9'!G:G,"")</f>
        <v>OK</v>
      </c>
      <c r="J453" s="25" t="str">
        <f t="shared" si="1"/>
        <v>EXPEDIÇÃO</v>
      </c>
      <c r="K453" s="25" t="str">
        <f>IFERROR(__xludf.DUMMYFUNCTION("""COMPUTED_VALUE"""),"Matheus De Almeida Rodrigues")</f>
        <v>Matheus De Almeida Rodrigues</v>
      </c>
    </row>
    <row r="454">
      <c r="A454" s="37">
        <f>IFERROR(__xludf.DUMMYFUNCTION("""COMPUTED_VALUE"""),45976.57219907407)</f>
        <v>45976.5722</v>
      </c>
      <c r="B454" s="42" t="str">
        <f>IFERROR(__xludf.DUMMYFUNCTION("""COMPUTED_VALUE"""),"MCC046UC0687")</f>
        <v>MCC046UC0687</v>
      </c>
      <c r="C454" s="31" t="str">
        <f>IFERROR(__xludf.DUMMYFUNCTION("""COMPUTED_VALUE"""),"ETIQUETA COUCHE - 100X100X 1")</f>
        <v>ETIQUETA COUCHE - 100X100X 1</v>
      </c>
      <c r="D454" s="39">
        <f>IFERROR(__xludf.DUMMYFUNCTION("""COMPUTED_VALUE"""),1.0)</f>
        <v>1</v>
      </c>
      <c r="E454" s="34" t="str">
        <f>IFERROR(__xludf.DUMMYFUNCTION("""COMPUTED_VALUE"""),"Saída")</f>
        <v>Saída</v>
      </c>
      <c r="F454" s="34" t="str">
        <f>IFERROR(__xludf.DUMMYFUNCTION("""COMPUTED_VALUE"""),"Recebimento:truck:")</f>
        <v>Recebimento:truck:</v>
      </c>
      <c r="G454" s="39">
        <f t="array" ref="G454">XLOOKUP(B454,'Página9'!A:A,'Página9'!F:F,"")</f>
        <v>335</v>
      </c>
      <c r="H454" s="39">
        <f t="array" ref="H454">XLOOKUP(B454,'Página9'!A:A,'Página9'!C:C,"")</f>
        <v>20</v>
      </c>
      <c r="I454" s="35" t="str">
        <f t="array" ref="I454">XLOOKUP(B454,'Página9'!A:A,'Página9'!G:G,"")</f>
        <v>OK</v>
      </c>
      <c r="J454" s="25" t="str">
        <f t="shared" si="1"/>
        <v>RECEBIMENTO</v>
      </c>
      <c r="K454" s="25" t="str">
        <f>IFERROR(__xludf.DUMMYFUNCTION("""COMPUTED_VALUE"""),"Suellen Aguiar Da Silva")</f>
        <v>Suellen Aguiar Da Silva</v>
      </c>
    </row>
    <row r="455">
      <c r="A455" s="37">
        <f>IFERROR(__xludf.DUMMYFUNCTION("""COMPUTED_VALUE"""),45976.57846064815)</f>
        <v>45976.57846</v>
      </c>
      <c r="B455" s="42" t="str">
        <f>IFERROR(__xludf.DUMMYFUNCTION("""COMPUTED_VALUE"""),"MCC046UC0687")</f>
        <v>MCC046UC0687</v>
      </c>
      <c r="C455" s="31" t="str">
        <f>IFERROR(__xludf.DUMMYFUNCTION("""COMPUTED_VALUE"""),"ETIQUETA COUCHE - 100X100X 1")</f>
        <v>ETIQUETA COUCHE - 100X100X 1</v>
      </c>
      <c r="D455" s="39">
        <f>IFERROR(__xludf.DUMMYFUNCTION("""COMPUTED_VALUE"""),1.0)</f>
        <v>1</v>
      </c>
      <c r="E455" s="34" t="str">
        <f>IFERROR(__xludf.DUMMYFUNCTION("""COMPUTED_VALUE"""),"Saída")</f>
        <v>Saída</v>
      </c>
      <c r="F455" s="34" t="str">
        <f>IFERROR(__xludf.DUMMYFUNCTION("""COMPUTED_VALUE"""),"Recebimento:truck:")</f>
        <v>Recebimento:truck:</v>
      </c>
      <c r="G455" s="39">
        <f t="array" ref="G455">XLOOKUP(B455,'Página9'!A:A,'Página9'!F:F,"")</f>
        <v>335</v>
      </c>
      <c r="H455" s="39">
        <f t="array" ref="H455">XLOOKUP(B455,'Página9'!A:A,'Página9'!C:C,"")</f>
        <v>20</v>
      </c>
      <c r="I455" s="35" t="str">
        <f t="array" ref="I455">XLOOKUP(B455,'Página9'!A:A,'Página9'!G:G,"")</f>
        <v>OK</v>
      </c>
      <c r="J455" s="25" t="str">
        <f t="shared" si="1"/>
        <v>RECEBIMENTO</v>
      </c>
      <c r="K455" s="25" t="str">
        <f>IFERROR(__xludf.DUMMYFUNCTION("""COMPUTED_VALUE"""),"Suellen Aguiar Da Silva")</f>
        <v>Suellen Aguiar Da Silva</v>
      </c>
    </row>
    <row r="456">
      <c r="A456" s="37">
        <f>IFERROR(__xludf.DUMMYFUNCTION("""COMPUTED_VALUE"""),45976.59064814815)</f>
        <v>45976.59065</v>
      </c>
      <c r="B456" s="42" t="str">
        <f>IFERROR(__xludf.DUMMYFUNCTION("""COMPUTED_VALUE"""),"MCC015UC0045")</f>
        <v>MCC015UC0045</v>
      </c>
      <c r="C456" s="31" t="str">
        <f>IFERROR(__xludf.DUMMYFUNCTION("""COMPUTED_VALUE"""),"FITA ADESIVA 69MM X 100M")</f>
        <v>FITA ADESIVA 69MM X 100M</v>
      </c>
      <c r="D456" s="39">
        <f>IFERROR(__xludf.DUMMYFUNCTION("""COMPUTED_VALUE"""),5.0)</f>
        <v>5</v>
      </c>
      <c r="E456" s="34" t="str">
        <f>IFERROR(__xludf.DUMMYFUNCTION("""COMPUTED_VALUE"""),"Saída")</f>
        <v>Saída</v>
      </c>
      <c r="F456" s="34" t="str">
        <f>IFERROR(__xludf.DUMMYFUNCTION("""COMPUTED_VALUE"""),"Recebimento:truck:")</f>
        <v>Recebimento:truck:</v>
      </c>
      <c r="G456" s="39">
        <f t="array" ref="G456">XLOOKUP(B456,'Página9'!A:A,'Página9'!F:F,"")</f>
        <v>287</v>
      </c>
      <c r="H456" s="39">
        <f t="array" ref="H456">XLOOKUP(B456,'Página9'!A:A,'Página9'!C:C,"")</f>
        <v>20</v>
      </c>
      <c r="I456" s="35" t="str">
        <f t="array" ref="I456">XLOOKUP(B456,'Página9'!A:A,'Página9'!G:G,"")</f>
        <v>OK</v>
      </c>
      <c r="J456" s="25" t="str">
        <f t="shared" si="1"/>
        <v>RECEBIMENTO</v>
      </c>
      <c r="K456" s="25" t="str">
        <f>IFERROR(__xludf.DUMMYFUNCTION("""COMPUTED_VALUE"""),"Pedro Lucas Matias Do Nascimento")</f>
        <v>Pedro Lucas Matias Do Nascimento</v>
      </c>
    </row>
    <row r="457">
      <c r="A457" s="37">
        <f>IFERROR(__xludf.DUMMYFUNCTION("""COMPUTED_VALUE"""),45976.60680555556)</f>
        <v>45976.60681</v>
      </c>
      <c r="B457" s="42" t="str">
        <f>IFERROR(__xludf.DUMMYFUNCTION("""COMPUTED_VALUE"""),"MCC046UC0082")</f>
        <v>MCC046UC0082</v>
      </c>
      <c r="C457" s="31" t="str">
        <f>IFERROR(__xludf.DUMMYFUNCTION("""COMPUTED_VALUE"""),"PAPEL SULFITE A4 75G 500 FOLHAS")</f>
        <v>PAPEL SULFITE A4 75G 500 FOLHAS</v>
      </c>
      <c r="D457" s="39">
        <f>IFERROR(__xludf.DUMMYFUNCTION("""COMPUTED_VALUE"""),2.0)</f>
        <v>2</v>
      </c>
      <c r="E457" s="34" t="str">
        <f>IFERROR(__xludf.DUMMYFUNCTION("""COMPUTED_VALUE"""),"Saída")</f>
        <v>Saída</v>
      </c>
      <c r="F457" s="34" t="str">
        <f>IFERROR(__xludf.DUMMYFUNCTION("""COMPUTED_VALUE"""),"Expedição:ex-escolas-exponenciais:")</f>
        <v>Expedição:ex-escolas-exponenciais:</v>
      </c>
      <c r="G457" s="39">
        <f t="array" ref="G457">XLOOKUP(B457,'Página9'!A:A,'Página9'!F:F,"")</f>
        <v>163</v>
      </c>
      <c r="H457" s="39">
        <f t="array" ref="H457">XLOOKUP(B457,'Página9'!A:A,'Página9'!C:C,"")</f>
        <v>10</v>
      </c>
      <c r="I457" s="35" t="str">
        <f t="array" ref="I457">XLOOKUP(B457,'Página9'!A:A,'Página9'!G:G,"")</f>
        <v>OK</v>
      </c>
      <c r="J457" s="25" t="str">
        <f t="shared" si="1"/>
        <v>EXPEDIÇÃO</v>
      </c>
      <c r="K457" s="25" t="str">
        <f>IFERROR(__xludf.DUMMYFUNCTION("""COMPUTED_VALUE"""),"Paulo Henrique Chagas De Oliveira")</f>
        <v>Paulo Henrique Chagas De Oliveira</v>
      </c>
    </row>
    <row r="458">
      <c r="A458" s="37">
        <f>IFERROR(__xludf.DUMMYFUNCTION("""COMPUTED_VALUE"""),45976.71952546296)</f>
        <v>45976.71953</v>
      </c>
      <c r="B458" s="42" t="str">
        <f>IFERROR(__xludf.DUMMYFUNCTION("""COMPUTED_VALUE"""),"MCC046UC0599")</f>
        <v>MCC046UC0599</v>
      </c>
      <c r="C458" s="31" t="str">
        <f>IFERROR(__xludf.DUMMYFUNCTION("""COMPUTED_VALUE"""),"ETIQUETA ADESIVA COUCHE AMARELA  - 105X150MM SAS")</f>
        <v>ETIQUETA ADESIVA COUCHE AMARELA  - 105X150MM SAS</v>
      </c>
      <c r="D458" s="39">
        <f>IFERROR(__xludf.DUMMYFUNCTION("""COMPUTED_VALUE"""),6.0)</f>
        <v>6</v>
      </c>
      <c r="E458" s="34" t="str">
        <f>IFERROR(__xludf.DUMMYFUNCTION("""COMPUTED_VALUE"""),"Saída")</f>
        <v>Saída</v>
      </c>
      <c r="F458" s="34" t="str">
        <f>IFERROR(__xludf.DUMMYFUNCTION("""COMPUTED_VALUE"""),"Expedição:ex-escolas-exponenciais:")</f>
        <v>Expedição:ex-escolas-exponenciais:</v>
      </c>
      <c r="G458" s="39">
        <f t="array" ref="G458">XLOOKUP(B458,'Página9'!A:A,'Página9'!F:F,"")</f>
        <v>25</v>
      </c>
      <c r="H458" s="39">
        <f t="array" ref="H458">XLOOKUP(B458,'Página9'!A:A,'Página9'!C:C,"")</f>
        <v>5</v>
      </c>
      <c r="I458" s="35" t="str">
        <f t="array" ref="I458">XLOOKUP(B458,'Página9'!A:A,'Página9'!G:G,"")</f>
        <v>OK</v>
      </c>
      <c r="J458" s="25" t="str">
        <f t="shared" si="1"/>
        <v>EXPEDIÇÃO</v>
      </c>
      <c r="K458" s="25" t="str">
        <f>IFERROR(__xludf.DUMMYFUNCTION("""COMPUTED_VALUE"""),"Silvana Da Silva Pereira")</f>
        <v>Silvana Da Silva Pereira</v>
      </c>
    </row>
    <row r="459">
      <c r="A459" s="37">
        <f>IFERROR(__xludf.DUMMYFUNCTION("""COMPUTED_VALUE"""),45976.72782407407)</f>
        <v>45976.72782</v>
      </c>
      <c r="B459" s="42" t="str">
        <f>IFERROR(__xludf.DUMMYFUNCTION("""COMPUTED_VALUE"""),"MCC046UC0599")</f>
        <v>MCC046UC0599</v>
      </c>
      <c r="C459" s="31" t="str">
        <f>IFERROR(__xludf.DUMMYFUNCTION("""COMPUTED_VALUE"""),"ETIQUETA ADESIVA COUCHE AMARELA  - 105X150MM SAS")</f>
        <v>ETIQUETA ADESIVA COUCHE AMARELA  - 105X150MM SAS</v>
      </c>
      <c r="D459" s="39">
        <f>IFERROR(__xludf.DUMMYFUNCTION("""COMPUTED_VALUE"""),1.0)</f>
        <v>1</v>
      </c>
      <c r="E459" s="34" t="str">
        <f>IFERROR(__xludf.DUMMYFUNCTION("""COMPUTED_VALUE"""),"Saída")</f>
        <v>Saída</v>
      </c>
      <c r="F459" s="34" t="str">
        <f>IFERROR(__xludf.DUMMYFUNCTION("""COMPUTED_VALUE"""),"Expedição:ex-escolas-exponenciais:")</f>
        <v>Expedição:ex-escolas-exponenciais:</v>
      </c>
      <c r="G459" s="39">
        <f t="array" ref="G459">XLOOKUP(B459,'Página9'!A:A,'Página9'!F:F,"")</f>
        <v>25</v>
      </c>
      <c r="H459" s="39">
        <f t="array" ref="H459">XLOOKUP(B459,'Página9'!A:A,'Página9'!C:C,"")</f>
        <v>5</v>
      </c>
      <c r="I459" s="35" t="str">
        <f t="array" ref="I459">XLOOKUP(B459,'Página9'!A:A,'Página9'!G:G,"")</f>
        <v>OK</v>
      </c>
      <c r="J459" s="25" t="str">
        <f t="shared" si="1"/>
        <v>EXPEDIÇÃO</v>
      </c>
      <c r="K459" s="25" t="str">
        <f>IFERROR(__xludf.DUMMYFUNCTION("""COMPUTED_VALUE"""),"Silvana Da Silva Pereira")</f>
        <v>Silvana Da Silva Pereira</v>
      </c>
    </row>
    <row r="460">
      <c r="A460" s="37">
        <f>IFERROR(__xludf.DUMMYFUNCTION("""COMPUTED_VALUE"""),45978.48944444444)</f>
        <v>45978.48944</v>
      </c>
      <c r="B460" s="42" t="str">
        <f>IFERROR(__xludf.DUMMYFUNCTION("""COMPUTED_VALUE"""),"MCC015UC0045")</f>
        <v>MCC015UC0045</v>
      </c>
      <c r="C460" s="31" t="str">
        <f>IFERROR(__xludf.DUMMYFUNCTION("""COMPUTED_VALUE"""),"FITA ADESIVA 69MM X 100M")</f>
        <v>FITA ADESIVA 69MM X 100M</v>
      </c>
      <c r="D460" s="39">
        <f>IFERROR(__xludf.DUMMYFUNCTION("""COMPUTED_VALUE"""),24.0)</f>
        <v>24</v>
      </c>
      <c r="E460" s="34" t="str">
        <f>IFERROR(__xludf.DUMMYFUNCTION("""COMPUTED_VALUE"""),"Saída")</f>
        <v>Saída</v>
      </c>
      <c r="F460" s="34" t="str">
        <f>IFERROR(__xludf.DUMMYFUNCTION("""COMPUTED_VALUE"""),"PMM:livro-voador:")</f>
        <v>PMM:livro-voador:</v>
      </c>
      <c r="G460" s="39">
        <f t="array" ref="G460">XLOOKUP(B460,'Página9'!A:A,'Página9'!F:F,"")</f>
        <v>287</v>
      </c>
      <c r="H460" s="39">
        <f t="array" ref="H460">XLOOKUP(B460,'Página9'!A:A,'Página9'!C:C,"")</f>
        <v>20</v>
      </c>
      <c r="I460" s="35" t="str">
        <f t="array" ref="I460">XLOOKUP(B460,'Página9'!A:A,'Página9'!G:G,"")</f>
        <v>OK</v>
      </c>
      <c r="J460" s="25" t="str">
        <f t="shared" si="1"/>
        <v>PMM</v>
      </c>
      <c r="K460" s="25" t="str">
        <f>IFERROR(__xludf.DUMMYFUNCTION("""COMPUTED_VALUE"""),"Rejane Fontes De Sousa")</f>
        <v>Rejane Fontes De Sousa</v>
      </c>
    </row>
    <row r="461">
      <c r="A461" s="37">
        <f>IFERROR(__xludf.DUMMYFUNCTION("""COMPUTED_VALUE"""),45978.51248842593)</f>
        <v>45978.51249</v>
      </c>
      <c r="B461" s="42" t="str">
        <f>IFERROR(__xludf.DUMMYFUNCTION("""COMPUTED_VALUE"""),"MCC015UC0045")</f>
        <v>MCC015UC0045</v>
      </c>
      <c r="C461" s="31" t="str">
        <f>IFERROR(__xludf.DUMMYFUNCTION("""COMPUTED_VALUE"""),"FITA ADESIVA 69MM X 100M")</f>
        <v>FITA ADESIVA 69MM X 100M</v>
      </c>
      <c r="D461" s="39">
        <f>IFERROR(__xludf.DUMMYFUNCTION("""COMPUTED_VALUE"""),24.0)</f>
        <v>24</v>
      </c>
      <c r="E461" s="34" t="str">
        <f>IFERROR(__xludf.DUMMYFUNCTION("""COMPUTED_VALUE"""),"Saída")</f>
        <v>Saída</v>
      </c>
      <c r="F461" s="34" t="str">
        <f>IFERROR(__xludf.DUMMYFUNCTION("""COMPUTED_VALUE"""),"PMM:livro-voador:")</f>
        <v>PMM:livro-voador:</v>
      </c>
      <c r="G461" s="39">
        <f t="array" ref="G461">XLOOKUP(B461,'Página9'!A:A,'Página9'!F:F,"")</f>
        <v>287</v>
      </c>
      <c r="H461" s="39">
        <f t="array" ref="H461">XLOOKUP(B461,'Página9'!A:A,'Página9'!C:C,"")</f>
        <v>20</v>
      </c>
      <c r="I461" s="35" t="str">
        <f t="array" ref="I461">XLOOKUP(B461,'Página9'!A:A,'Página9'!G:G,"")</f>
        <v>OK</v>
      </c>
      <c r="J461" s="25" t="str">
        <f t="shared" si="1"/>
        <v>PMM</v>
      </c>
      <c r="K461" s="25" t="str">
        <f>IFERROR(__xludf.DUMMYFUNCTION("""COMPUTED_VALUE"""),"Paulo Henrique Chagas De Oliveira")</f>
        <v>Paulo Henrique Chagas De Oliveira</v>
      </c>
    </row>
    <row r="462">
      <c r="A462" s="37">
        <f>IFERROR(__xludf.DUMMYFUNCTION("""COMPUTED_VALUE"""),45978.532546296294)</f>
        <v>45978.53255</v>
      </c>
      <c r="B462" s="42" t="str">
        <f>IFERROR(__xludf.DUMMYFUNCTION("""COMPUTED_VALUE"""),"MCC046UC0660")</f>
        <v>MCC046UC0660</v>
      </c>
      <c r="C462" s="31" t="str">
        <f>IFERROR(__xludf.DUMMYFUNCTION("""COMPUTED_VALUE"""),"ETIQUETA 70MM COORDENACAO")</f>
        <v>ETIQUETA 70MM COORDENACAO</v>
      </c>
      <c r="D462" s="39">
        <f>IFERROR(__xludf.DUMMYFUNCTION("""COMPUTED_VALUE"""),6.0)</f>
        <v>6</v>
      </c>
      <c r="E462" s="34" t="str">
        <f>IFERROR(__xludf.DUMMYFUNCTION("""COMPUTED_VALUE"""),"Saída")</f>
        <v>Saída</v>
      </c>
      <c r="F462" s="34" t="str">
        <f>IFERROR(__xludf.DUMMYFUNCTION("""COMPUTED_VALUE"""),"CIQ :qualidade:")</f>
        <v>CIQ :qualidade:</v>
      </c>
      <c r="G462" s="39">
        <f t="array" ref="G462">XLOOKUP(B462,'Página9'!A:A,'Página9'!F:F,"")</f>
        <v>35</v>
      </c>
      <c r="H462" s="39">
        <f t="array" ref="H462">XLOOKUP(B462,'Página9'!A:A,'Página9'!C:C,"")</f>
        <v>5</v>
      </c>
      <c r="I462" s="35" t="str">
        <f t="array" ref="I462">XLOOKUP(B462,'Página9'!A:A,'Página9'!G:G,"")</f>
        <v>OK</v>
      </c>
      <c r="J462" s="25" t="str">
        <f t="shared" si="1"/>
        <v>CIQ</v>
      </c>
      <c r="K462" s="25" t="str">
        <f>IFERROR(__xludf.DUMMYFUNCTION("""COMPUTED_VALUE"""),"Silvana Da Silva Pereira")</f>
        <v>Silvana Da Silva Pereira</v>
      </c>
    </row>
    <row r="463">
      <c r="A463" s="37">
        <f>IFERROR(__xludf.DUMMYFUNCTION("""COMPUTED_VALUE"""),45978.533483796295)</f>
        <v>45978.53348</v>
      </c>
      <c r="B463" s="42" t="str">
        <f>IFERROR(__xludf.DUMMYFUNCTION("""COMPUTED_VALUE"""),"MCC046UC0659")</f>
        <v>MCC046UC0659</v>
      </c>
      <c r="C463" s="31" t="str">
        <f>IFERROR(__xludf.DUMMYFUNCTION("""COMPUTED_VALUE"""),"ETIQUETA 70MM PROFESSOR")</f>
        <v>ETIQUETA 70MM PROFESSOR</v>
      </c>
      <c r="D463" s="39">
        <f>IFERROR(__xludf.DUMMYFUNCTION("""COMPUTED_VALUE"""),6.0)</f>
        <v>6</v>
      </c>
      <c r="E463" s="34" t="str">
        <f>IFERROR(__xludf.DUMMYFUNCTION("""COMPUTED_VALUE"""),"Saída")</f>
        <v>Saída</v>
      </c>
      <c r="F463" s="34" t="str">
        <f>IFERROR(__xludf.DUMMYFUNCTION("""COMPUTED_VALUE"""),"Recebimento:truck:")</f>
        <v>Recebimento:truck:</v>
      </c>
      <c r="G463" s="39">
        <f t="array" ref="G463">XLOOKUP(B463,'Página9'!A:A,'Página9'!F:F,"")</f>
        <v>25</v>
      </c>
      <c r="H463" s="39">
        <f t="array" ref="H463">XLOOKUP(B463,'Página9'!A:A,'Página9'!C:C,"")</f>
        <v>5</v>
      </c>
      <c r="I463" s="35" t="str">
        <f t="array" ref="I463">XLOOKUP(B463,'Página9'!A:A,'Página9'!G:G,"")</f>
        <v>OK</v>
      </c>
      <c r="J463" s="25" t="str">
        <f t="shared" si="1"/>
        <v>RECEBIMENTO</v>
      </c>
      <c r="K463" s="25" t="str">
        <f>IFERROR(__xludf.DUMMYFUNCTION("""COMPUTED_VALUE"""),"Silvana Da Silva Pereira")</f>
        <v>Silvana Da Silva Pereira</v>
      </c>
    </row>
    <row r="464">
      <c r="A464" s="37">
        <f>IFERROR(__xludf.DUMMYFUNCTION("""COMPUTED_VALUE"""),45978.56418981482)</f>
        <v>45978.56419</v>
      </c>
      <c r="B464" s="42" t="str">
        <f>IFERROR(__xludf.DUMMYFUNCTION("""COMPUTED_VALUE"""),"MCC015UC0008")</f>
        <v>MCC015UC0008</v>
      </c>
      <c r="C464" s="31" t="str">
        <f>IFERROR(__xludf.DUMMYFUNCTION("""COMPUTED_VALUE"""),"FILME STRETCH 500X25")</f>
        <v>FILME STRETCH 500X25</v>
      </c>
      <c r="D464" s="39">
        <f>IFERROR(__xludf.DUMMYFUNCTION("""COMPUTED_VALUE"""),30.0)</f>
        <v>30</v>
      </c>
      <c r="E464" s="34" t="str">
        <f>IFERROR(__xludf.DUMMYFUNCTION("""COMPUTED_VALUE"""),"Saída")</f>
        <v>Saída</v>
      </c>
      <c r="F464" s="34" t="str">
        <f>IFERROR(__xludf.DUMMYFUNCTION("""COMPUTED_VALUE"""),"Recebimento:truck:")</f>
        <v>Recebimento:truck:</v>
      </c>
      <c r="G464" s="39">
        <f t="array" ref="G464">XLOOKUP(B464,'Página9'!A:A,'Página9'!F:F,"")</f>
        <v>-158</v>
      </c>
      <c r="H464" s="39">
        <f t="array" ref="H464">XLOOKUP(B464,'Página9'!A:A,'Página9'!C:C,"")</f>
        <v>40</v>
      </c>
      <c r="I464" s="35" t="str">
        <f t="array" ref="I464">XLOOKUP(B464,'Página9'!A:A,'Página9'!G:G,"")</f>
        <v>REPOR ESTOQUE</v>
      </c>
      <c r="J464" s="25" t="str">
        <f t="shared" si="1"/>
        <v>RECEBIMENTO</v>
      </c>
      <c r="K464" s="25" t="str">
        <f>IFERROR(__xludf.DUMMYFUNCTION("""COMPUTED_VALUE"""),"Allison Breno Da Costa Borges Soares")</f>
        <v>Allison Breno Da Costa Borges Soares</v>
      </c>
    </row>
    <row r="465">
      <c r="A465" s="37">
        <f>IFERROR(__xludf.DUMMYFUNCTION("""COMPUTED_VALUE"""),45978.564479166664)</f>
        <v>45978.56448</v>
      </c>
      <c r="B465" s="42" t="str">
        <f>IFERROR(__xludf.DUMMYFUNCTION("""COMPUTED_VALUE"""),"MCC015UC0045")</f>
        <v>MCC015UC0045</v>
      </c>
      <c r="C465" s="31" t="str">
        <f>IFERROR(__xludf.DUMMYFUNCTION("""COMPUTED_VALUE"""),"FITA ADESIVA 69MM X 100M")</f>
        <v>FITA ADESIVA 69MM X 100M</v>
      </c>
      <c r="D465" s="39">
        <f>IFERROR(__xludf.DUMMYFUNCTION("""COMPUTED_VALUE"""),10.0)</f>
        <v>10</v>
      </c>
      <c r="E465" s="34" t="str">
        <f>IFERROR(__xludf.DUMMYFUNCTION("""COMPUTED_VALUE"""),"Saída")</f>
        <v>Saída</v>
      </c>
      <c r="F465" s="34" t="str">
        <f>IFERROR(__xludf.DUMMYFUNCTION("""COMPUTED_VALUE"""),"Expedição:ex-escolas-exponenciais:")</f>
        <v>Expedição:ex-escolas-exponenciais:</v>
      </c>
      <c r="G465" s="39">
        <f t="array" ref="G465">XLOOKUP(B465,'Página9'!A:A,'Página9'!F:F,"")</f>
        <v>287</v>
      </c>
      <c r="H465" s="39">
        <f t="array" ref="H465">XLOOKUP(B465,'Página9'!A:A,'Página9'!C:C,"")</f>
        <v>20</v>
      </c>
      <c r="I465" s="35" t="str">
        <f t="array" ref="I465">XLOOKUP(B465,'Página9'!A:A,'Página9'!G:G,"")</f>
        <v>OK</v>
      </c>
      <c r="J465" s="25" t="str">
        <f t="shared" si="1"/>
        <v>EXPEDIÇÃO</v>
      </c>
      <c r="K465" s="25" t="str">
        <f>IFERROR(__xludf.DUMMYFUNCTION("""COMPUTED_VALUE"""),"Allison Breno Da Costa Borges Soares")</f>
        <v>Allison Breno Da Costa Borges Soares</v>
      </c>
    </row>
    <row r="466">
      <c r="A466" s="37">
        <f>IFERROR(__xludf.DUMMYFUNCTION("""COMPUTED_VALUE"""),45978.565104166664)</f>
        <v>45978.5651</v>
      </c>
      <c r="B466" s="42" t="str">
        <f>IFERROR(__xludf.DUMMYFUNCTION("""COMPUTED_VALUE"""),"MCC049UC0516")</f>
        <v>MCC049UC0516</v>
      </c>
      <c r="C466" s="31" t="str">
        <f>IFERROR(__xludf.DUMMYFUNCTION("""COMPUTED_VALUE"""),"ETIQUETA ADESIVA COUCHE VERDE CLARO - 105X150MM")</f>
        <v>ETIQUETA ADESIVA COUCHE VERDE CLARO - 105X150MM</v>
      </c>
      <c r="D466" s="39">
        <f>IFERROR(__xludf.DUMMYFUNCTION("""COMPUTED_VALUE"""),1.0)</f>
        <v>1</v>
      </c>
      <c r="E466" s="34" t="str">
        <f>IFERROR(__xludf.DUMMYFUNCTION("""COMPUTED_VALUE"""),"Saída")</f>
        <v>Saída</v>
      </c>
      <c r="F466" s="34" t="str">
        <f>IFERROR(__xludf.DUMMYFUNCTION("""COMPUTED_VALUE"""),"Estoque:package:")</f>
        <v>Estoque:package:</v>
      </c>
      <c r="G466" s="39">
        <f t="array" ref="G466">XLOOKUP(B466,'Página9'!A:A,'Página9'!F:F,"")</f>
        <v>70</v>
      </c>
      <c r="H466" s="39">
        <f t="array" ref="H466">XLOOKUP(B466,'Página9'!A:A,'Página9'!C:C,"")</f>
        <v>5</v>
      </c>
      <c r="I466" s="35" t="str">
        <f t="array" ref="I466">XLOOKUP(B466,'Página9'!A:A,'Página9'!G:G,"")</f>
        <v>OK</v>
      </c>
      <c r="J466" s="25" t="str">
        <f t="shared" si="1"/>
        <v>ESTOQUE</v>
      </c>
      <c r="K466" s="25" t="str">
        <f>IFERROR(__xludf.DUMMYFUNCTION("""COMPUTED_VALUE"""),"Paulo Henrique Chagas De Oliveira")</f>
        <v>Paulo Henrique Chagas De Oliveira</v>
      </c>
    </row>
    <row r="467">
      <c r="A467" s="37">
        <f>IFERROR(__xludf.DUMMYFUNCTION("""COMPUTED_VALUE"""),45978.68665509259)</f>
        <v>45978.68666</v>
      </c>
      <c r="B467" s="42" t="str">
        <f>IFERROR(__xludf.DUMMYFUNCTION("""COMPUTED_VALUE"""),"MCC015UC0038")</f>
        <v>MCC015UC0038</v>
      </c>
      <c r="C467" s="31" t="str">
        <f>IFERROR(__xludf.DUMMYFUNCTION("""COMPUTED_VALUE"""),"BOBINA SHRINK 500MM")</f>
        <v>BOBINA SHRINK 500MM</v>
      </c>
      <c r="D467" s="39">
        <f>IFERROR(__xludf.DUMMYFUNCTION("""COMPUTED_VALUE"""),1.0)</f>
        <v>1</v>
      </c>
      <c r="E467" s="34" t="str">
        <f>IFERROR(__xludf.DUMMYFUNCTION("""COMPUTED_VALUE"""),"Saída")</f>
        <v>Saída</v>
      </c>
      <c r="F467" s="34" t="str">
        <f>IFERROR(__xludf.DUMMYFUNCTION("""COMPUTED_VALUE"""),"Estoque:package:")</f>
        <v>Estoque:package:</v>
      </c>
      <c r="G467" s="39">
        <f t="array" ref="G467">XLOOKUP(B467,'Página9'!A:A,'Página9'!F:F,"")</f>
        <v>13</v>
      </c>
      <c r="H467" s="39">
        <f t="array" ref="H467">XLOOKUP(B467,'Página9'!A:A,'Página9'!C:C,"")</f>
        <v>3</v>
      </c>
      <c r="I467" s="35" t="str">
        <f t="array" ref="I467">XLOOKUP(B467,'Página9'!A:A,'Página9'!G:G,"")</f>
        <v>OK</v>
      </c>
      <c r="J467" s="25" t="str">
        <f t="shared" si="1"/>
        <v>ESTOQUE</v>
      </c>
      <c r="K467" s="25" t="str">
        <f>IFERROR(__xludf.DUMMYFUNCTION("""COMPUTED_VALUE"""),"Paulo Henrique Chagas De Oliveira")</f>
        <v>Paulo Henrique Chagas De Oliveira</v>
      </c>
    </row>
    <row r="468">
      <c r="A468" s="37">
        <f>IFERROR(__xludf.DUMMYFUNCTION("""COMPUTED_VALUE"""),45978.74270833333)</f>
        <v>45978.74271</v>
      </c>
      <c r="B468" s="42" t="str">
        <f>IFERROR(__xludf.DUMMYFUNCTION("""COMPUTED_VALUE"""),"MCC046UC0596")</f>
        <v>MCC046UC0596</v>
      </c>
      <c r="C468" s="31" t="str">
        <f>IFERROR(__xludf.DUMMYFUNCTION("""COMPUTED_VALUE"""),"ETIQUETA ADESIVA COUCHE BRANCA   - 105X150MM SAS")</f>
        <v>ETIQUETA ADESIVA COUCHE BRANCA   - 105X150MM SAS</v>
      </c>
      <c r="D468" s="39">
        <f>IFERROR(__xludf.DUMMYFUNCTION("""COMPUTED_VALUE"""),1.0)</f>
        <v>1</v>
      </c>
      <c r="E468" s="34" t="str">
        <f>IFERROR(__xludf.DUMMYFUNCTION("""COMPUTED_VALUE"""),"Saída")</f>
        <v>Saída</v>
      </c>
      <c r="F468" s="34" t="str">
        <f>IFERROR(__xludf.DUMMYFUNCTION("""COMPUTED_VALUE"""),"PMM:livro-voador:")</f>
        <v>PMM:livro-voador:</v>
      </c>
      <c r="G468" s="39">
        <f t="array" ref="G468">XLOOKUP(B468,'Página9'!A:A,'Página9'!F:F,"")</f>
        <v>157</v>
      </c>
      <c r="H468" s="39">
        <f t="array" ref="H468">XLOOKUP(B468,'Página9'!A:A,'Página9'!C:C,"")</f>
        <v>20</v>
      </c>
      <c r="I468" s="35" t="str">
        <f t="array" ref="I468">XLOOKUP(B468,'Página9'!A:A,'Página9'!G:G,"")</f>
        <v>OK</v>
      </c>
      <c r="J468" s="25" t="str">
        <f t="shared" si="1"/>
        <v>PMM</v>
      </c>
      <c r="K468" s="25" t="str">
        <f>IFERROR(__xludf.DUMMYFUNCTION("""COMPUTED_VALUE"""),"Paulo Henrique Chagas De Oliveira")</f>
        <v>Paulo Henrique Chagas De Oliveira</v>
      </c>
    </row>
    <row r="469">
      <c r="A469" s="37">
        <f>IFERROR(__xludf.DUMMYFUNCTION("""COMPUTED_VALUE"""),45978.74300925926)</f>
        <v>45978.74301</v>
      </c>
      <c r="B469" s="42" t="str">
        <f>IFERROR(__xludf.DUMMYFUNCTION("""COMPUTED_VALUE"""),"MCC046UC0668")</f>
        <v>MCC046UC0668</v>
      </c>
      <c r="C469" s="31" t="str">
        <f>IFERROR(__xludf.DUMMYFUNCTION("""COMPUTED_VALUE"""),"ETIQUETA ADESIVA COUCHE CINZA 100X150X1")</f>
        <v>ETIQUETA ADESIVA COUCHE CINZA 100X150X1</v>
      </c>
      <c r="D469" s="39">
        <f>IFERROR(__xludf.DUMMYFUNCTION("""COMPUTED_VALUE"""),1.0)</f>
        <v>1</v>
      </c>
      <c r="E469" s="34" t="str">
        <f>IFERROR(__xludf.DUMMYFUNCTION("""COMPUTED_VALUE"""),"Saída")</f>
        <v>Saída</v>
      </c>
      <c r="F469" s="34" t="str">
        <f>IFERROR(__xludf.DUMMYFUNCTION("""COMPUTED_VALUE"""),"Estoque:package:")</f>
        <v>Estoque:package:</v>
      </c>
      <c r="G469" s="39">
        <f t="array" ref="G469">XLOOKUP(B469,'Página9'!A:A,'Página9'!F:F,"")</f>
        <v>104</v>
      </c>
      <c r="H469" s="39">
        <f t="array" ref="H469">XLOOKUP(B469,'Página9'!A:A,'Página9'!C:C,"")</f>
        <v>5</v>
      </c>
      <c r="I469" s="35" t="str">
        <f t="array" ref="I469">XLOOKUP(B469,'Página9'!A:A,'Página9'!G:G,"")</f>
        <v>OK</v>
      </c>
      <c r="J469" s="25" t="str">
        <f t="shared" si="1"/>
        <v>ESTOQUE</v>
      </c>
      <c r="K469" s="25" t="str">
        <f>IFERROR(__xludf.DUMMYFUNCTION("""COMPUTED_VALUE"""),"Paulo Henrique Chagas De Oliveira")</f>
        <v>Paulo Henrique Chagas De Oliveira</v>
      </c>
    </row>
    <row r="470">
      <c r="A470" s="37">
        <f>IFERROR(__xludf.DUMMYFUNCTION("""COMPUTED_VALUE"""),45978.74836805555)</f>
        <v>45978.74837</v>
      </c>
      <c r="B470" s="42" t="str">
        <f>IFERROR(__xludf.DUMMYFUNCTION("""COMPUTED_VALUE"""),"MCC046UC0215")</f>
        <v>MCC046UC0215</v>
      </c>
      <c r="C470" s="31" t="str">
        <f>IFERROR(__xludf.DUMMYFUNCTION("""COMPUTED_VALUE"""),"CANETA ESFEROGRAFICA ECONOMIC AZUL BIC")</f>
        <v>CANETA ESFEROGRAFICA ECONOMIC AZUL BIC</v>
      </c>
      <c r="D470" s="39">
        <f>IFERROR(__xludf.DUMMYFUNCTION("""COMPUTED_VALUE"""),5.0)</f>
        <v>5</v>
      </c>
      <c r="E470" s="34" t="str">
        <f>IFERROR(__xludf.DUMMYFUNCTION("""COMPUTED_VALUE"""),"Saída")</f>
        <v>Saída</v>
      </c>
      <c r="F470" s="34" t="str">
        <f>IFERROR(__xludf.DUMMYFUNCTION("""COMPUTED_VALUE"""),"PMM:livro-voador:")</f>
        <v>PMM:livro-voador:</v>
      </c>
      <c r="G470" s="39">
        <f t="array" ref="G470">XLOOKUP(B470,'Página9'!A:A,'Página9'!F:F,"")</f>
        <v>-20</v>
      </c>
      <c r="H470" s="39">
        <f t="array" ref="H470">XLOOKUP(B470,'Página9'!A:A,'Página9'!C:C,"")</f>
        <v>15</v>
      </c>
      <c r="I470" s="35" t="str">
        <f t="array" ref="I470">XLOOKUP(B470,'Página9'!A:A,'Página9'!G:G,"")</f>
        <v>REPOR ESTOQUE</v>
      </c>
      <c r="J470" s="25" t="str">
        <f t="shared" si="1"/>
        <v>PMM</v>
      </c>
      <c r="K470" s="25" t="str">
        <f>IFERROR(__xludf.DUMMYFUNCTION("""COMPUTED_VALUE"""),"Allison Breno Da Costa Borges Soares")</f>
        <v>Allison Breno Da Costa Borges Soares</v>
      </c>
    </row>
    <row r="471">
      <c r="A471" s="37">
        <f>IFERROR(__xludf.DUMMYFUNCTION("""COMPUTED_VALUE"""),45979.570231481484)</f>
        <v>45979.57023</v>
      </c>
      <c r="B471" s="42" t="str">
        <f>IFERROR(__xludf.DUMMYFUNCTION("""COMPUTED_VALUE"""),"MCC046UC0596")</f>
        <v>MCC046UC0596</v>
      </c>
      <c r="C471" s="31" t="str">
        <f>IFERROR(__xludf.DUMMYFUNCTION("""COMPUTED_VALUE"""),"ETIQUETA ADESIVA COUCHE BRANCA   - 105X150MM SAS")</f>
        <v>ETIQUETA ADESIVA COUCHE BRANCA   - 105X150MM SAS</v>
      </c>
      <c r="D471" s="39">
        <f>IFERROR(__xludf.DUMMYFUNCTION("""COMPUTED_VALUE"""),10.0)</f>
        <v>10</v>
      </c>
      <c r="E471" s="34" t="str">
        <f>IFERROR(__xludf.DUMMYFUNCTION("""COMPUTED_VALUE"""),"Saída")</f>
        <v>Saída</v>
      </c>
      <c r="F471" s="34" t="str">
        <f>IFERROR(__xludf.DUMMYFUNCTION("""COMPUTED_VALUE"""),"Recebimento:truck:")</f>
        <v>Recebimento:truck:</v>
      </c>
      <c r="G471" s="39">
        <f t="array" ref="G471">XLOOKUP(B471,'Página9'!A:A,'Página9'!F:F,"")</f>
        <v>157</v>
      </c>
      <c r="H471" s="39">
        <f t="array" ref="H471">XLOOKUP(B471,'Página9'!A:A,'Página9'!C:C,"")</f>
        <v>20</v>
      </c>
      <c r="I471" s="35" t="str">
        <f t="array" ref="I471">XLOOKUP(B471,'Página9'!A:A,'Página9'!G:G,"")</f>
        <v>OK</v>
      </c>
      <c r="J471" s="25" t="str">
        <f t="shared" si="1"/>
        <v>RECEBIMENTO</v>
      </c>
      <c r="K471" s="25" t="str">
        <f>IFERROR(__xludf.DUMMYFUNCTION("""COMPUTED_VALUE"""),"Ana Virginia De Castro Costa")</f>
        <v>Ana Virginia De Castro Costa</v>
      </c>
    </row>
    <row r="472">
      <c r="A472" s="37">
        <f>IFERROR(__xludf.DUMMYFUNCTION("""COMPUTED_VALUE"""),45979.590104166666)</f>
        <v>45979.5901</v>
      </c>
      <c r="B472" s="42" t="str">
        <f>IFERROR(__xludf.DUMMYFUNCTION("""COMPUTED_VALUE"""),"MCC046UC0687")</f>
        <v>MCC046UC0687</v>
      </c>
      <c r="C472" s="31" t="str">
        <f>IFERROR(__xludf.DUMMYFUNCTION("""COMPUTED_VALUE"""),"ETIQUETA COUCHE - 100X100X 1")</f>
        <v>ETIQUETA COUCHE - 100X100X 1</v>
      </c>
      <c r="D472" s="39">
        <f>IFERROR(__xludf.DUMMYFUNCTION("""COMPUTED_VALUE"""),10.0)</f>
        <v>10</v>
      </c>
      <c r="E472" s="34" t="str">
        <f>IFERROR(__xludf.DUMMYFUNCTION("""COMPUTED_VALUE"""),"Saída")</f>
        <v>Saída</v>
      </c>
      <c r="F472" s="34" t="str">
        <f>IFERROR(__xludf.DUMMYFUNCTION("""COMPUTED_VALUE"""),"Recebimento:truck:")</f>
        <v>Recebimento:truck:</v>
      </c>
      <c r="G472" s="39">
        <f t="array" ref="G472">XLOOKUP(B472,'Página9'!A:A,'Página9'!F:F,"")</f>
        <v>335</v>
      </c>
      <c r="H472" s="39">
        <f t="array" ref="H472">XLOOKUP(B472,'Página9'!A:A,'Página9'!C:C,"")</f>
        <v>20</v>
      </c>
      <c r="I472" s="35" t="str">
        <f t="array" ref="I472">XLOOKUP(B472,'Página9'!A:A,'Página9'!G:G,"")</f>
        <v>OK</v>
      </c>
      <c r="J472" s="25" t="str">
        <f t="shared" si="1"/>
        <v>RECEBIMENTO</v>
      </c>
      <c r="K472" s="25" t="str">
        <f>IFERROR(__xludf.DUMMYFUNCTION("""COMPUTED_VALUE"""),"Francisco Renato Da Silva De Oliveira Junior")</f>
        <v>Francisco Renato Da Silva De Oliveira Junior</v>
      </c>
    </row>
    <row r="473">
      <c r="A473" s="37">
        <f>IFERROR(__xludf.DUMMYFUNCTION("""COMPUTED_VALUE"""),45979.619942129626)</f>
        <v>45979.61994</v>
      </c>
      <c r="B473" s="42" t="str">
        <f>IFERROR(__xludf.DUMMYFUNCTION("""COMPUTED_VALUE"""),"MCC046UC0660")</f>
        <v>MCC046UC0660</v>
      </c>
      <c r="C473" s="31" t="str">
        <f>IFERROR(__xludf.DUMMYFUNCTION("""COMPUTED_VALUE"""),"ETIQUETA 70MM COORDENACAO")</f>
        <v>ETIQUETA 70MM COORDENACAO</v>
      </c>
      <c r="D473" s="39">
        <f>IFERROR(__xludf.DUMMYFUNCTION("""COMPUTED_VALUE"""),4.0)</f>
        <v>4</v>
      </c>
      <c r="E473" s="34" t="str">
        <f>IFERROR(__xludf.DUMMYFUNCTION("""COMPUTED_VALUE"""),"Saída")</f>
        <v>Saída</v>
      </c>
      <c r="F473" s="34" t="str">
        <f>IFERROR(__xludf.DUMMYFUNCTION("""COMPUTED_VALUE"""),"PMM:livro-voador:")</f>
        <v>PMM:livro-voador:</v>
      </c>
      <c r="G473" s="39">
        <f t="array" ref="G473">XLOOKUP(B473,'Página9'!A:A,'Página9'!F:F,"")</f>
        <v>35</v>
      </c>
      <c r="H473" s="39">
        <f t="array" ref="H473">XLOOKUP(B473,'Página9'!A:A,'Página9'!C:C,"")</f>
        <v>5</v>
      </c>
      <c r="I473" s="35" t="str">
        <f t="array" ref="I473">XLOOKUP(B473,'Página9'!A:A,'Página9'!G:G,"")</f>
        <v>OK</v>
      </c>
      <c r="J473" s="25" t="str">
        <f t="shared" si="1"/>
        <v>PMM</v>
      </c>
      <c r="K473" s="25" t="str">
        <f>IFERROR(__xludf.DUMMYFUNCTION("""COMPUTED_VALUE"""),"Silvana Da Silva Pereira")</f>
        <v>Silvana Da Silva Pereira</v>
      </c>
    </row>
    <row r="474">
      <c r="A474" s="37">
        <f>IFERROR(__xludf.DUMMYFUNCTION("""COMPUTED_VALUE"""),45979.620300925926)</f>
        <v>45979.6203</v>
      </c>
      <c r="B474" s="42" t="str">
        <f>IFERROR(__xludf.DUMMYFUNCTION("""COMPUTED_VALUE"""),"MCC046UC0659")</f>
        <v>MCC046UC0659</v>
      </c>
      <c r="C474" s="31" t="str">
        <f>IFERROR(__xludf.DUMMYFUNCTION("""COMPUTED_VALUE"""),"ETIQUETA 70MM PROFESSOR")</f>
        <v>ETIQUETA 70MM PROFESSOR</v>
      </c>
      <c r="D474" s="39">
        <f>IFERROR(__xludf.DUMMYFUNCTION("""COMPUTED_VALUE"""),4.0)</f>
        <v>4</v>
      </c>
      <c r="E474" s="34" t="str">
        <f>IFERROR(__xludf.DUMMYFUNCTION("""COMPUTED_VALUE"""),"Saída")</f>
        <v>Saída</v>
      </c>
      <c r="F474" s="34" t="str">
        <f>IFERROR(__xludf.DUMMYFUNCTION("""COMPUTED_VALUE"""),"Recebimento:truck:")</f>
        <v>Recebimento:truck:</v>
      </c>
      <c r="G474" s="39">
        <f t="array" ref="G474">XLOOKUP(B474,'Página9'!A:A,'Página9'!F:F,"")</f>
        <v>25</v>
      </c>
      <c r="H474" s="39">
        <f t="array" ref="H474">XLOOKUP(B474,'Página9'!A:A,'Página9'!C:C,"")</f>
        <v>5</v>
      </c>
      <c r="I474" s="35" t="str">
        <f t="array" ref="I474">XLOOKUP(B474,'Página9'!A:A,'Página9'!G:G,"")</f>
        <v>OK</v>
      </c>
      <c r="J474" s="25" t="str">
        <f t="shared" si="1"/>
        <v>RECEBIMENTO</v>
      </c>
      <c r="K474" s="25" t="str">
        <f>IFERROR(__xludf.DUMMYFUNCTION("""COMPUTED_VALUE"""),"Silvana Da Silva Pereira")</f>
        <v>Silvana Da Silva Pereira</v>
      </c>
    </row>
    <row r="475">
      <c r="A475" s="37">
        <f>IFERROR(__xludf.DUMMYFUNCTION("""COMPUTED_VALUE"""),45979.700590277775)</f>
        <v>45979.70059</v>
      </c>
      <c r="B475" s="42" t="str">
        <f>IFERROR(__xludf.DUMMYFUNCTION("""COMPUTED_VALUE"""),"MCC015UC0045")</f>
        <v>MCC015UC0045</v>
      </c>
      <c r="C475" s="31" t="str">
        <f>IFERROR(__xludf.DUMMYFUNCTION("""COMPUTED_VALUE"""),"FITA ADESIVA 69MM X 100M")</f>
        <v>FITA ADESIVA 69MM X 100M</v>
      </c>
      <c r="D475" s="39">
        <f>IFERROR(__xludf.DUMMYFUNCTION("""COMPUTED_VALUE"""),3.0)</f>
        <v>3</v>
      </c>
      <c r="E475" s="34" t="str">
        <f>IFERROR(__xludf.DUMMYFUNCTION("""COMPUTED_VALUE"""),"Saída")</f>
        <v>Saída</v>
      </c>
      <c r="F475" s="34" t="str">
        <f>IFERROR(__xludf.DUMMYFUNCTION("""COMPUTED_VALUE"""),"Recebimento:truck:")</f>
        <v>Recebimento:truck:</v>
      </c>
      <c r="G475" s="39">
        <f t="array" ref="G475">XLOOKUP(B475,'Página9'!A:A,'Página9'!F:F,"")</f>
        <v>287</v>
      </c>
      <c r="H475" s="39">
        <f t="array" ref="H475">XLOOKUP(B475,'Página9'!A:A,'Página9'!C:C,"")</f>
        <v>20</v>
      </c>
      <c r="I475" s="35" t="str">
        <f t="array" ref="I475">XLOOKUP(B475,'Página9'!A:A,'Página9'!G:G,"")</f>
        <v>OK</v>
      </c>
      <c r="J475" s="25" t="str">
        <f t="shared" si="1"/>
        <v>RECEBIMENTO</v>
      </c>
      <c r="K475" s="25" t="str">
        <f>IFERROR(__xludf.DUMMYFUNCTION("""COMPUTED_VALUE"""),"Matheus De Almeida Rodrigues")</f>
        <v>Matheus De Almeida Rodrigues</v>
      </c>
    </row>
    <row r="476">
      <c r="A476" s="37">
        <f>IFERROR(__xludf.DUMMYFUNCTION("""COMPUTED_VALUE"""),45979.762141203704)</f>
        <v>45979.76214</v>
      </c>
      <c r="B476" s="42" t="str">
        <f>IFERROR(__xludf.DUMMYFUNCTION("""COMPUTED_VALUE"""),"MCC046UC0215")</f>
        <v>MCC046UC0215</v>
      </c>
      <c r="C476" s="31" t="str">
        <f>IFERROR(__xludf.DUMMYFUNCTION("""COMPUTED_VALUE"""),"CANETA ESFEROGRAFICA ECONOMIC AZUL BIC")</f>
        <v>CANETA ESFEROGRAFICA ECONOMIC AZUL BIC</v>
      </c>
      <c r="D476" s="39">
        <f>IFERROR(__xludf.DUMMYFUNCTION("""COMPUTED_VALUE"""),5.0)</f>
        <v>5</v>
      </c>
      <c r="E476" s="34" t="str">
        <f>IFERROR(__xludf.DUMMYFUNCTION("""COMPUTED_VALUE"""),"Saída")</f>
        <v>Saída</v>
      </c>
      <c r="F476" s="34" t="str">
        <f>IFERROR(__xludf.DUMMYFUNCTION("""COMPUTED_VALUE"""),"Recebimento:truck:")</f>
        <v>Recebimento:truck:</v>
      </c>
      <c r="G476" s="39">
        <f t="array" ref="G476">XLOOKUP(B476,'Página9'!A:A,'Página9'!F:F,"")</f>
        <v>-20</v>
      </c>
      <c r="H476" s="39">
        <f t="array" ref="H476">XLOOKUP(B476,'Página9'!A:A,'Página9'!C:C,"")</f>
        <v>15</v>
      </c>
      <c r="I476" s="35" t="str">
        <f t="array" ref="I476">XLOOKUP(B476,'Página9'!A:A,'Página9'!G:G,"")</f>
        <v>REPOR ESTOQUE</v>
      </c>
      <c r="J476" s="25" t="str">
        <f t="shared" si="1"/>
        <v>RECEBIMENTO</v>
      </c>
      <c r="K476" s="25" t="str">
        <f>IFERROR(__xludf.DUMMYFUNCTION("""COMPUTED_VALUE"""),"Jose Edervanio Lima Mateus")</f>
        <v>Jose Edervanio Lima Mateus</v>
      </c>
    </row>
    <row r="477">
      <c r="A477" s="37">
        <f>IFERROR(__xludf.DUMMYFUNCTION("""COMPUTED_VALUE"""),45979.76247685185)</f>
        <v>45979.76248</v>
      </c>
      <c r="B477" s="42" t="str">
        <f>IFERROR(__xludf.DUMMYFUNCTION("""COMPUTED_VALUE"""),"MCC046UC0216")</f>
        <v>MCC046UC0216</v>
      </c>
      <c r="C477" s="31" t="str">
        <f>IFERROR(__xludf.DUMMYFUNCTION("""COMPUTED_VALUE"""),"CANETA ESFEROGRAFICA ECONOMIC PRETA BIC")</f>
        <v>CANETA ESFEROGRAFICA ECONOMIC PRETA BIC</v>
      </c>
      <c r="D477" s="39">
        <f>IFERROR(__xludf.DUMMYFUNCTION("""COMPUTED_VALUE"""),5.0)</f>
        <v>5</v>
      </c>
      <c r="E477" s="34" t="str">
        <f>IFERROR(__xludf.DUMMYFUNCTION("""COMPUTED_VALUE"""),"Saída")</f>
        <v>Saída</v>
      </c>
      <c r="F477" s="34" t="str">
        <f>IFERROR(__xludf.DUMMYFUNCTION("""COMPUTED_VALUE"""),"PMM:livro-voador:")</f>
        <v>PMM:livro-voador:</v>
      </c>
      <c r="G477" s="39">
        <f t="array" ref="G477">XLOOKUP(B477,'Página9'!A:A,'Página9'!F:F,"")</f>
        <v>89</v>
      </c>
      <c r="H477" s="39">
        <f t="array" ref="H477">XLOOKUP(B477,'Página9'!A:A,'Página9'!C:C,"")</f>
        <v>15</v>
      </c>
      <c r="I477" s="35" t="str">
        <f t="array" ref="I477">XLOOKUP(B477,'Página9'!A:A,'Página9'!G:G,"")</f>
        <v>OK</v>
      </c>
      <c r="J477" s="25" t="str">
        <f t="shared" si="1"/>
        <v>PMM</v>
      </c>
      <c r="K477" s="25" t="str">
        <f>IFERROR(__xludf.DUMMYFUNCTION("""COMPUTED_VALUE"""),"Jose Edervanio Lima Mateus")</f>
        <v>Jose Edervanio Lima Mateus</v>
      </c>
    </row>
    <row r="478">
      <c r="A478" s="37">
        <f>IFERROR(__xludf.DUMMYFUNCTION("""COMPUTED_VALUE"""),45979.81297453704)</f>
        <v>45979.81297</v>
      </c>
      <c r="B478" s="42" t="str">
        <f>IFERROR(__xludf.DUMMYFUNCTION("""COMPUTED_VALUE"""),"MCC015UC0008")</f>
        <v>MCC015UC0008</v>
      </c>
      <c r="C478" s="31" t="str">
        <f>IFERROR(__xludf.DUMMYFUNCTION("""COMPUTED_VALUE"""),"FILME STRETCH 500X25")</f>
        <v>FILME STRETCH 500X25</v>
      </c>
      <c r="D478" s="39">
        <f>IFERROR(__xludf.DUMMYFUNCTION("""COMPUTED_VALUE"""),10.0)</f>
        <v>10</v>
      </c>
      <c r="E478" s="34" t="str">
        <f>IFERROR(__xludf.DUMMYFUNCTION("""COMPUTED_VALUE"""),"Saída")</f>
        <v>Saída</v>
      </c>
      <c r="F478" s="34" t="str">
        <f>IFERROR(__xludf.DUMMYFUNCTION("""COMPUTED_VALUE"""),"Expedição:ex-escolas-exponenciais:")</f>
        <v>Expedição:ex-escolas-exponenciais:</v>
      </c>
      <c r="G478" s="39">
        <f t="array" ref="G478">XLOOKUP(B478,'Página9'!A:A,'Página9'!F:F,"")</f>
        <v>-158</v>
      </c>
      <c r="H478" s="39">
        <f t="array" ref="H478">XLOOKUP(B478,'Página9'!A:A,'Página9'!C:C,"")</f>
        <v>40</v>
      </c>
      <c r="I478" s="35" t="str">
        <f t="array" ref="I478">XLOOKUP(B478,'Página9'!A:A,'Página9'!G:G,"")</f>
        <v>REPOR ESTOQUE</v>
      </c>
      <c r="J478" s="25" t="str">
        <f t="shared" si="1"/>
        <v>EXPEDIÇÃO</v>
      </c>
      <c r="K478" s="25" t="str">
        <f>IFERROR(__xludf.DUMMYFUNCTION("""COMPUTED_VALUE"""),"Pericles Cavalcante De Lima Maciel")</f>
        <v>Pericles Cavalcante De Lima Maciel</v>
      </c>
    </row>
    <row r="479">
      <c r="A479" s="37">
        <f>IFERROR(__xludf.DUMMYFUNCTION("""COMPUTED_VALUE"""),45980.58037037037)</f>
        <v>45980.58037</v>
      </c>
      <c r="B479" s="42" t="str">
        <f>IFERROR(__xludf.DUMMYFUNCTION("""COMPUTED_VALUE"""),"MCC015UC0045")</f>
        <v>MCC015UC0045</v>
      </c>
      <c r="C479" s="31" t="str">
        <f>IFERROR(__xludf.DUMMYFUNCTION("""COMPUTED_VALUE"""),"FITA ADESIVA 69MM X 100M")</f>
        <v>FITA ADESIVA 69MM X 100M</v>
      </c>
      <c r="D479" s="39">
        <f>IFERROR(__xludf.DUMMYFUNCTION("""COMPUTED_VALUE"""),4.0)</f>
        <v>4</v>
      </c>
      <c r="E479" s="34" t="str">
        <f>IFERROR(__xludf.DUMMYFUNCTION("""COMPUTED_VALUE"""),"Saída")</f>
        <v>Saída</v>
      </c>
      <c r="F479" s="34" t="str">
        <f>IFERROR(__xludf.DUMMYFUNCTION("""COMPUTED_VALUE"""),"Estoque:package:")</f>
        <v>Estoque:package:</v>
      </c>
      <c r="G479" s="39">
        <f t="array" ref="G479">XLOOKUP(B479,'Página9'!A:A,'Página9'!F:F,"")</f>
        <v>287</v>
      </c>
      <c r="H479" s="39">
        <f t="array" ref="H479">XLOOKUP(B479,'Página9'!A:A,'Página9'!C:C,"")</f>
        <v>20</v>
      </c>
      <c r="I479" s="35" t="str">
        <f t="array" ref="I479">XLOOKUP(B479,'Página9'!A:A,'Página9'!G:G,"")</f>
        <v>OK</v>
      </c>
      <c r="J479" s="25" t="str">
        <f t="shared" si="1"/>
        <v>ESTOQUE</v>
      </c>
      <c r="K479" s="25" t="str">
        <f>IFERROR(__xludf.DUMMYFUNCTION("""COMPUTED_VALUE"""),"Rubens Ribeiro Lisboa")</f>
        <v>Rubens Ribeiro Lisboa</v>
      </c>
    </row>
    <row r="480">
      <c r="A480" s="37">
        <f>IFERROR(__xludf.DUMMYFUNCTION("""COMPUTED_VALUE"""),45980.64576388889)</f>
        <v>45980.64576</v>
      </c>
      <c r="B480" s="42" t="str">
        <f>IFERROR(__xludf.DUMMYFUNCTION("""COMPUTED_VALUE"""),"MCC049UC0288")</f>
        <v>MCC049UC0288</v>
      </c>
      <c r="C480" s="31" t="str">
        <f>IFERROR(__xludf.DUMMYFUNCTION("""COMPUTED_VALUE"""),"FITILHO POLIPROPILENO P/EMBALAGEM")</f>
        <v>FITILHO POLIPROPILENO P/EMBALAGEM</v>
      </c>
      <c r="D480" s="39">
        <f>IFERROR(__xludf.DUMMYFUNCTION("""COMPUTED_VALUE"""),1.0)</f>
        <v>1</v>
      </c>
      <c r="E480" s="34" t="str">
        <f>IFERROR(__xludf.DUMMYFUNCTION("""COMPUTED_VALUE"""),"Saída")</f>
        <v>Saída</v>
      </c>
      <c r="F480" s="34" t="str">
        <f>IFERROR(__xludf.DUMMYFUNCTION("""COMPUTED_VALUE"""),"Recebimento:truck:")</f>
        <v>Recebimento:truck:</v>
      </c>
      <c r="G480" s="39">
        <f t="array" ref="G480">XLOOKUP(B480,'Página9'!A:A,'Página9'!F:F,"")</f>
        <v>-24</v>
      </c>
      <c r="H480" s="39">
        <f t="array" ref="H480">XLOOKUP(B480,'Página9'!A:A,'Página9'!C:C,"")</f>
        <v>2</v>
      </c>
      <c r="I480" s="35" t="str">
        <f t="array" ref="I480">XLOOKUP(B480,'Página9'!A:A,'Página9'!G:G,"")</f>
        <v>REPOR ESTOQUE</v>
      </c>
      <c r="J480" s="25" t="str">
        <f t="shared" si="1"/>
        <v>RECEBIMENTO</v>
      </c>
      <c r="K480" s="25" t="str">
        <f>IFERROR(__xludf.DUMMYFUNCTION("""COMPUTED_VALUE"""),"Rejane Fontes De Sousa")</f>
        <v>Rejane Fontes De Sousa</v>
      </c>
    </row>
    <row r="481">
      <c r="A481" s="37">
        <f>IFERROR(__xludf.DUMMYFUNCTION("""COMPUTED_VALUE"""),45980.70303240741)</f>
        <v>45980.70303</v>
      </c>
      <c r="B481" s="42" t="str">
        <f>IFERROR(__xludf.DUMMYFUNCTION("""COMPUTED_VALUE"""),"MCC015UC0045")</f>
        <v>MCC015UC0045</v>
      </c>
      <c r="C481" s="31" t="str">
        <f>IFERROR(__xludf.DUMMYFUNCTION("""COMPUTED_VALUE"""),"FITA ADESIVA 69MM X 100M")</f>
        <v>FITA ADESIVA 69MM X 100M</v>
      </c>
      <c r="D481" s="39">
        <f>IFERROR(__xludf.DUMMYFUNCTION("""COMPUTED_VALUE"""),25.0)</f>
        <v>25</v>
      </c>
      <c r="E481" s="34" t="str">
        <f>IFERROR(__xludf.DUMMYFUNCTION("""COMPUTED_VALUE"""),"Saída")</f>
        <v>Saída</v>
      </c>
      <c r="F481" s="34" t="str">
        <f>IFERROR(__xludf.DUMMYFUNCTION("""COMPUTED_VALUE"""),"Expedição:ex-escolas-exponenciais:")</f>
        <v>Expedição:ex-escolas-exponenciais:</v>
      </c>
      <c r="G481" s="39">
        <f t="array" ref="G481">XLOOKUP(B481,'Página9'!A:A,'Página9'!F:F,"")</f>
        <v>287</v>
      </c>
      <c r="H481" s="39">
        <f t="array" ref="H481">XLOOKUP(B481,'Página9'!A:A,'Página9'!C:C,"")</f>
        <v>20</v>
      </c>
      <c r="I481" s="35" t="str">
        <f t="array" ref="I481">XLOOKUP(B481,'Página9'!A:A,'Página9'!G:G,"")</f>
        <v>OK</v>
      </c>
      <c r="J481" s="25" t="str">
        <f t="shared" si="1"/>
        <v>EXPEDIÇÃO</v>
      </c>
      <c r="K481" s="25" t="str">
        <f>IFERROR(__xludf.DUMMYFUNCTION("""COMPUTED_VALUE"""),"Jose Edervanio Lima Mateus")</f>
        <v>Jose Edervanio Lima Mateus</v>
      </c>
    </row>
    <row r="482">
      <c r="A482" s="37">
        <f>IFERROR(__xludf.DUMMYFUNCTION("""COMPUTED_VALUE"""),45980.71375)</f>
        <v>45980.71375</v>
      </c>
      <c r="B482" s="42" t="str">
        <f>IFERROR(__xludf.DUMMYFUNCTION("""COMPUTED_VALUE"""),"MCC046UC0549")</f>
        <v>MCC046UC0549</v>
      </c>
      <c r="C482" s="31" t="str">
        <f>IFERROR(__xludf.DUMMYFUNCTION("""COMPUTED_VALUE"""),"PRANCHETA OFICIO MDF PRENDEDOR METAL ACRIMET 105")</f>
        <v>PRANCHETA OFICIO MDF PRENDEDOR METAL ACRIMET 105</v>
      </c>
      <c r="D482" s="39">
        <f>IFERROR(__xludf.DUMMYFUNCTION("""COMPUTED_VALUE"""),5.0)</f>
        <v>5</v>
      </c>
      <c r="E482" s="34" t="str">
        <f>IFERROR(__xludf.DUMMYFUNCTION("""COMPUTED_VALUE"""),"Saída")</f>
        <v>Saída</v>
      </c>
      <c r="F482" s="34" t="str">
        <f>IFERROR(__xludf.DUMMYFUNCTION("""COMPUTED_VALUE"""),"Recebimento:truck:")</f>
        <v>Recebimento:truck:</v>
      </c>
      <c r="G482" s="39">
        <f t="array" ref="G482">XLOOKUP(B482,'Página9'!A:A,'Página9'!F:F,"")</f>
        <v>-2</v>
      </c>
      <c r="H482" s="39">
        <f t="array" ref="H482">XLOOKUP(B482,'Página9'!A:A,'Página9'!C:C,"")</f>
        <v>5</v>
      </c>
      <c r="I482" s="35" t="str">
        <f t="array" ref="I482">XLOOKUP(B482,'Página9'!A:A,'Página9'!G:G,"")</f>
        <v>REPOR ESTOQUE</v>
      </c>
      <c r="J482" s="25" t="str">
        <f t="shared" si="1"/>
        <v>RECEBIMENTO</v>
      </c>
      <c r="K482" s="25" t="str">
        <f>IFERROR(__xludf.DUMMYFUNCTION("""COMPUTED_VALUE"""),"Rejane Fontes De Sousa")</f>
        <v>Rejane Fontes De Sousa</v>
      </c>
    </row>
    <row r="483">
      <c r="A483" s="37">
        <f>IFERROR(__xludf.DUMMYFUNCTION("""COMPUTED_VALUE"""),45980.73553240741)</f>
        <v>45980.73553</v>
      </c>
      <c r="B483" s="42" t="str">
        <f>IFERROR(__xludf.DUMMYFUNCTION("""COMPUTED_VALUE"""),"MCC046UC0082")</f>
        <v>MCC046UC0082</v>
      </c>
      <c r="C483" s="31" t="str">
        <f>IFERROR(__xludf.DUMMYFUNCTION("""COMPUTED_VALUE"""),"PAPEL SULFITE A4 75G 500 FOLHAS")</f>
        <v>PAPEL SULFITE A4 75G 500 FOLHAS</v>
      </c>
      <c r="D483" s="39">
        <f>IFERROR(__xludf.DUMMYFUNCTION("""COMPUTED_VALUE"""),1.0)</f>
        <v>1</v>
      </c>
      <c r="E483" s="34" t="str">
        <f>IFERROR(__xludf.DUMMYFUNCTION("""COMPUTED_VALUE"""),"Saída")</f>
        <v>Saída</v>
      </c>
      <c r="F483" s="34" t="str">
        <f>IFERROR(__xludf.DUMMYFUNCTION("""COMPUTED_VALUE"""),"Expedição:ex-escolas-exponenciais:")</f>
        <v>Expedição:ex-escolas-exponenciais:</v>
      </c>
      <c r="G483" s="39">
        <f t="array" ref="G483">XLOOKUP(B483,'Página9'!A:A,'Página9'!F:F,"")</f>
        <v>163</v>
      </c>
      <c r="H483" s="39">
        <f t="array" ref="H483">XLOOKUP(B483,'Página9'!A:A,'Página9'!C:C,"")</f>
        <v>10</v>
      </c>
      <c r="I483" s="35" t="str">
        <f t="array" ref="I483">XLOOKUP(B483,'Página9'!A:A,'Página9'!G:G,"")</f>
        <v>OK</v>
      </c>
      <c r="J483" s="25" t="str">
        <f t="shared" si="1"/>
        <v>EXPEDIÇÃO</v>
      </c>
      <c r="K483" s="25" t="str">
        <f>IFERROR(__xludf.DUMMYFUNCTION("""COMPUTED_VALUE"""),"Suellen Aguiar Da Silva")</f>
        <v>Suellen Aguiar Da Silva</v>
      </c>
    </row>
    <row r="484">
      <c r="A484" s="37">
        <f>IFERROR(__xludf.DUMMYFUNCTION("""COMPUTED_VALUE"""),45980.76542824074)</f>
        <v>45980.76543</v>
      </c>
      <c r="B484" s="42" t="str">
        <f>IFERROR(__xludf.DUMMYFUNCTION("""COMPUTED_VALUE"""),"MCC046UC0216")</f>
        <v>MCC046UC0216</v>
      </c>
      <c r="C484" s="31" t="str">
        <f>IFERROR(__xludf.DUMMYFUNCTION("""COMPUTED_VALUE"""),"CANETA ESFEROGRAFICA ECONOMIC PRETA BIC")</f>
        <v>CANETA ESFEROGRAFICA ECONOMIC PRETA BIC</v>
      </c>
      <c r="D484" s="39">
        <f>IFERROR(__xludf.DUMMYFUNCTION("""COMPUTED_VALUE"""),2.0)</f>
        <v>2</v>
      </c>
      <c r="E484" s="34" t="str">
        <f>IFERROR(__xludf.DUMMYFUNCTION("""COMPUTED_VALUE"""),"Saída")</f>
        <v>Saída</v>
      </c>
      <c r="F484" s="34" t="str">
        <f>IFERROR(__xludf.DUMMYFUNCTION("""COMPUTED_VALUE"""),"Expedição:ex-escolas-exponenciais:")</f>
        <v>Expedição:ex-escolas-exponenciais:</v>
      </c>
      <c r="G484" s="39">
        <f t="array" ref="G484">XLOOKUP(B484,'Página9'!A:A,'Página9'!F:F,"")</f>
        <v>89</v>
      </c>
      <c r="H484" s="39">
        <f t="array" ref="H484">XLOOKUP(B484,'Página9'!A:A,'Página9'!C:C,"")</f>
        <v>15</v>
      </c>
      <c r="I484" s="35" t="str">
        <f t="array" ref="I484">XLOOKUP(B484,'Página9'!A:A,'Página9'!G:G,"")</f>
        <v>OK</v>
      </c>
      <c r="J484" s="25" t="str">
        <f t="shared" si="1"/>
        <v>EXPEDIÇÃO</v>
      </c>
      <c r="K484" s="25" t="str">
        <f>IFERROR(__xludf.DUMMYFUNCTION("""COMPUTED_VALUE"""),"Jose Antoniel Silva Mesquita")</f>
        <v>Jose Antoniel Silva Mesquita</v>
      </c>
    </row>
    <row r="485">
      <c r="A485" s="37">
        <f>IFERROR(__xludf.DUMMYFUNCTION("""COMPUTED_VALUE"""),45980.83949074074)</f>
        <v>45980.83949</v>
      </c>
      <c r="B485" s="42" t="str">
        <f>IFERROR(__xludf.DUMMYFUNCTION("""COMPUTED_VALUE"""),"MCC049UC0603")</f>
        <v>MCC049UC0603</v>
      </c>
      <c r="C485" s="31" t="str">
        <f>IFERROR(__xludf.DUMMYFUNCTION("""COMPUTED_VALUE"""),"PLASTICO PLASTIF. A-4 220/307 C/100 UN PROLAM")</f>
        <v>PLASTICO PLASTIF. A-4 220/307 C/100 UN PROLAM</v>
      </c>
      <c r="D485" s="39">
        <f>IFERROR(__xludf.DUMMYFUNCTION("""COMPUTED_VALUE"""),20.0)</f>
        <v>20</v>
      </c>
      <c r="E485" s="34" t="str">
        <f>IFERROR(__xludf.DUMMYFUNCTION("""COMPUTED_VALUE"""),"Saída")</f>
        <v>Saída</v>
      </c>
      <c r="F485" s="34" t="str">
        <f>IFERROR(__xludf.DUMMYFUNCTION("""COMPUTED_VALUE"""),"Estoque:package:")</f>
        <v>Estoque:package:</v>
      </c>
      <c r="G485" s="39">
        <f t="array" ref="G485">XLOOKUP(B485,'Página9'!A:A,'Página9'!F:F,"")</f>
        <v>-504</v>
      </c>
      <c r="H485" s="39">
        <f t="array" ref="H485">XLOOKUP(B485,'Página9'!A:A,'Página9'!C:C,"")</f>
        <v>150</v>
      </c>
      <c r="I485" s="35" t="str">
        <f t="array" ref="I485">XLOOKUP(B485,'Página9'!A:A,'Página9'!G:G,"")</f>
        <v>REPOR ESTOQUE</v>
      </c>
      <c r="J485" s="25" t="str">
        <f t="shared" si="1"/>
        <v>ESTOQUE</v>
      </c>
      <c r="K485" s="25" t="str">
        <f>IFERROR(__xludf.DUMMYFUNCTION("""COMPUTED_VALUE"""),"Allison Breno Da Costa Borges Soares")</f>
        <v>Allison Breno Da Costa Borges Soares</v>
      </c>
    </row>
    <row r="486">
      <c r="A486" s="37">
        <f>IFERROR(__xludf.DUMMYFUNCTION("""COMPUTED_VALUE"""),45981.567453703705)</f>
        <v>45981.56745</v>
      </c>
      <c r="B486" s="42" t="str">
        <f>IFERROR(__xludf.DUMMYFUNCTION("""COMPUTED_VALUE"""),"MCC015UC0008")</f>
        <v>MCC015UC0008</v>
      </c>
      <c r="C486" s="31" t="str">
        <f>IFERROR(__xludf.DUMMYFUNCTION("""COMPUTED_VALUE"""),"FILME STRETCH 500X25")</f>
        <v>FILME STRETCH 500X25</v>
      </c>
      <c r="D486" s="39">
        <f>IFERROR(__xludf.DUMMYFUNCTION("""COMPUTED_VALUE"""),2.0)</f>
        <v>2</v>
      </c>
      <c r="E486" s="34" t="str">
        <f>IFERROR(__xludf.DUMMYFUNCTION("""COMPUTED_VALUE"""),"Saída")</f>
        <v>Saída</v>
      </c>
      <c r="F486" s="34" t="str">
        <f>IFERROR(__xludf.DUMMYFUNCTION("""COMPUTED_VALUE"""),"Estoque:package:")</f>
        <v>Estoque:package:</v>
      </c>
      <c r="G486" s="39">
        <f t="array" ref="G486">XLOOKUP(B486,'Página9'!A:A,'Página9'!F:F,"")</f>
        <v>-158</v>
      </c>
      <c r="H486" s="39">
        <f t="array" ref="H486">XLOOKUP(B486,'Página9'!A:A,'Página9'!C:C,"")</f>
        <v>40</v>
      </c>
      <c r="I486" s="35" t="str">
        <f t="array" ref="I486">XLOOKUP(B486,'Página9'!A:A,'Página9'!G:G,"")</f>
        <v>REPOR ESTOQUE</v>
      </c>
      <c r="J486" s="25" t="str">
        <f t="shared" si="1"/>
        <v>ESTOQUE</v>
      </c>
      <c r="K486" s="25" t="str">
        <f>IFERROR(__xludf.DUMMYFUNCTION("""COMPUTED_VALUE"""),"Francisco Edson Oliveira Dos Santos Vieira")</f>
        <v>Francisco Edson Oliveira Dos Santos Vieira</v>
      </c>
    </row>
    <row r="487">
      <c r="A487" s="37">
        <f>IFERROR(__xludf.DUMMYFUNCTION("""COMPUTED_VALUE"""),45981.60122685185)</f>
        <v>45981.60123</v>
      </c>
      <c r="B487" s="42" t="str">
        <f>IFERROR(__xludf.DUMMYFUNCTION("""COMPUTED_VALUE"""),"MCC046UC0525")</f>
        <v>MCC046UC0525</v>
      </c>
      <c r="C487" s="31" t="str">
        <f>IFERROR(__xludf.DUMMYFUNCTION("""COMPUTED_VALUE"""),"CANETA PINCEL ATOMICO AZUL PILOT 1100")</f>
        <v>CANETA PINCEL ATOMICO AZUL PILOT 1100</v>
      </c>
      <c r="D487" s="39">
        <f>IFERROR(__xludf.DUMMYFUNCTION("""COMPUTED_VALUE"""),1.0)</f>
        <v>1</v>
      </c>
      <c r="E487" s="34" t="str">
        <f>IFERROR(__xludf.DUMMYFUNCTION("""COMPUTED_VALUE"""),"Saída")</f>
        <v>Saída</v>
      </c>
      <c r="F487" s="34" t="str">
        <f>IFERROR(__xludf.DUMMYFUNCTION("""COMPUTED_VALUE"""),"Estoque:package:")</f>
        <v>Estoque:package:</v>
      </c>
      <c r="G487" s="39">
        <f t="array" ref="G487">XLOOKUP(B487,'Página9'!A:A,'Página9'!F:F,"")</f>
        <v>5</v>
      </c>
      <c r="H487" s="39">
        <f t="array" ref="H487">XLOOKUP(B487,'Página9'!A:A,'Página9'!C:C,"")</f>
        <v>3</v>
      </c>
      <c r="I487" s="35" t="str">
        <f t="array" ref="I487">XLOOKUP(B487,'Página9'!A:A,'Página9'!G:G,"")</f>
        <v>OK</v>
      </c>
      <c r="J487" s="25" t="str">
        <f t="shared" si="1"/>
        <v>ESTOQUE</v>
      </c>
      <c r="K487" s="25" t="str">
        <f>IFERROR(__xludf.DUMMYFUNCTION("""COMPUTED_VALUE"""),"Matheus De Almeida Rodrigues")</f>
        <v>Matheus De Almeida Rodrigues</v>
      </c>
    </row>
    <row r="488">
      <c r="A488" s="37">
        <f>IFERROR(__xludf.DUMMYFUNCTION("""COMPUTED_VALUE"""),45981.60207175926)</f>
        <v>45981.60207</v>
      </c>
      <c r="B488" s="42" t="str">
        <f>IFERROR(__xludf.DUMMYFUNCTION("""COMPUTED_VALUE"""),"MCC015UC0008")</f>
        <v>MCC015UC0008</v>
      </c>
      <c r="C488" s="31" t="str">
        <f>IFERROR(__xludf.DUMMYFUNCTION("""COMPUTED_VALUE"""),"FILME STRETCH 500X25")</f>
        <v>FILME STRETCH 500X25</v>
      </c>
      <c r="D488" s="39">
        <f>IFERROR(__xludf.DUMMYFUNCTION("""COMPUTED_VALUE"""),10.0)</f>
        <v>10</v>
      </c>
      <c r="E488" s="34" t="str">
        <f>IFERROR(__xludf.DUMMYFUNCTION("""COMPUTED_VALUE"""),"Saída")</f>
        <v>Saída</v>
      </c>
      <c r="F488" s="34" t="str">
        <f>IFERROR(__xludf.DUMMYFUNCTION("""COMPUTED_VALUE"""),"PMM:livro-voador:")</f>
        <v>PMM:livro-voador:</v>
      </c>
      <c r="G488" s="39">
        <f t="array" ref="G488">XLOOKUP(B488,'Página9'!A:A,'Página9'!F:F,"")</f>
        <v>-158</v>
      </c>
      <c r="H488" s="39">
        <f t="array" ref="H488">XLOOKUP(B488,'Página9'!A:A,'Página9'!C:C,"")</f>
        <v>40</v>
      </c>
      <c r="I488" s="35" t="str">
        <f t="array" ref="I488">XLOOKUP(B488,'Página9'!A:A,'Página9'!G:G,"")</f>
        <v>REPOR ESTOQUE</v>
      </c>
      <c r="J488" s="25" t="str">
        <f t="shared" si="1"/>
        <v>PMM</v>
      </c>
      <c r="K488" s="25" t="str">
        <f>IFERROR(__xludf.DUMMYFUNCTION("""COMPUTED_VALUE"""),"Gabriel De Sousa Freitas")</f>
        <v>Gabriel De Sousa Freitas</v>
      </c>
    </row>
    <row r="489">
      <c r="A489" s="37">
        <f>IFERROR(__xludf.DUMMYFUNCTION("""COMPUTED_VALUE"""),45981.67605324074)</f>
        <v>45981.67605</v>
      </c>
      <c r="B489" s="42" t="str">
        <f>IFERROR(__xludf.DUMMYFUNCTION("""COMPUTED_VALUE"""),"MCC046UC0695")</f>
        <v>MCC046UC0695</v>
      </c>
      <c r="C489" s="31" t="str">
        <f>IFERROR(__xludf.DUMMYFUNCTION("""COMPUTED_VALUE"""),"ETIQUETA COUCHE 98X50X1")</f>
        <v>ETIQUETA COUCHE 98X50X1</v>
      </c>
      <c r="D489" s="39">
        <f>IFERROR(__xludf.DUMMYFUNCTION("""COMPUTED_VALUE"""),5.0)</f>
        <v>5</v>
      </c>
      <c r="E489" s="34" t="str">
        <f>IFERROR(__xludf.DUMMYFUNCTION("""COMPUTED_VALUE"""),"Saída")</f>
        <v>Saída</v>
      </c>
      <c r="F489" s="34" t="str">
        <f>IFERROR(__xludf.DUMMYFUNCTION("""COMPUTED_VALUE"""),"Expedição:ex-escolas-exponenciais:")</f>
        <v>Expedição:ex-escolas-exponenciais:</v>
      </c>
      <c r="G489" s="39">
        <f t="array" ref="G489">XLOOKUP(B489,'Página9'!A:A,'Página9'!F:F,"")</f>
        <v>256</v>
      </c>
      <c r="H489" s="39">
        <f t="array" ref="H489">XLOOKUP(B489,'Página9'!A:A,'Página9'!C:C,"")</f>
        <v>20</v>
      </c>
      <c r="I489" s="35" t="str">
        <f t="array" ref="I489">XLOOKUP(B489,'Página9'!A:A,'Página9'!G:G,"")</f>
        <v>OK</v>
      </c>
      <c r="J489" s="25" t="str">
        <f t="shared" si="1"/>
        <v>EXPEDIÇÃO</v>
      </c>
      <c r="K489" s="25" t="str">
        <f>IFERROR(__xludf.DUMMYFUNCTION("""COMPUTED_VALUE"""),"Paulo Henrique Chagas De Oliveira")</f>
        <v>Paulo Henrique Chagas De Oliveira</v>
      </c>
    </row>
    <row r="490">
      <c r="A490" s="37">
        <f>IFERROR(__xludf.DUMMYFUNCTION("""COMPUTED_VALUE"""),45981.67648148148)</f>
        <v>45981.67648</v>
      </c>
      <c r="B490" s="42" t="str">
        <f>IFERROR(__xludf.DUMMYFUNCTION("""COMPUTED_VALUE"""),"EMC015MO0001")</f>
        <v>EMC015MO0001</v>
      </c>
      <c r="C490" s="31" t="str">
        <f>IFERROR(__xludf.DUMMYFUNCTION("""COMPUTED_VALUE"""),"RIBBON CERA PRETO 110MMX300M")</f>
        <v>RIBBON CERA PRETO 110MMX300M</v>
      </c>
      <c r="D490" s="39">
        <f>IFERROR(__xludf.DUMMYFUNCTION("""COMPUTED_VALUE"""),5.0)</f>
        <v>5</v>
      </c>
      <c r="E490" s="34" t="str">
        <f>IFERROR(__xludf.DUMMYFUNCTION("""COMPUTED_VALUE"""),"Saída")</f>
        <v>Saída</v>
      </c>
      <c r="F490" s="34" t="str">
        <f>IFERROR(__xludf.DUMMYFUNCTION("""COMPUTED_VALUE"""),"Expedição:ex-escolas-exponenciais:")</f>
        <v>Expedição:ex-escolas-exponenciais:</v>
      </c>
      <c r="G490" s="39">
        <f t="array" ref="G490">XLOOKUP(B490,'Página9'!A:A,'Página9'!F:F,"")</f>
        <v>390</v>
      </c>
      <c r="H490" s="39">
        <f t="array" ref="H490">XLOOKUP(B490,'Página9'!A:A,'Página9'!C:C,"")</f>
        <v>5</v>
      </c>
      <c r="I490" s="35" t="str">
        <f t="array" ref="I490">XLOOKUP(B490,'Página9'!A:A,'Página9'!G:G,"")</f>
        <v>OK</v>
      </c>
      <c r="J490" s="25" t="str">
        <f t="shared" si="1"/>
        <v>EXPEDIÇÃO</v>
      </c>
      <c r="K490" s="25" t="str">
        <f>IFERROR(__xludf.DUMMYFUNCTION("""COMPUTED_VALUE"""),"Paulo Henrique Chagas De Oliveira")</f>
        <v>Paulo Henrique Chagas De Oliveira</v>
      </c>
    </row>
    <row r="491">
      <c r="A491" s="37">
        <f>IFERROR(__xludf.DUMMYFUNCTION("""COMPUTED_VALUE"""),45981.76604166667)</f>
        <v>45981.76604</v>
      </c>
      <c r="B491" s="42" t="str">
        <f>IFERROR(__xludf.DUMMYFUNCTION("""COMPUTED_VALUE"""),"MCC015UC0045")</f>
        <v>MCC015UC0045</v>
      </c>
      <c r="C491" s="31" t="str">
        <f>IFERROR(__xludf.DUMMYFUNCTION("""COMPUTED_VALUE"""),"FITA ADESIVA 69MM X 100M")</f>
        <v>FITA ADESIVA 69MM X 100M</v>
      </c>
      <c r="D491" s="39">
        <f>IFERROR(__xludf.DUMMYFUNCTION("""COMPUTED_VALUE"""),24.0)</f>
        <v>24</v>
      </c>
      <c r="E491" s="34" t="str">
        <f>IFERROR(__xludf.DUMMYFUNCTION("""COMPUTED_VALUE"""),"Saída")</f>
        <v>Saída</v>
      </c>
      <c r="F491" s="34" t="str">
        <f>IFERROR(__xludf.DUMMYFUNCTION("""COMPUTED_VALUE"""),"Expedição:ex-escolas-exponenciais:")</f>
        <v>Expedição:ex-escolas-exponenciais:</v>
      </c>
      <c r="G491" s="39">
        <f t="array" ref="G491">XLOOKUP(B491,'Página9'!A:A,'Página9'!F:F,"")</f>
        <v>287</v>
      </c>
      <c r="H491" s="39">
        <f t="array" ref="H491">XLOOKUP(B491,'Página9'!A:A,'Página9'!C:C,"")</f>
        <v>20</v>
      </c>
      <c r="I491" s="35" t="str">
        <f t="array" ref="I491">XLOOKUP(B491,'Página9'!A:A,'Página9'!G:G,"")</f>
        <v>OK</v>
      </c>
      <c r="J491" s="25" t="str">
        <f t="shared" si="1"/>
        <v>EXPEDIÇÃO</v>
      </c>
      <c r="K491" s="25" t="str">
        <f>IFERROR(__xludf.DUMMYFUNCTION("""COMPUTED_VALUE"""),"Silvana Da Silva Pereira")</f>
        <v>Silvana Da Silva Pereira</v>
      </c>
    </row>
    <row r="492">
      <c r="A492" s="37">
        <f>IFERROR(__xludf.DUMMYFUNCTION("""COMPUTED_VALUE"""),45982.50769675926)</f>
        <v>45982.5077</v>
      </c>
      <c r="B492" s="42" t="str">
        <f>IFERROR(__xludf.DUMMYFUNCTION("""COMPUTED_VALUE"""),"MCC046UC0596")</f>
        <v>MCC046UC0596</v>
      </c>
      <c r="C492" s="31" t="str">
        <f>IFERROR(__xludf.DUMMYFUNCTION("""COMPUTED_VALUE"""),"ETIQUETA ADESIVA COUCHE BRANCA   - 105X150MM SAS")</f>
        <v>ETIQUETA ADESIVA COUCHE BRANCA   - 105X150MM SAS</v>
      </c>
      <c r="D492" s="39">
        <f>IFERROR(__xludf.DUMMYFUNCTION("""COMPUTED_VALUE"""),15.0)</f>
        <v>15</v>
      </c>
      <c r="E492" s="34" t="str">
        <f>IFERROR(__xludf.DUMMYFUNCTION("""COMPUTED_VALUE"""),"Saída")</f>
        <v>Saída</v>
      </c>
      <c r="F492" s="34" t="str">
        <f>IFERROR(__xludf.DUMMYFUNCTION("""COMPUTED_VALUE"""),"Expedição:ex-escolas-exponenciais:")</f>
        <v>Expedição:ex-escolas-exponenciais:</v>
      </c>
      <c r="G492" s="39">
        <f t="array" ref="G492">XLOOKUP(B492,'Página9'!A:A,'Página9'!F:F,"")</f>
        <v>157</v>
      </c>
      <c r="H492" s="39">
        <f t="array" ref="H492">XLOOKUP(B492,'Página9'!A:A,'Página9'!C:C,"")</f>
        <v>20</v>
      </c>
      <c r="I492" s="35" t="str">
        <f t="array" ref="I492">XLOOKUP(B492,'Página9'!A:A,'Página9'!G:G,"")</f>
        <v>OK</v>
      </c>
      <c r="J492" s="25" t="str">
        <f t="shared" si="1"/>
        <v>EXPEDIÇÃO</v>
      </c>
      <c r="K492" s="25" t="str">
        <f>IFERROR(__xludf.DUMMYFUNCTION("""COMPUTED_VALUE"""),"Philipe Araujo Barroso")</f>
        <v>Philipe Araujo Barroso</v>
      </c>
    </row>
    <row r="493">
      <c r="A493" s="37">
        <f>IFERROR(__xludf.DUMMYFUNCTION("""COMPUTED_VALUE"""),45982.530439814815)</f>
        <v>45982.53044</v>
      </c>
      <c r="B493" s="42" t="str">
        <f>IFERROR(__xludf.DUMMYFUNCTION("""COMPUTED_VALUE"""),"MCC046UC0082")</f>
        <v>MCC046UC0082</v>
      </c>
      <c r="C493" s="31" t="str">
        <f>IFERROR(__xludf.DUMMYFUNCTION("""COMPUTED_VALUE"""),"PAPEL SULFITE A4 75G 500 FOLHAS")</f>
        <v>PAPEL SULFITE A4 75G 500 FOLHAS</v>
      </c>
      <c r="D493" s="39">
        <f>IFERROR(__xludf.DUMMYFUNCTION("""COMPUTED_VALUE"""),3.0)</f>
        <v>3</v>
      </c>
      <c r="E493" s="34" t="str">
        <f>IFERROR(__xludf.DUMMYFUNCTION("""COMPUTED_VALUE"""),"Saída")</f>
        <v>Saída</v>
      </c>
      <c r="F493" s="34" t="str">
        <f>IFERROR(__xludf.DUMMYFUNCTION("""COMPUTED_VALUE"""),"Expedição:ex-escolas-exponenciais:")</f>
        <v>Expedição:ex-escolas-exponenciais:</v>
      </c>
      <c r="G493" s="39">
        <f t="array" ref="G493">XLOOKUP(B493,'Página9'!A:A,'Página9'!F:F,"")</f>
        <v>163</v>
      </c>
      <c r="H493" s="39">
        <f t="array" ref="H493">XLOOKUP(B493,'Página9'!A:A,'Página9'!C:C,"")</f>
        <v>10</v>
      </c>
      <c r="I493" s="35" t="str">
        <f t="array" ref="I493">XLOOKUP(B493,'Página9'!A:A,'Página9'!G:G,"")</f>
        <v>OK</v>
      </c>
      <c r="J493" s="25" t="str">
        <f t="shared" si="1"/>
        <v>EXPEDIÇÃO</v>
      </c>
      <c r="K493" s="25" t="str">
        <f>IFERROR(__xludf.DUMMYFUNCTION("""COMPUTED_VALUE"""),"Allison Breno Da Costa Borges Soares")</f>
        <v>Allison Breno Da Costa Borges Soares</v>
      </c>
    </row>
    <row r="494">
      <c r="A494" s="37">
        <f>IFERROR(__xludf.DUMMYFUNCTION("""COMPUTED_VALUE"""),45982.677881944444)</f>
        <v>45982.67788</v>
      </c>
      <c r="B494" s="42" t="str">
        <f>IFERROR(__xludf.DUMMYFUNCTION("""COMPUTED_VALUE"""),"MCC015UC0008")</f>
        <v>MCC015UC0008</v>
      </c>
      <c r="C494" s="31" t="str">
        <f>IFERROR(__xludf.DUMMYFUNCTION("""COMPUTED_VALUE"""),"FILME STRETCH 500X25")</f>
        <v>FILME STRETCH 500X25</v>
      </c>
      <c r="D494" s="39">
        <f>IFERROR(__xludf.DUMMYFUNCTION("""COMPUTED_VALUE"""),4.0)</f>
        <v>4</v>
      </c>
      <c r="E494" s="34" t="str">
        <f>IFERROR(__xludf.DUMMYFUNCTION("""COMPUTED_VALUE"""),"Saída")</f>
        <v>Saída</v>
      </c>
      <c r="F494" s="34" t="str">
        <f>IFERROR(__xludf.DUMMYFUNCTION("""COMPUTED_VALUE"""),"Estoque:package:")</f>
        <v>Estoque:package:</v>
      </c>
      <c r="G494" s="39">
        <f t="array" ref="G494">XLOOKUP(B494,'Página9'!A:A,'Página9'!F:F,"")</f>
        <v>-158</v>
      </c>
      <c r="H494" s="39">
        <f t="array" ref="H494">XLOOKUP(B494,'Página9'!A:A,'Página9'!C:C,"")</f>
        <v>40</v>
      </c>
      <c r="I494" s="35" t="str">
        <f t="array" ref="I494">XLOOKUP(B494,'Página9'!A:A,'Página9'!G:G,"")</f>
        <v>REPOR ESTOQUE</v>
      </c>
      <c r="J494" s="25" t="str">
        <f t="shared" si="1"/>
        <v>ESTOQUE</v>
      </c>
      <c r="K494" s="25" t="str">
        <f>IFERROR(__xludf.DUMMYFUNCTION("""COMPUTED_VALUE"""),"Jose Edervanio Lima Mateus")</f>
        <v>Jose Edervanio Lima Mateus</v>
      </c>
    </row>
    <row r="495">
      <c r="A495" s="37">
        <f>IFERROR(__xludf.DUMMYFUNCTION("""COMPUTED_VALUE"""),45983.47096064815)</f>
        <v>45983.47096</v>
      </c>
      <c r="B495" s="42" t="str">
        <f>IFERROR(__xludf.DUMMYFUNCTION("""COMPUTED_VALUE"""),"EMC015MO0001")</f>
        <v>EMC015MO0001</v>
      </c>
      <c r="C495" s="31" t="str">
        <f>IFERROR(__xludf.DUMMYFUNCTION("""COMPUTED_VALUE"""),"RIBBON CERA PRETO 110MMX300M")</f>
        <v>RIBBON CERA PRETO 110MMX300M</v>
      </c>
      <c r="D495" s="39">
        <f>IFERROR(__xludf.DUMMYFUNCTION("""COMPUTED_VALUE"""),10.0)</f>
        <v>10</v>
      </c>
      <c r="E495" s="34" t="str">
        <f>IFERROR(__xludf.DUMMYFUNCTION("""COMPUTED_VALUE"""),"Saída")</f>
        <v>Saída</v>
      </c>
      <c r="F495" s="34" t="str">
        <f>IFERROR(__xludf.DUMMYFUNCTION("""COMPUTED_VALUE"""),"Recebimento:truck:")</f>
        <v>Recebimento:truck:</v>
      </c>
      <c r="G495" s="39">
        <f t="array" ref="G495">XLOOKUP(B495,'Página9'!A:A,'Página9'!F:F,"")</f>
        <v>390</v>
      </c>
      <c r="H495" s="39">
        <f t="array" ref="H495">XLOOKUP(B495,'Página9'!A:A,'Página9'!C:C,"")</f>
        <v>5</v>
      </c>
      <c r="I495" s="35" t="str">
        <f t="array" ref="I495">XLOOKUP(B495,'Página9'!A:A,'Página9'!G:G,"")</f>
        <v>OK</v>
      </c>
      <c r="J495" s="25" t="str">
        <f t="shared" si="1"/>
        <v>RECEBIMENTO</v>
      </c>
      <c r="K495" s="25" t="str">
        <f>IFERROR(__xludf.DUMMYFUNCTION("""COMPUTED_VALUE"""),"Jose Edervanio Lima Mateus")</f>
        <v>Jose Edervanio Lima Mateus</v>
      </c>
    </row>
    <row r="496">
      <c r="A496" s="37">
        <f>IFERROR(__xludf.DUMMYFUNCTION("""COMPUTED_VALUE"""),45983.69702546296)</f>
        <v>45983.69703</v>
      </c>
      <c r="B496" s="42" t="str">
        <f>IFERROR(__xludf.DUMMYFUNCTION("""COMPUTED_VALUE"""),"MCC015UC0045")</f>
        <v>MCC015UC0045</v>
      </c>
      <c r="C496" s="31" t="str">
        <f>IFERROR(__xludf.DUMMYFUNCTION("""COMPUTED_VALUE"""),"FITA ADESIVA 69MM X 100M")</f>
        <v>FITA ADESIVA 69MM X 100M</v>
      </c>
      <c r="D496" s="39">
        <f>IFERROR(__xludf.DUMMYFUNCTION("""COMPUTED_VALUE"""),10.0)</f>
        <v>10</v>
      </c>
      <c r="E496" s="34" t="str">
        <f>IFERROR(__xludf.DUMMYFUNCTION("""COMPUTED_VALUE"""),"Saída")</f>
        <v>Saída</v>
      </c>
      <c r="F496" s="34" t="str">
        <f>IFERROR(__xludf.DUMMYFUNCTION("""COMPUTED_VALUE"""),"Recebimento:truck:")</f>
        <v>Recebimento:truck:</v>
      </c>
      <c r="G496" s="39">
        <f t="array" ref="G496">XLOOKUP(B496,'Página9'!A:A,'Página9'!F:F,"")</f>
        <v>287</v>
      </c>
      <c r="H496" s="39">
        <f t="array" ref="H496">XLOOKUP(B496,'Página9'!A:A,'Página9'!C:C,"")</f>
        <v>20</v>
      </c>
      <c r="I496" s="35" t="str">
        <f t="array" ref="I496">XLOOKUP(B496,'Página9'!A:A,'Página9'!G:G,"")</f>
        <v>OK</v>
      </c>
      <c r="J496" s="25" t="str">
        <f t="shared" si="1"/>
        <v>RECEBIMENTO</v>
      </c>
      <c r="K496" s="25" t="str">
        <f>IFERROR(__xludf.DUMMYFUNCTION("""COMPUTED_VALUE"""),"Francisco Renato Da Silva De Oliveira Junior")</f>
        <v>Francisco Renato Da Silva De Oliveira Junior</v>
      </c>
    </row>
    <row r="497">
      <c r="A497" s="37">
        <f>IFERROR(__xludf.DUMMYFUNCTION("""COMPUTED_VALUE"""),45985.509050925924)</f>
        <v>45985.50905</v>
      </c>
      <c r="B497" s="42" t="str">
        <f>IFERROR(__xludf.DUMMYFUNCTION("""COMPUTED_VALUE"""),"MCC049UC0393")</f>
        <v>MCC049UC0393</v>
      </c>
      <c r="C497" s="31" t="str">
        <f>IFERROR(__xludf.DUMMYFUNCTION("""COMPUTED_VALUE"""),"PAPEL KRAFT TTC GREENLINE 70 G/M² PACOTE 360 M X 0,38 M")</f>
        <v>PAPEL KRAFT TTC GREENLINE 70 G/M² PACOTE 360 M X 0,38 M</v>
      </c>
      <c r="D497" s="39">
        <f>IFERROR(__xludf.DUMMYFUNCTION("""COMPUTED_VALUE"""),3.0)</f>
        <v>3</v>
      </c>
      <c r="E497" s="34" t="str">
        <f>IFERROR(__xludf.DUMMYFUNCTION("""COMPUTED_VALUE"""),"Saída")</f>
        <v>Saída</v>
      </c>
      <c r="F497" s="34" t="str">
        <f>IFERROR(__xludf.DUMMYFUNCTION("""COMPUTED_VALUE"""),"Expedição:ex-escolas-exponenciais:")</f>
        <v>Expedição:ex-escolas-exponenciais:</v>
      </c>
      <c r="G497" s="39">
        <f t="array" ref="G497">XLOOKUP(B497,'Página9'!A:A,'Página9'!F:F,"")</f>
        <v>12</v>
      </c>
      <c r="H497" s="39">
        <f t="array" ref="H497">XLOOKUP(B497,'Página9'!A:A,'Página9'!C:C,"")</f>
        <v>1</v>
      </c>
      <c r="I497" s="35" t="str">
        <f t="array" ref="I497">XLOOKUP(B497,'Página9'!A:A,'Página9'!G:G,"")</f>
        <v>OK</v>
      </c>
      <c r="J497" s="25" t="str">
        <f t="shared" si="1"/>
        <v>EXPEDIÇÃO</v>
      </c>
      <c r="K497" s="25" t="str">
        <f>IFERROR(__xludf.DUMMYFUNCTION("""COMPUTED_VALUE"""),"Rejane Fontes De Sousa")</f>
        <v>Rejane Fontes De Sousa</v>
      </c>
    </row>
    <row r="498">
      <c r="A498" s="37">
        <f>IFERROR(__xludf.DUMMYFUNCTION("""COMPUTED_VALUE"""),45985.59475694445)</f>
        <v>45985.59476</v>
      </c>
      <c r="B498" s="42" t="str">
        <f>IFERROR(__xludf.DUMMYFUNCTION("""COMPUTED_VALUE"""),"MCC015UC0045")</f>
        <v>MCC015UC0045</v>
      </c>
      <c r="C498" s="31" t="str">
        <f>IFERROR(__xludf.DUMMYFUNCTION("""COMPUTED_VALUE"""),"FITA ADESIVA 69MM X 100M")</f>
        <v>FITA ADESIVA 69MM X 100M</v>
      </c>
      <c r="D498" s="39">
        <f>IFERROR(__xludf.DUMMYFUNCTION("""COMPUTED_VALUE"""),10.0)</f>
        <v>10</v>
      </c>
      <c r="E498" s="34" t="str">
        <f>IFERROR(__xludf.DUMMYFUNCTION("""COMPUTED_VALUE"""),"Saída")</f>
        <v>Saída</v>
      </c>
      <c r="F498" s="34" t="str">
        <f>IFERROR(__xludf.DUMMYFUNCTION("""COMPUTED_VALUE"""),"Expedição:ex-escolas-exponenciais:")</f>
        <v>Expedição:ex-escolas-exponenciais:</v>
      </c>
      <c r="G498" s="39">
        <f t="array" ref="G498">XLOOKUP(B498,'Página9'!A:A,'Página9'!F:F,"")</f>
        <v>287</v>
      </c>
      <c r="H498" s="39">
        <f t="array" ref="H498">XLOOKUP(B498,'Página9'!A:A,'Página9'!C:C,"")</f>
        <v>20</v>
      </c>
      <c r="I498" s="35" t="str">
        <f t="array" ref="I498">XLOOKUP(B498,'Página9'!A:A,'Página9'!G:G,"")</f>
        <v>OK</v>
      </c>
      <c r="J498" s="25" t="str">
        <f t="shared" si="1"/>
        <v>EXPEDIÇÃO</v>
      </c>
      <c r="K498" s="25" t="str">
        <f>IFERROR(__xludf.DUMMYFUNCTION("""COMPUTED_VALUE"""),"Francisco Renato Da Silva De Oliveira Junior")</f>
        <v>Francisco Renato Da Silva De Oliveira Junior</v>
      </c>
    </row>
    <row r="499">
      <c r="A499" s="37">
        <f>IFERROR(__xludf.DUMMYFUNCTION("""COMPUTED_VALUE"""),45985.61450231481)</f>
        <v>45985.6145</v>
      </c>
      <c r="B499" s="42" t="str">
        <f>IFERROR(__xludf.DUMMYFUNCTION("""COMPUTED_VALUE"""),"MCC015UC0045")</f>
        <v>MCC015UC0045</v>
      </c>
      <c r="C499" s="31" t="str">
        <f>IFERROR(__xludf.DUMMYFUNCTION("""COMPUTED_VALUE"""),"FITA ADESIVA 69MM X 100M")</f>
        <v>FITA ADESIVA 69MM X 100M</v>
      </c>
      <c r="D499" s="39">
        <f>IFERROR(__xludf.DUMMYFUNCTION("""COMPUTED_VALUE"""),1.0)</f>
        <v>1</v>
      </c>
      <c r="E499" s="34" t="str">
        <f>IFERROR(__xludf.DUMMYFUNCTION("""COMPUTED_VALUE"""),"Saída")</f>
        <v>Saída</v>
      </c>
      <c r="F499" s="34" t="str">
        <f>IFERROR(__xludf.DUMMYFUNCTION("""COMPUTED_VALUE"""),"Expedição:ex-escolas-exponenciais:")</f>
        <v>Expedição:ex-escolas-exponenciais:</v>
      </c>
      <c r="G499" s="39">
        <f t="array" ref="G499">XLOOKUP(B499,'Página9'!A:A,'Página9'!F:F,"")</f>
        <v>287</v>
      </c>
      <c r="H499" s="39">
        <f t="array" ref="H499">XLOOKUP(B499,'Página9'!A:A,'Página9'!C:C,"")</f>
        <v>20</v>
      </c>
      <c r="I499" s="35" t="str">
        <f t="array" ref="I499">XLOOKUP(B499,'Página9'!A:A,'Página9'!G:G,"")</f>
        <v>OK</v>
      </c>
      <c r="J499" s="25" t="str">
        <f t="shared" si="1"/>
        <v>EXPEDIÇÃO</v>
      </c>
      <c r="K499" s="25" t="str">
        <f>IFERROR(__xludf.DUMMYFUNCTION("""COMPUTED_VALUE"""),"Suellen Aguiar Da Silva")</f>
        <v>Suellen Aguiar Da Silva</v>
      </c>
    </row>
    <row r="500">
      <c r="A500" s="37">
        <f>IFERROR(__xludf.DUMMYFUNCTION("""COMPUTED_VALUE"""),45985.72185185185)</f>
        <v>45985.72185</v>
      </c>
      <c r="B500" s="42" t="str">
        <f>IFERROR(__xludf.DUMMYFUNCTION("""COMPUTED_VALUE"""),"EMC015MO0001")</f>
        <v>EMC015MO0001</v>
      </c>
      <c r="C500" s="31" t="str">
        <f>IFERROR(__xludf.DUMMYFUNCTION("""COMPUTED_VALUE"""),"RIBBON CERA PRETO 110MMX300M")</f>
        <v>RIBBON CERA PRETO 110MMX300M</v>
      </c>
      <c r="D500" s="39">
        <f>IFERROR(__xludf.DUMMYFUNCTION("""COMPUTED_VALUE"""),4.0)</f>
        <v>4</v>
      </c>
      <c r="E500" s="34" t="str">
        <f>IFERROR(__xludf.DUMMYFUNCTION("""COMPUTED_VALUE"""),"Saída")</f>
        <v>Saída</v>
      </c>
      <c r="F500" s="34" t="str">
        <f>IFERROR(__xludf.DUMMYFUNCTION("""COMPUTED_VALUE"""),"Recebimento:truck:")</f>
        <v>Recebimento:truck:</v>
      </c>
      <c r="G500" s="39">
        <f t="array" ref="G500">XLOOKUP(B500,'Página9'!A:A,'Página9'!F:F,"")</f>
        <v>390</v>
      </c>
      <c r="H500" s="39">
        <f t="array" ref="H500">XLOOKUP(B500,'Página9'!A:A,'Página9'!C:C,"")</f>
        <v>5</v>
      </c>
      <c r="I500" s="35" t="str">
        <f t="array" ref="I500">XLOOKUP(B500,'Página9'!A:A,'Página9'!G:G,"")</f>
        <v>OK</v>
      </c>
      <c r="J500" s="25" t="str">
        <f t="shared" si="1"/>
        <v>RECEBIMENTO</v>
      </c>
      <c r="K500" s="25" t="str">
        <f>IFERROR(__xludf.DUMMYFUNCTION("""COMPUTED_VALUE"""),"Rejane Fontes De Sousa")</f>
        <v>Rejane Fontes De Sousa</v>
      </c>
    </row>
    <row r="501">
      <c r="A501" s="37">
        <f>IFERROR(__xludf.DUMMYFUNCTION("""COMPUTED_VALUE"""),45985.749085648145)</f>
        <v>45985.74909</v>
      </c>
      <c r="B501" s="42" t="str">
        <f>IFERROR(__xludf.DUMMYFUNCTION("""COMPUTED_VALUE"""),"MCC046UC0082")</f>
        <v>MCC046UC0082</v>
      </c>
      <c r="C501" s="31" t="str">
        <f>IFERROR(__xludf.DUMMYFUNCTION("""COMPUTED_VALUE"""),"PAPEL SULFITE A4 75G 500 FOLHAS")</f>
        <v>PAPEL SULFITE A4 75G 500 FOLHAS</v>
      </c>
      <c r="D501" s="39">
        <f>IFERROR(__xludf.DUMMYFUNCTION("""COMPUTED_VALUE"""),5.0)</f>
        <v>5</v>
      </c>
      <c r="E501" s="34" t="str">
        <f>IFERROR(__xludf.DUMMYFUNCTION("""COMPUTED_VALUE"""),"Saída")</f>
        <v>Saída</v>
      </c>
      <c r="F501" s="34" t="str">
        <f>IFERROR(__xludf.DUMMYFUNCTION("""COMPUTED_VALUE"""),"Expedição:ex-escolas-exponenciais:")</f>
        <v>Expedição:ex-escolas-exponenciais:</v>
      </c>
      <c r="G501" s="39">
        <f t="array" ref="G501">XLOOKUP(B501,'Página9'!A:A,'Página9'!F:F,"")</f>
        <v>163</v>
      </c>
      <c r="H501" s="39">
        <f t="array" ref="H501">XLOOKUP(B501,'Página9'!A:A,'Página9'!C:C,"")</f>
        <v>10</v>
      </c>
      <c r="I501" s="35" t="str">
        <f t="array" ref="I501">XLOOKUP(B501,'Página9'!A:A,'Página9'!G:G,"")</f>
        <v>OK</v>
      </c>
      <c r="J501" s="25" t="str">
        <f t="shared" si="1"/>
        <v>EXPEDIÇÃO</v>
      </c>
      <c r="K501" s="25" t="str">
        <f>IFERROR(__xludf.DUMMYFUNCTION("""COMPUTED_VALUE"""),"Jose Antoniel Silva Mesquita")</f>
        <v>Jose Antoniel Silva Mesquita</v>
      </c>
    </row>
    <row r="502">
      <c r="A502" s="37">
        <f>IFERROR(__xludf.DUMMYFUNCTION("""COMPUTED_VALUE"""),45985.749768518515)</f>
        <v>45985.74977</v>
      </c>
      <c r="B502" s="42" t="str">
        <f>IFERROR(__xludf.DUMMYFUNCTION("""COMPUTED_VALUE"""),"MCC015UC0038")</f>
        <v>MCC015UC0038</v>
      </c>
      <c r="C502" s="31" t="str">
        <f>IFERROR(__xludf.DUMMYFUNCTION("""COMPUTED_VALUE"""),"BOBINA SHRINK 500MM")</f>
        <v>BOBINA SHRINK 500MM</v>
      </c>
      <c r="D502" s="39">
        <f>IFERROR(__xludf.DUMMYFUNCTION("""COMPUTED_VALUE"""),1.0)</f>
        <v>1</v>
      </c>
      <c r="E502" s="34" t="str">
        <f>IFERROR(__xludf.DUMMYFUNCTION("""COMPUTED_VALUE"""),"Saída")</f>
        <v>Saída</v>
      </c>
      <c r="F502" s="34" t="str">
        <f>IFERROR(__xludf.DUMMYFUNCTION("""COMPUTED_VALUE"""),"Recebimento:truck:")</f>
        <v>Recebimento:truck:</v>
      </c>
      <c r="G502" s="39">
        <f t="array" ref="G502">XLOOKUP(B502,'Página9'!A:A,'Página9'!F:F,"")</f>
        <v>13</v>
      </c>
      <c r="H502" s="39">
        <f t="array" ref="H502">XLOOKUP(B502,'Página9'!A:A,'Página9'!C:C,"")</f>
        <v>3</v>
      </c>
      <c r="I502" s="35" t="str">
        <f t="array" ref="I502">XLOOKUP(B502,'Página9'!A:A,'Página9'!G:G,"")</f>
        <v>OK</v>
      </c>
      <c r="J502" s="25" t="str">
        <f t="shared" si="1"/>
        <v>RECEBIMENTO</v>
      </c>
      <c r="K502" s="25" t="str">
        <f>IFERROR(__xludf.DUMMYFUNCTION("""COMPUTED_VALUE"""),"Jose Antoniel Silva Mesquita")</f>
        <v>Jose Antoniel Silva Mesquita</v>
      </c>
    </row>
    <row r="503">
      <c r="A503" s="37">
        <f>IFERROR(__xludf.DUMMYFUNCTION("""COMPUTED_VALUE"""),45986.447384259256)</f>
        <v>45986.44738</v>
      </c>
      <c r="B503" s="42" t="str">
        <f>IFERROR(__xludf.DUMMYFUNCTION("""COMPUTED_VALUE"""),"MCC046UC0596")</f>
        <v>MCC046UC0596</v>
      </c>
      <c r="C503" s="31" t="str">
        <f>IFERROR(__xludf.DUMMYFUNCTION("""COMPUTED_VALUE"""),"ETIQUETA ADESIVA COUCHE BRANCA   - 105X150MM SAS")</f>
        <v>ETIQUETA ADESIVA COUCHE BRANCA   - 105X150MM SAS</v>
      </c>
      <c r="D503" s="39">
        <f>IFERROR(__xludf.DUMMYFUNCTION("""COMPUTED_VALUE"""),4.0)</f>
        <v>4</v>
      </c>
      <c r="E503" s="34" t="str">
        <f>IFERROR(__xludf.DUMMYFUNCTION("""COMPUTED_VALUE"""),"Saída")</f>
        <v>Saída</v>
      </c>
      <c r="F503" s="34" t="str">
        <f>IFERROR(__xludf.DUMMYFUNCTION("""COMPUTED_VALUE"""),"Expedição:ex-escolas-exponenciais:")</f>
        <v>Expedição:ex-escolas-exponenciais:</v>
      </c>
      <c r="G503" s="39">
        <f t="array" ref="G503">XLOOKUP(B503,'Página9'!A:A,'Página9'!F:F,"")</f>
        <v>157</v>
      </c>
      <c r="H503" s="39">
        <f t="array" ref="H503">XLOOKUP(B503,'Página9'!A:A,'Página9'!C:C,"")</f>
        <v>20</v>
      </c>
      <c r="I503" s="35" t="str">
        <f t="array" ref="I503">XLOOKUP(B503,'Página9'!A:A,'Página9'!G:G,"")</f>
        <v>OK</v>
      </c>
      <c r="J503" s="25" t="str">
        <f t="shared" si="1"/>
        <v>EXPEDIÇÃO</v>
      </c>
      <c r="K503" s="25" t="str">
        <f>IFERROR(__xludf.DUMMYFUNCTION("""COMPUTED_VALUE"""),"Cosme Marcio Barros Barbosa")</f>
        <v>Cosme Marcio Barros Barbosa</v>
      </c>
    </row>
    <row r="504">
      <c r="A504" s="37">
        <f>IFERROR(__xludf.DUMMYFUNCTION("""COMPUTED_VALUE"""),45986.52259259259)</f>
        <v>45986.52259</v>
      </c>
      <c r="B504" s="42" t="str">
        <f>IFERROR(__xludf.DUMMYFUNCTION("""COMPUTED_VALUE"""),"MCC046UC0596")</f>
        <v>MCC046UC0596</v>
      </c>
      <c r="C504" s="31" t="str">
        <f>IFERROR(__xludf.DUMMYFUNCTION("""COMPUTED_VALUE"""),"ETIQUETA ADESIVA COUCHE BRANCA   - 105X150MM SAS")</f>
        <v>ETIQUETA ADESIVA COUCHE BRANCA   - 105X150MM SAS</v>
      </c>
      <c r="D504" s="39">
        <f>IFERROR(__xludf.DUMMYFUNCTION("""COMPUTED_VALUE"""),5.0)</f>
        <v>5</v>
      </c>
      <c r="E504" s="34" t="str">
        <f>IFERROR(__xludf.DUMMYFUNCTION("""COMPUTED_VALUE"""),"Saída")</f>
        <v>Saída</v>
      </c>
      <c r="F504" s="34" t="str">
        <f>IFERROR(__xludf.DUMMYFUNCTION("""COMPUTED_VALUE"""),"Expedição:ex-escolas-exponenciais:")</f>
        <v>Expedição:ex-escolas-exponenciais:</v>
      </c>
      <c r="G504" s="39">
        <f t="array" ref="G504">XLOOKUP(B504,'Página9'!A:A,'Página9'!F:F,"")</f>
        <v>157</v>
      </c>
      <c r="H504" s="39">
        <f t="array" ref="H504">XLOOKUP(B504,'Página9'!A:A,'Página9'!C:C,"")</f>
        <v>20</v>
      </c>
      <c r="I504" s="35" t="str">
        <f t="array" ref="I504">XLOOKUP(B504,'Página9'!A:A,'Página9'!G:G,"")</f>
        <v>OK</v>
      </c>
      <c r="J504" s="25" t="str">
        <f t="shared" si="1"/>
        <v>EXPEDIÇÃO</v>
      </c>
      <c r="K504" s="25" t="str">
        <f>IFERROR(__xludf.DUMMYFUNCTION("""COMPUTED_VALUE"""),"Paulo Henrique Chagas De Oliveira")</f>
        <v>Paulo Henrique Chagas De Oliveira</v>
      </c>
    </row>
    <row r="505">
      <c r="A505" s="37">
        <f>IFERROR(__xludf.DUMMYFUNCTION("""COMPUTED_VALUE"""),45986.527719907404)</f>
        <v>45986.52772</v>
      </c>
      <c r="B505" s="42" t="str">
        <f>IFERROR(__xludf.DUMMYFUNCTION("""COMPUTED_VALUE"""),"MCC046UC0695")</f>
        <v>MCC046UC0695</v>
      </c>
      <c r="C505" s="31" t="str">
        <f>IFERROR(__xludf.DUMMYFUNCTION("""COMPUTED_VALUE"""),"ETIQUETA COUCHE 98X50X1")</f>
        <v>ETIQUETA COUCHE 98X50X1</v>
      </c>
      <c r="D505" s="39">
        <f>IFERROR(__xludf.DUMMYFUNCTION("""COMPUTED_VALUE"""),10.0)</f>
        <v>10</v>
      </c>
      <c r="E505" s="34" t="str">
        <f>IFERROR(__xludf.DUMMYFUNCTION("""COMPUTED_VALUE"""),"Saída")</f>
        <v>Saída</v>
      </c>
      <c r="F505" s="34" t="str">
        <f>IFERROR(__xludf.DUMMYFUNCTION("""COMPUTED_VALUE"""),"Recebimento:truck:")</f>
        <v>Recebimento:truck:</v>
      </c>
      <c r="G505" s="39">
        <f t="array" ref="G505">XLOOKUP(B505,'Página9'!A:A,'Página9'!F:F,"")</f>
        <v>256</v>
      </c>
      <c r="H505" s="39">
        <f t="array" ref="H505">XLOOKUP(B505,'Página9'!A:A,'Página9'!C:C,"")</f>
        <v>20</v>
      </c>
      <c r="I505" s="35" t="str">
        <f t="array" ref="I505">XLOOKUP(B505,'Página9'!A:A,'Página9'!G:G,"")</f>
        <v>OK</v>
      </c>
      <c r="J505" s="25" t="str">
        <f t="shared" si="1"/>
        <v>RECEBIMENTO</v>
      </c>
      <c r="K505" s="25" t="str">
        <f>IFERROR(__xludf.DUMMYFUNCTION("""COMPUTED_VALUE"""),"Paulo Henrique Chagas De Oliveira")</f>
        <v>Paulo Henrique Chagas De Oliveira</v>
      </c>
    </row>
    <row r="506">
      <c r="A506" s="37">
        <f>IFERROR(__xludf.DUMMYFUNCTION("""COMPUTED_VALUE"""),45986.57393518519)</f>
        <v>45986.57394</v>
      </c>
      <c r="B506" s="42" t="str">
        <f>IFERROR(__xludf.DUMMYFUNCTION("""COMPUTED_VALUE"""),"MCC015UC0008")</f>
        <v>MCC015UC0008</v>
      </c>
      <c r="C506" s="31" t="str">
        <f>IFERROR(__xludf.DUMMYFUNCTION("""COMPUTED_VALUE"""),"FILME STRETCH 500X25")</f>
        <v>FILME STRETCH 500X25</v>
      </c>
      <c r="D506" s="39">
        <f>IFERROR(__xludf.DUMMYFUNCTION("""COMPUTED_VALUE"""),4.0)</f>
        <v>4</v>
      </c>
      <c r="E506" s="34" t="str">
        <f>IFERROR(__xludf.DUMMYFUNCTION("""COMPUTED_VALUE"""),"Saída")</f>
        <v>Saída</v>
      </c>
      <c r="F506" s="34" t="str">
        <f>IFERROR(__xludf.DUMMYFUNCTION("""COMPUTED_VALUE"""),"Recebimento:truck:")</f>
        <v>Recebimento:truck:</v>
      </c>
      <c r="G506" s="39">
        <f t="array" ref="G506">XLOOKUP(B506,'Página9'!A:A,'Página9'!F:F,"")</f>
        <v>-158</v>
      </c>
      <c r="H506" s="39">
        <f t="array" ref="H506">XLOOKUP(B506,'Página9'!A:A,'Página9'!C:C,"")</f>
        <v>40</v>
      </c>
      <c r="I506" s="35" t="str">
        <f t="array" ref="I506">XLOOKUP(B506,'Página9'!A:A,'Página9'!G:G,"")</f>
        <v>REPOR ESTOQUE</v>
      </c>
      <c r="J506" s="25" t="str">
        <f t="shared" si="1"/>
        <v>RECEBIMENTO</v>
      </c>
      <c r="K506" s="25" t="str">
        <f>IFERROR(__xludf.DUMMYFUNCTION("""COMPUTED_VALUE"""),"Jackson Alves Sales")</f>
        <v>Jackson Alves Sales</v>
      </c>
    </row>
    <row r="507">
      <c r="A507" s="37">
        <f>IFERROR(__xludf.DUMMYFUNCTION("""COMPUTED_VALUE"""),45986.68119212963)</f>
        <v>45986.68119</v>
      </c>
      <c r="B507" s="42" t="str">
        <f>IFERROR(__xludf.DUMMYFUNCTION("""COMPUTED_VALUE"""),"MCC015UC0008")</f>
        <v>MCC015UC0008</v>
      </c>
      <c r="C507" s="31" t="str">
        <f>IFERROR(__xludf.DUMMYFUNCTION("""COMPUTED_VALUE"""),"FILME STRETCH 500X25")</f>
        <v>FILME STRETCH 500X25</v>
      </c>
      <c r="D507" s="39">
        <f>IFERROR(__xludf.DUMMYFUNCTION("""COMPUTED_VALUE"""),6.0)</f>
        <v>6</v>
      </c>
      <c r="E507" s="34" t="str">
        <f>IFERROR(__xludf.DUMMYFUNCTION("""COMPUTED_VALUE"""),"Saída")</f>
        <v>Saída</v>
      </c>
      <c r="F507" s="34" t="str">
        <f>IFERROR(__xludf.DUMMYFUNCTION("""COMPUTED_VALUE"""),"Recebimento:truck:")</f>
        <v>Recebimento:truck:</v>
      </c>
      <c r="G507" s="39">
        <f t="array" ref="G507">XLOOKUP(B507,'Página9'!A:A,'Página9'!F:F,"")</f>
        <v>-158</v>
      </c>
      <c r="H507" s="39">
        <f t="array" ref="H507">XLOOKUP(B507,'Página9'!A:A,'Página9'!C:C,"")</f>
        <v>40</v>
      </c>
      <c r="I507" s="35" t="str">
        <f t="array" ref="I507">XLOOKUP(B507,'Página9'!A:A,'Página9'!G:G,"")</f>
        <v>REPOR ESTOQUE</v>
      </c>
      <c r="J507" s="25" t="str">
        <f t="shared" si="1"/>
        <v>RECEBIMENTO</v>
      </c>
      <c r="K507" s="25" t="str">
        <f>IFERROR(__xludf.DUMMYFUNCTION("""COMPUTED_VALUE"""),"Jose Antoniel Silva Mesquita")</f>
        <v>Jose Antoniel Silva Mesquita</v>
      </c>
    </row>
    <row r="508">
      <c r="A508" s="37">
        <f>IFERROR(__xludf.DUMMYFUNCTION("""COMPUTED_VALUE"""),45986.74060185185)</f>
        <v>45986.7406</v>
      </c>
      <c r="B508" s="42" t="str">
        <f>IFERROR(__xludf.DUMMYFUNCTION("""COMPUTED_VALUE"""),"MCC049UC0288")</f>
        <v>MCC049UC0288</v>
      </c>
      <c r="C508" s="31" t="str">
        <f>IFERROR(__xludf.DUMMYFUNCTION("""COMPUTED_VALUE"""),"FITILHO POLIPROPILENO P/EMBALAGEM")</f>
        <v>FITILHO POLIPROPILENO P/EMBALAGEM</v>
      </c>
      <c r="D508" s="39">
        <f>IFERROR(__xludf.DUMMYFUNCTION("""COMPUTED_VALUE"""),3.0)</f>
        <v>3</v>
      </c>
      <c r="E508" s="34" t="str">
        <f>IFERROR(__xludf.DUMMYFUNCTION("""COMPUTED_VALUE"""),"Saída")</f>
        <v>Saída</v>
      </c>
      <c r="F508" s="34" t="str">
        <f>IFERROR(__xludf.DUMMYFUNCTION("""COMPUTED_VALUE"""),"Recebimento:truck:")</f>
        <v>Recebimento:truck:</v>
      </c>
      <c r="G508" s="39">
        <f t="array" ref="G508">XLOOKUP(B508,'Página9'!A:A,'Página9'!F:F,"")</f>
        <v>-24</v>
      </c>
      <c r="H508" s="39">
        <f t="array" ref="H508">XLOOKUP(B508,'Página9'!A:A,'Página9'!C:C,"")</f>
        <v>2</v>
      </c>
      <c r="I508" s="35" t="str">
        <f t="array" ref="I508">XLOOKUP(B508,'Página9'!A:A,'Página9'!G:G,"")</f>
        <v>REPOR ESTOQUE</v>
      </c>
      <c r="J508" s="25" t="str">
        <f t="shared" si="1"/>
        <v>RECEBIMENTO</v>
      </c>
      <c r="K508" s="25" t="str">
        <f>IFERROR(__xludf.DUMMYFUNCTION("""COMPUTED_VALUE"""),"Rejane Fontes De Sousa")</f>
        <v>Rejane Fontes De Sousa</v>
      </c>
    </row>
    <row r="509">
      <c r="A509" s="37">
        <f>IFERROR(__xludf.DUMMYFUNCTION("""COMPUTED_VALUE"""),45986.75247685185)</f>
        <v>45986.75248</v>
      </c>
      <c r="B509" s="42" t="str">
        <f>IFERROR(__xludf.DUMMYFUNCTION("""COMPUTED_VALUE"""),"MCC046UC0599")</f>
        <v>MCC046UC0599</v>
      </c>
      <c r="C509" s="31" t="str">
        <f>IFERROR(__xludf.DUMMYFUNCTION("""COMPUTED_VALUE"""),"ETIQUETA ADESIVA COUCHE AMARELA  - 105X150MM SAS")</f>
        <v>ETIQUETA ADESIVA COUCHE AMARELA  - 105X150MM SAS</v>
      </c>
      <c r="D509" s="39">
        <f>IFERROR(__xludf.DUMMYFUNCTION("""COMPUTED_VALUE"""),4.0)</f>
        <v>4</v>
      </c>
      <c r="E509" s="34" t="str">
        <f>IFERROR(__xludf.DUMMYFUNCTION("""COMPUTED_VALUE"""),"Saída")</f>
        <v>Saída</v>
      </c>
      <c r="F509" s="34" t="str">
        <f>IFERROR(__xludf.DUMMYFUNCTION("""COMPUTED_VALUE"""),"Estoque:package:")</f>
        <v>Estoque:package:</v>
      </c>
      <c r="G509" s="39">
        <f t="array" ref="G509">XLOOKUP(B509,'Página9'!A:A,'Página9'!F:F,"")</f>
        <v>25</v>
      </c>
      <c r="H509" s="39">
        <f t="array" ref="H509">XLOOKUP(B509,'Página9'!A:A,'Página9'!C:C,"")</f>
        <v>5</v>
      </c>
      <c r="I509" s="35" t="str">
        <f t="array" ref="I509">XLOOKUP(B509,'Página9'!A:A,'Página9'!G:G,"")</f>
        <v>OK</v>
      </c>
      <c r="J509" s="25" t="str">
        <f t="shared" si="1"/>
        <v>ESTOQUE</v>
      </c>
      <c r="K509" s="25" t="str">
        <f>IFERROR(__xludf.DUMMYFUNCTION("""COMPUTED_VALUE"""),"Cosme Marcio Barros Barbosa")</f>
        <v>Cosme Marcio Barros Barbosa</v>
      </c>
    </row>
    <row r="510">
      <c r="A510" s="37">
        <f>IFERROR(__xludf.DUMMYFUNCTION("""COMPUTED_VALUE"""),45986.75844907408)</f>
        <v>45986.75845</v>
      </c>
      <c r="B510" s="42" t="str">
        <f>IFERROR(__xludf.DUMMYFUNCTION("""COMPUTED_VALUE"""),"MCC049UC0600")</f>
        <v>MCC049UC0600</v>
      </c>
      <c r="C510" s="31" t="str">
        <f>IFERROR(__xludf.DUMMYFUNCTION("""COMPUTED_VALUE"""),"FITA ADESIVA P/ CACHORRO PERSONALIZADA")</f>
        <v>FITA ADESIVA P/ CACHORRO PERSONALIZADA</v>
      </c>
      <c r="D510" s="39">
        <f>IFERROR(__xludf.DUMMYFUNCTION("""COMPUTED_VALUE"""),12.0)</f>
        <v>12</v>
      </c>
      <c r="E510" s="34" t="str">
        <f>IFERROR(__xludf.DUMMYFUNCTION("""COMPUTED_VALUE"""),"Saída")</f>
        <v>Saída</v>
      </c>
      <c r="F510" s="34" t="str">
        <f>IFERROR(__xludf.DUMMYFUNCTION("""COMPUTED_VALUE"""),"Recebimento:truck:")</f>
        <v>Recebimento:truck:</v>
      </c>
      <c r="G510" s="39">
        <f t="array" ref="G510">XLOOKUP(B510,'Página9'!A:A,'Página9'!F:F,"")</f>
        <v>156</v>
      </c>
      <c r="H510" s="39">
        <f t="array" ref="H510">XLOOKUP(B510,'Página9'!A:A,'Página9'!C:C,"")</f>
        <v>10</v>
      </c>
      <c r="I510" s="35" t="str">
        <f t="array" ref="I510">XLOOKUP(B510,'Página9'!A:A,'Página9'!G:G,"")</f>
        <v>OK</v>
      </c>
      <c r="J510" s="25" t="str">
        <f t="shared" si="1"/>
        <v>RECEBIMENTO</v>
      </c>
      <c r="K510" s="25" t="str">
        <f>IFERROR(__xludf.DUMMYFUNCTION("""COMPUTED_VALUE"""),"Cosme Marcio Barros Barbosa")</f>
        <v>Cosme Marcio Barros Barbosa</v>
      </c>
    </row>
    <row r="511">
      <c r="A511" s="37">
        <f>IFERROR(__xludf.DUMMYFUNCTION("""COMPUTED_VALUE"""),45986.77239583333)</f>
        <v>45986.7724</v>
      </c>
      <c r="B511" s="42" t="str">
        <f>IFERROR(__xludf.DUMMYFUNCTION("""COMPUTED_VALUE"""),"MCC015UC0045")</f>
        <v>MCC015UC0045</v>
      </c>
      <c r="C511" s="31" t="str">
        <f>IFERROR(__xludf.DUMMYFUNCTION("""COMPUTED_VALUE"""),"FITA ADESIVA 69MM X 100M")</f>
        <v>FITA ADESIVA 69MM X 100M</v>
      </c>
      <c r="D511" s="39">
        <f>IFERROR(__xludf.DUMMYFUNCTION("""COMPUTED_VALUE"""),25.0)</f>
        <v>25</v>
      </c>
      <c r="E511" s="34" t="str">
        <f>IFERROR(__xludf.DUMMYFUNCTION("""COMPUTED_VALUE"""),"Saída")</f>
        <v>Saída</v>
      </c>
      <c r="F511" s="34" t="str">
        <f>IFERROR(__xludf.DUMMYFUNCTION("""COMPUTED_VALUE"""),"Recebimento:truck:")</f>
        <v>Recebimento:truck:</v>
      </c>
      <c r="G511" s="39">
        <f t="array" ref="G511">XLOOKUP(B511,'Página9'!A:A,'Página9'!F:F,"")</f>
        <v>287</v>
      </c>
      <c r="H511" s="39">
        <f t="array" ref="H511">XLOOKUP(B511,'Página9'!A:A,'Página9'!C:C,"")</f>
        <v>20</v>
      </c>
      <c r="I511" s="35" t="str">
        <f t="array" ref="I511">XLOOKUP(B511,'Página9'!A:A,'Página9'!G:G,"")</f>
        <v>OK</v>
      </c>
      <c r="J511" s="25" t="str">
        <f t="shared" si="1"/>
        <v>RECEBIMENTO</v>
      </c>
      <c r="K511" s="25" t="str">
        <f>IFERROR(__xludf.DUMMYFUNCTION("""COMPUTED_VALUE"""),"Rubens Ribeiro Lisboa")</f>
        <v>Rubens Ribeiro Lisboa</v>
      </c>
    </row>
    <row r="512">
      <c r="A512" s="37">
        <f>IFERROR(__xludf.DUMMYFUNCTION("""COMPUTED_VALUE"""),45987.52923611111)</f>
        <v>45987.52924</v>
      </c>
      <c r="B512" s="42" t="str">
        <f>IFERROR(__xludf.DUMMYFUNCTION("""COMPUTED_VALUE"""),"MCC046UC0596")</f>
        <v>MCC046UC0596</v>
      </c>
      <c r="C512" s="31" t="str">
        <f>IFERROR(__xludf.DUMMYFUNCTION("""COMPUTED_VALUE"""),"ETIQUETA ADESIVA COUCHE BRANCA   - 105X150MM SAS")</f>
        <v>ETIQUETA ADESIVA COUCHE BRANCA   - 105X150MM SAS</v>
      </c>
      <c r="D512" s="39">
        <f>IFERROR(__xludf.DUMMYFUNCTION("""COMPUTED_VALUE"""),10.0)</f>
        <v>10</v>
      </c>
      <c r="E512" s="34" t="str">
        <f>IFERROR(__xludf.DUMMYFUNCTION("""COMPUTED_VALUE"""),"Saída")</f>
        <v>Saída</v>
      </c>
      <c r="F512" s="34" t="str">
        <f>IFERROR(__xludf.DUMMYFUNCTION("""COMPUTED_VALUE"""),"Recebimento:truck:")</f>
        <v>Recebimento:truck:</v>
      </c>
      <c r="G512" s="39">
        <f t="array" ref="G512">XLOOKUP(B512,'Página9'!A:A,'Página9'!F:F,"")</f>
        <v>157</v>
      </c>
      <c r="H512" s="39">
        <f t="array" ref="H512">XLOOKUP(B512,'Página9'!A:A,'Página9'!C:C,"")</f>
        <v>20</v>
      </c>
      <c r="I512" s="35" t="str">
        <f t="array" ref="I512">XLOOKUP(B512,'Página9'!A:A,'Página9'!G:G,"")</f>
        <v>OK</v>
      </c>
      <c r="J512" s="25" t="str">
        <f t="shared" si="1"/>
        <v>RECEBIMENTO</v>
      </c>
      <c r="K512" s="25" t="str">
        <f>IFERROR(__xludf.DUMMYFUNCTION("""COMPUTED_VALUE"""),"Ana Virginia De Castro Costa")</f>
        <v>Ana Virginia De Castro Costa</v>
      </c>
    </row>
    <row r="513">
      <c r="A513" s="37">
        <f>IFERROR(__xludf.DUMMYFUNCTION("""COMPUTED_VALUE"""),45987.650555555556)</f>
        <v>45987.65056</v>
      </c>
      <c r="B513" s="42" t="str">
        <f>IFERROR(__xludf.DUMMYFUNCTION("""COMPUTED_VALUE"""),"MCC046UC0549")</f>
        <v>MCC046UC0549</v>
      </c>
      <c r="C513" s="31" t="str">
        <f>IFERROR(__xludf.DUMMYFUNCTION("""COMPUTED_VALUE"""),"PRANCHETA OFICIO MDF PRENDEDOR METAL ACRIMET 105")</f>
        <v>PRANCHETA OFICIO MDF PRENDEDOR METAL ACRIMET 105</v>
      </c>
      <c r="D513" s="39">
        <f>IFERROR(__xludf.DUMMYFUNCTION("""COMPUTED_VALUE"""),5.0)</f>
        <v>5</v>
      </c>
      <c r="E513" s="34" t="str">
        <f>IFERROR(__xludf.DUMMYFUNCTION("""COMPUTED_VALUE"""),"Saída")</f>
        <v>Saída</v>
      </c>
      <c r="F513" s="34" t="str">
        <f>IFERROR(__xludf.DUMMYFUNCTION("""COMPUTED_VALUE"""),"Expedição:ex-escolas-exponenciais:")</f>
        <v>Expedição:ex-escolas-exponenciais:</v>
      </c>
      <c r="G513" s="39">
        <f t="array" ref="G513">XLOOKUP(B513,'Página9'!A:A,'Página9'!F:F,"")</f>
        <v>-2</v>
      </c>
      <c r="H513" s="39">
        <f t="array" ref="H513">XLOOKUP(B513,'Página9'!A:A,'Página9'!C:C,"")</f>
        <v>5</v>
      </c>
      <c r="I513" s="35" t="str">
        <f t="array" ref="I513">XLOOKUP(B513,'Página9'!A:A,'Página9'!G:G,"")</f>
        <v>REPOR ESTOQUE</v>
      </c>
      <c r="J513" s="25" t="str">
        <f t="shared" si="1"/>
        <v>EXPEDIÇÃO</v>
      </c>
      <c r="K513" s="25" t="str">
        <f>IFERROR(__xludf.DUMMYFUNCTION("""COMPUTED_VALUE"""),"Rejane Fontes De Sousa")</f>
        <v>Rejane Fontes De Sousa</v>
      </c>
    </row>
    <row r="514">
      <c r="A514" s="37">
        <f>IFERROR(__xludf.DUMMYFUNCTION("""COMPUTED_VALUE"""),45987.75053240741)</f>
        <v>45987.75053</v>
      </c>
      <c r="B514" s="42" t="str">
        <f>IFERROR(__xludf.DUMMYFUNCTION("""COMPUTED_VALUE"""),"MCC015UC0045")</f>
        <v>MCC015UC0045</v>
      </c>
      <c r="C514" s="31" t="str">
        <f>IFERROR(__xludf.DUMMYFUNCTION("""COMPUTED_VALUE"""),"FITA ADESIVA 69MM X 100M")</f>
        <v>FITA ADESIVA 69MM X 100M</v>
      </c>
      <c r="D514" s="39">
        <f>IFERROR(__xludf.DUMMYFUNCTION("""COMPUTED_VALUE"""),12.0)</f>
        <v>12</v>
      </c>
      <c r="E514" s="34" t="str">
        <f>IFERROR(__xludf.DUMMYFUNCTION("""COMPUTED_VALUE"""),"Saída")</f>
        <v>Saída</v>
      </c>
      <c r="F514" s="34" t="str">
        <f>IFERROR(__xludf.DUMMYFUNCTION("""COMPUTED_VALUE"""),"Expedição:ex-escolas-exponenciais:")</f>
        <v>Expedição:ex-escolas-exponenciais:</v>
      </c>
      <c r="G514" s="39">
        <f t="array" ref="G514">XLOOKUP(B514,'Página9'!A:A,'Página9'!F:F,"")</f>
        <v>287</v>
      </c>
      <c r="H514" s="39">
        <f t="array" ref="H514">XLOOKUP(B514,'Página9'!A:A,'Página9'!C:C,"")</f>
        <v>20</v>
      </c>
      <c r="I514" s="35" t="str">
        <f t="array" ref="I514">XLOOKUP(B514,'Página9'!A:A,'Página9'!G:G,"")</f>
        <v>OK</v>
      </c>
      <c r="J514" s="25" t="str">
        <f t="shared" si="1"/>
        <v>EXPEDIÇÃO</v>
      </c>
      <c r="K514" s="25" t="str">
        <f>IFERROR(__xludf.DUMMYFUNCTION("""COMPUTED_VALUE"""),"Allison Breno Da Costa Borges Soares")</f>
        <v>Allison Breno Da Costa Borges Soares</v>
      </c>
    </row>
    <row r="515">
      <c r="A515" s="37">
        <f>IFERROR(__xludf.DUMMYFUNCTION("""COMPUTED_VALUE"""),45987.847407407404)</f>
        <v>45987.84741</v>
      </c>
      <c r="B515" s="42" t="str">
        <f>IFERROR(__xludf.DUMMYFUNCTION("""COMPUTED_VALUE"""),"MCC046UC0639")</f>
        <v>MCC046UC0639</v>
      </c>
      <c r="C515" s="31" t="str">
        <f>IFERROR(__xludf.DUMMYFUNCTION("""COMPUTED_VALUE"""),"PILHA ALCALINA ELGIN PEQ.AA")</f>
        <v>PILHA ALCALINA ELGIN PEQ.AA</v>
      </c>
      <c r="D515" s="39">
        <f>IFERROR(__xludf.DUMMYFUNCTION("""COMPUTED_VALUE"""),1.0)</f>
        <v>1</v>
      </c>
      <c r="E515" s="34" t="str">
        <f>IFERROR(__xludf.DUMMYFUNCTION("""COMPUTED_VALUE"""),"Saída")</f>
        <v>Saída</v>
      </c>
      <c r="F515" s="34" t="str">
        <f>IFERROR(__xludf.DUMMYFUNCTION("""COMPUTED_VALUE"""),"CIQ :qualidade:")</f>
        <v>CIQ :qualidade:</v>
      </c>
      <c r="G515" s="39">
        <f t="array" ref="G515">XLOOKUP(B515,'Página9'!A:A,'Página9'!F:F,"")</f>
        <v>-5</v>
      </c>
      <c r="H515" s="39">
        <f t="array" ref="H515">XLOOKUP(B515,'Página9'!A:A,'Página9'!C:C,"")</f>
        <v>4</v>
      </c>
      <c r="I515" s="35" t="str">
        <f t="array" ref="I515">XLOOKUP(B515,'Página9'!A:A,'Página9'!G:G,"")</f>
        <v>REPOR ESTOQUE</v>
      </c>
      <c r="J515" s="25" t="str">
        <f t="shared" si="1"/>
        <v>CIQ</v>
      </c>
      <c r="K515" s="25" t="str">
        <f>IFERROR(__xludf.DUMMYFUNCTION("""COMPUTED_VALUE"""),"Suellen Aguiar Da Silva")</f>
        <v>Suellen Aguiar Da Silva</v>
      </c>
    </row>
    <row r="516">
      <c r="A516" s="37">
        <f>IFERROR(__xludf.DUMMYFUNCTION("""COMPUTED_VALUE"""),45988.47733796296)</f>
        <v>45988.47734</v>
      </c>
      <c r="B516" s="42" t="str">
        <f>IFERROR(__xludf.DUMMYFUNCTION("""COMPUTED_VALUE"""),"MCC015UC0045")</f>
        <v>MCC015UC0045</v>
      </c>
      <c r="C516" s="31" t="str">
        <f>IFERROR(__xludf.DUMMYFUNCTION("""COMPUTED_VALUE"""),"FITA ADESIVA 69MM X 100M")</f>
        <v>FITA ADESIVA 69MM X 100M</v>
      </c>
      <c r="D516" s="39">
        <f>IFERROR(__xludf.DUMMYFUNCTION("""COMPUTED_VALUE"""),15.0)</f>
        <v>15</v>
      </c>
      <c r="E516" s="34" t="str">
        <f>IFERROR(__xludf.DUMMYFUNCTION("""COMPUTED_VALUE"""),"Saída")</f>
        <v>Saída</v>
      </c>
      <c r="F516" s="34" t="str">
        <f>IFERROR(__xludf.DUMMYFUNCTION("""COMPUTED_VALUE"""),"Expedição:ex-escolas-exponenciais:")</f>
        <v>Expedição:ex-escolas-exponenciais:</v>
      </c>
      <c r="G516" s="39">
        <f t="array" ref="G516">XLOOKUP(B516,'Página9'!A:A,'Página9'!F:F,"")</f>
        <v>287</v>
      </c>
      <c r="H516" s="39">
        <f t="array" ref="H516">XLOOKUP(B516,'Página9'!A:A,'Página9'!C:C,"")</f>
        <v>20</v>
      </c>
      <c r="I516" s="35" t="str">
        <f t="array" ref="I516">XLOOKUP(B516,'Página9'!A:A,'Página9'!G:G,"")</f>
        <v>OK</v>
      </c>
      <c r="J516" s="25" t="str">
        <f t="shared" si="1"/>
        <v>EXPEDIÇÃO</v>
      </c>
      <c r="K516" s="25" t="str">
        <f>IFERROR(__xludf.DUMMYFUNCTION("""COMPUTED_VALUE"""),"Francisco Renato Da Silva De Oliveira Junior")</f>
        <v>Francisco Renato Da Silva De Oliveira Junior</v>
      </c>
    </row>
    <row r="517">
      <c r="A517" s="37">
        <f>IFERROR(__xludf.DUMMYFUNCTION("""COMPUTED_VALUE"""),45988.479525462964)</f>
        <v>45988.47953</v>
      </c>
      <c r="B517" s="42" t="str">
        <f>IFERROR(__xludf.DUMMYFUNCTION("""COMPUTED_VALUE"""),"MCC049UC0600")</f>
        <v>MCC049UC0600</v>
      </c>
      <c r="C517" s="31" t="str">
        <f>IFERROR(__xludf.DUMMYFUNCTION("""COMPUTED_VALUE"""),"FITA ADESIVA P/ CACHORRO PERSONALIZADA")</f>
        <v>FITA ADESIVA P/ CACHORRO PERSONALIZADA</v>
      </c>
      <c r="D517" s="39">
        <f>IFERROR(__xludf.DUMMYFUNCTION("""COMPUTED_VALUE"""),2.0)</f>
        <v>2</v>
      </c>
      <c r="E517" s="34" t="str">
        <f>IFERROR(__xludf.DUMMYFUNCTION("""COMPUTED_VALUE"""),"Saída")</f>
        <v>Saída</v>
      </c>
      <c r="F517" s="34" t="str">
        <f>IFERROR(__xludf.DUMMYFUNCTION("""COMPUTED_VALUE"""),"Expedição:ex-escolas-exponenciais:")</f>
        <v>Expedição:ex-escolas-exponenciais:</v>
      </c>
      <c r="G517" s="39">
        <f t="array" ref="G517">XLOOKUP(B517,'Página9'!A:A,'Página9'!F:F,"")</f>
        <v>156</v>
      </c>
      <c r="H517" s="39">
        <f t="array" ref="H517">XLOOKUP(B517,'Página9'!A:A,'Página9'!C:C,"")</f>
        <v>10</v>
      </c>
      <c r="I517" s="35" t="str">
        <f t="array" ref="I517">XLOOKUP(B517,'Página9'!A:A,'Página9'!G:G,"")</f>
        <v>OK</v>
      </c>
      <c r="J517" s="25" t="str">
        <f t="shared" si="1"/>
        <v>EXPEDIÇÃO</v>
      </c>
      <c r="K517" s="25" t="str">
        <f>IFERROR(__xludf.DUMMYFUNCTION("""COMPUTED_VALUE"""),"Ana Virginia De Castro Costa")</f>
        <v>Ana Virginia De Castro Costa</v>
      </c>
    </row>
    <row r="518">
      <c r="A518" s="37">
        <f>IFERROR(__xludf.DUMMYFUNCTION("""COMPUTED_VALUE"""),45988.49896990741)</f>
        <v>45988.49897</v>
      </c>
      <c r="B518" s="42" t="str">
        <f>IFERROR(__xludf.DUMMYFUNCTION("""COMPUTED_VALUE"""),"MCC015UC0045")</f>
        <v>MCC015UC0045</v>
      </c>
      <c r="C518" s="31" t="str">
        <f>IFERROR(__xludf.DUMMYFUNCTION("""COMPUTED_VALUE"""),"FITA ADESIVA 69MM X 100M")</f>
        <v>FITA ADESIVA 69MM X 100M</v>
      </c>
      <c r="D518" s="39">
        <f>IFERROR(__xludf.DUMMYFUNCTION("""COMPUTED_VALUE"""),50.0)</f>
        <v>50</v>
      </c>
      <c r="E518" s="34" t="str">
        <f>IFERROR(__xludf.DUMMYFUNCTION("""COMPUTED_VALUE"""),"Saída")</f>
        <v>Saída</v>
      </c>
      <c r="F518" s="34" t="str">
        <f>IFERROR(__xludf.DUMMYFUNCTION("""COMPUTED_VALUE"""),"Recebimento:truck:")</f>
        <v>Recebimento:truck:</v>
      </c>
      <c r="G518" s="39">
        <f t="array" ref="G518">XLOOKUP(B518,'Página9'!A:A,'Página9'!F:F,"")</f>
        <v>287</v>
      </c>
      <c r="H518" s="39">
        <f t="array" ref="H518">XLOOKUP(B518,'Página9'!A:A,'Página9'!C:C,"")</f>
        <v>20</v>
      </c>
      <c r="I518" s="35" t="str">
        <f t="array" ref="I518">XLOOKUP(B518,'Página9'!A:A,'Página9'!G:G,"")</f>
        <v>OK</v>
      </c>
      <c r="J518" s="25" t="str">
        <f t="shared" si="1"/>
        <v>RECEBIMENTO</v>
      </c>
      <c r="K518" s="25" t="str">
        <f>IFERROR(__xludf.DUMMYFUNCTION("""COMPUTED_VALUE"""),"Lisandra Marchi Da Silva")</f>
        <v>Lisandra Marchi Da Silva</v>
      </c>
    </row>
    <row r="519">
      <c r="A519" s="37">
        <f>IFERROR(__xludf.DUMMYFUNCTION("""COMPUTED_VALUE"""),45988.532858796294)</f>
        <v>45988.53286</v>
      </c>
      <c r="B519" s="42" t="str">
        <f>IFERROR(__xludf.DUMMYFUNCTION("""COMPUTED_VALUE"""),"MCC049UC0607")</f>
        <v>MCC049UC0607</v>
      </c>
      <c r="C519" s="31" t="str">
        <f>IFERROR(__xludf.DUMMYFUNCTION("""COMPUTED_VALUE"""),"PAPEL A3 RESMA COM 500 FLS")</f>
        <v>PAPEL A3 RESMA COM 500 FLS</v>
      </c>
      <c r="D519" s="39">
        <f>IFERROR(__xludf.DUMMYFUNCTION("""COMPUTED_VALUE"""),10.0)</f>
        <v>10</v>
      </c>
      <c r="E519" s="34" t="str">
        <f>IFERROR(__xludf.DUMMYFUNCTION("""COMPUTED_VALUE"""),"Saída")</f>
        <v>Saída</v>
      </c>
      <c r="F519" s="34" t="str">
        <f>IFERROR(__xludf.DUMMYFUNCTION("""COMPUTED_VALUE"""),"Expedição:ex-escolas-exponenciais:")</f>
        <v>Expedição:ex-escolas-exponenciais:</v>
      </c>
      <c r="G519" s="39">
        <f t="array" ref="G519">XLOOKUP(B519,'Página9'!A:A,'Página9'!F:F,"")</f>
        <v>-47</v>
      </c>
      <c r="H519" s="39">
        <f t="array" ref="H519">XLOOKUP(B519,'Página9'!A:A,'Página9'!C:C,"")</f>
        <v>3</v>
      </c>
      <c r="I519" s="35" t="str">
        <f t="array" ref="I519">XLOOKUP(B519,'Página9'!A:A,'Página9'!G:G,"")</f>
        <v>REPOR ESTOQUE</v>
      </c>
      <c r="J519" s="25" t="str">
        <f t="shared" si="1"/>
        <v>EXPEDIÇÃO</v>
      </c>
      <c r="K519" s="25" t="str">
        <f>IFERROR(__xludf.DUMMYFUNCTION("""COMPUTED_VALUE"""),"Francisco Renato Da Silva De Oliveira Junior")</f>
        <v>Francisco Renato Da Silva De Oliveira Junior</v>
      </c>
    </row>
    <row r="520">
      <c r="A520" s="37">
        <f>IFERROR(__xludf.DUMMYFUNCTION("""COMPUTED_VALUE"""),45988.55657407407)</f>
        <v>45988.55657</v>
      </c>
      <c r="B520" s="42" t="str">
        <f>IFERROR(__xludf.DUMMYFUNCTION("""COMPUTED_VALUE"""),"MCC015UC0008")</f>
        <v>MCC015UC0008</v>
      </c>
      <c r="C520" s="31" t="str">
        <f>IFERROR(__xludf.DUMMYFUNCTION("""COMPUTED_VALUE"""),"FILME STRETCH 500X25")</f>
        <v>FILME STRETCH 500X25</v>
      </c>
      <c r="D520" s="39">
        <f>IFERROR(__xludf.DUMMYFUNCTION("""COMPUTED_VALUE"""),5.0)</f>
        <v>5</v>
      </c>
      <c r="E520" s="34" t="str">
        <f>IFERROR(__xludf.DUMMYFUNCTION("""COMPUTED_VALUE"""),"Saída")</f>
        <v>Saída</v>
      </c>
      <c r="F520" s="34" t="str">
        <f>IFERROR(__xludf.DUMMYFUNCTION("""COMPUTED_VALUE"""),"Expedição:ex-escolas-exponenciais:")</f>
        <v>Expedição:ex-escolas-exponenciais:</v>
      </c>
      <c r="G520" s="39">
        <f t="array" ref="G520">XLOOKUP(B520,'Página9'!A:A,'Página9'!F:F,"")</f>
        <v>-158</v>
      </c>
      <c r="H520" s="39">
        <f t="array" ref="H520">XLOOKUP(B520,'Página9'!A:A,'Página9'!C:C,"")</f>
        <v>40</v>
      </c>
      <c r="I520" s="35" t="str">
        <f t="array" ref="I520">XLOOKUP(B520,'Página9'!A:A,'Página9'!G:G,"")</f>
        <v>REPOR ESTOQUE</v>
      </c>
      <c r="J520" s="25" t="str">
        <f t="shared" si="1"/>
        <v>EXPEDIÇÃO</v>
      </c>
      <c r="K520" s="25" t="str">
        <f>IFERROR(__xludf.DUMMYFUNCTION("""COMPUTED_VALUE"""),"Gabriel De Sousa Freitas")</f>
        <v>Gabriel De Sousa Freitas</v>
      </c>
    </row>
    <row r="521">
      <c r="A521" s="37">
        <f>IFERROR(__xludf.DUMMYFUNCTION("""COMPUTED_VALUE"""),45988.561689814815)</f>
        <v>45988.56169</v>
      </c>
      <c r="B521" s="42" t="str">
        <f>IFERROR(__xludf.DUMMYFUNCTION("""COMPUTED_VALUE"""),"MCC049UC0607")</f>
        <v>MCC049UC0607</v>
      </c>
      <c r="C521" s="31" t="str">
        <f>IFERROR(__xludf.DUMMYFUNCTION("""COMPUTED_VALUE"""),"PAPEL A3 RESMA COM 500 FLS")</f>
        <v>PAPEL A3 RESMA COM 500 FLS</v>
      </c>
      <c r="D521" s="39">
        <f>IFERROR(__xludf.DUMMYFUNCTION("""COMPUTED_VALUE"""),10.0)</f>
        <v>10</v>
      </c>
      <c r="E521" s="34" t="str">
        <f>IFERROR(__xludf.DUMMYFUNCTION("""COMPUTED_VALUE"""),"Saída")</f>
        <v>Saída</v>
      </c>
      <c r="F521" s="34" t="str">
        <f>IFERROR(__xludf.DUMMYFUNCTION("""COMPUTED_VALUE"""),"Expedição:ex-escolas-exponenciais:")</f>
        <v>Expedição:ex-escolas-exponenciais:</v>
      </c>
      <c r="G521" s="39">
        <f t="array" ref="G521">XLOOKUP(B521,'Página9'!A:A,'Página9'!F:F,"")</f>
        <v>-47</v>
      </c>
      <c r="H521" s="39">
        <f t="array" ref="H521">XLOOKUP(B521,'Página9'!A:A,'Página9'!C:C,"")</f>
        <v>3</v>
      </c>
      <c r="I521" s="35" t="str">
        <f t="array" ref="I521">XLOOKUP(B521,'Página9'!A:A,'Página9'!G:G,"")</f>
        <v>REPOR ESTOQUE</v>
      </c>
      <c r="J521" s="25" t="str">
        <f t="shared" si="1"/>
        <v>EXPEDIÇÃO</v>
      </c>
      <c r="K521" s="25" t="str">
        <f>IFERROR(__xludf.DUMMYFUNCTION("""COMPUTED_VALUE"""),"Rubens Ribeiro Lisboa")</f>
        <v>Rubens Ribeiro Lisboa</v>
      </c>
    </row>
    <row r="522">
      <c r="A522" s="37">
        <f>IFERROR(__xludf.DUMMYFUNCTION("""COMPUTED_VALUE"""),45988.58226851852)</f>
        <v>45988.58227</v>
      </c>
      <c r="B522" s="42" t="str">
        <f>IFERROR(__xludf.DUMMYFUNCTION("""COMPUTED_VALUE"""),"MCC015UC0008")</f>
        <v>MCC015UC0008</v>
      </c>
      <c r="C522" s="31" t="str">
        <f>IFERROR(__xludf.DUMMYFUNCTION("""COMPUTED_VALUE"""),"FILME STRETCH 500X25")</f>
        <v>FILME STRETCH 500X25</v>
      </c>
      <c r="D522" s="39">
        <f>IFERROR(__xludf.DUMMYFUNCTION("""COMPUTED_VALUE"""),4.0)</f>
        <v>4</v>
      </c>
      <c r="E522" s="34" t="str">
        <f>IFERROR(__xludf.DUMMYFUNCTION("""COMPUTED_VALUE"""),"Saída")</f>
        <v>Saída</v>
      </c>
      <c r="F522" s="34" t="str">
        <f>IFERROR(__xludf.DUMMYFUNCTION("""COMPUTED_VALUE"""),"Recebimento:truck:")</f>
        <v>Recebimento:truck:</v>
      </c>
      <c r="G522" s="39">
        <f t="array" ref="G522">XLOOKUP(B522,'Página9'!A:A,'Página9'!F:F,"")</f>
        <v>-158</v>
      </c>
      <c r="H522" s="39">
        <f t="array" ref="H522">XLOOKUP(B522,'Página9'!A:A,'Página9'!C:C,"")</f>
        <v>40</v>
      </c>
      <c r="I522" s="35" t="str">
        <f t="array" ref="I522">XLOOKUP(B522,'Página9'!A:A,'Página9'!G:G,"")</f>
        <v>REPOR ESTOQUE</v>
      </c>
      <c r="J522" s="25" t="str">
        <f t="shared" si="1"/>
        <v>RECEBIMENTO</v>
      </c>
      <c r="K522" s="25" t="str">
        <f>IFERROR(__xludf.DUMMYFUNCTION("""COMPUTED_VALUE"""),"Paulo Henrique Chagas De Oliveira")</f>
        <v>Paulo Henrique Chagas De Oliveira</v>
      </c>
    </row>
    <row r="523">
      <c r="A523" s="37">
        <f>IFERROR(__xludf.DUMMYFUNCTION("""COMPUTED_VALUE"""),45988.583506944444)</f>
        <v>45988.58351</v>
      </c>
      <c r="B523" s="42" t="str">
        <f>IFERROR(__xludf.DUMMYFUNCTION("""COMPUTED_VALUE"""),"MCC015UC0008")</f>
        <v>MCC015UC0008</v>
      </c>
      <c r="C523" s="31" t="str">
        <f>IFERROR(__xludf.DUMMYFUNCTION("""COMPUTED_VALUE"""),"FILME STRETCH 500X25")</f>
        <v>FILME STRETCH 500X25</v>
      </c>
      <c r="D523" s="39">
        <f>IFERROR(__xludf.DUMMYFUNCTION("""COMPUTED_VALUE"""),6.0)</f>
        <v>6</v>
      </c>
      <c r="E523" s="34" t="str">
        <f>IFERROR(__xludf.DUMMYFUNCTION("""COMPUTED_VALUE"""),"Saída")</f>
        <v>Saída</v>
      </c>
      <c r="F523" s="34" t="str">
        <f>IFERROR(__xludf.DUMMYFUNCTION("""COMPUTED_VALUE"""),"Estoque:package:")</f>
        <v>Estoque:package:</v>
      </c>
      <c r="G523" s="39">
        <f t="array" ref="G523">XLOOKUP(B523,'Página9'!A:A,'Página9'!F:F,"")</f>
        <v>-158</v>
      </c>
      <c r="H523" s="39">
        <f t="array" ref="H523">XLOOKUP(B523,'Página9'!A:A,'Página9'!C:C,"")</f>
        <v>40</v>
      </c>
      <c r="I523" s="35" t="str">
        <f t="array" ref="I523">XLOOKUP(B523,'Página9'!A:A,'Página9'!G:G,"")</f>
        <v>REPOR ESTOQUE</v>
      </c>
      <c r="J523" s="25" t="str">
        <f t="shared" si="1"/>
        <v>ESTOQUE</v>
      </c>
      <c r="K523" s="25" t="str">
        <f>IFERROR(__xludf.DUMMYFUNCTION("""COMPUTED_VALUE"""),"Yago Rocha Fernandes")</f>
        <v>Yago Rocha Fernandes</v>
      </c>
    </row>
    <row r="524">
      <c r="A524" s="37">
        <f>IFERROR(__xludf.DUMMYFUNCTION("""COMPUTED_VALUE"""),45988.58662037037)</f>
        <v>45988.58662</v>
      </c>
      <c r="B524" s="42" t="str">
        <f>IFERROR(__xludf.DUMMYFUNCTION("""COMPUTED_VALUE"""),"MCC046UC0599")</f>
        <v>MCC046UC0599</v>
      </c>
      <c r="C524" s="31" t="str">
        <f>IFERROR(__xludf.DUMMYFUNCTION("""COMPUTED_VALUE"""),"ETIQUETA ADESIVA COUCHE AMARELA  - 105X150MM SAS")</f>
        <v>ETIQUETA ADESIVA COUCHE AMARELA  - 105X150MM SAS</v>
      </c>
      <c r="D524" s="39">
        <f>IFERROR(__xludf.DUMMYFUNCTION("""COMPUTED_VALUE"""),4.0)</f>
        <v>4</v>
      </c>
      <c r="E524" s="34" t="str">
        <f>IFERROR(__xludf.DUMMYFUNCTION("""COMPUTED_VALUE"""),"Saída")</f>
        <v>Saída</v>
      </c>
      <c r="F524" s="34" t="str">
        <f>IFERROR(__xludf.DUMMYFUNCTION("""COMPUTED_VALUE"""),"Expedição:ex-escolas-exponenciais:")</f>
        <v>Expedição:ex-escolas-exponenciais:</v>
      </c>
      <c r="G524" s="39">
        <f t="array" ref="G524">XLOOKUP(B524,'Página9'!A:A,'Página9'!F:F,"")</f>
        <v>25</v>
      </c>
      <c r="H524" s="39">
        <f t="array" ref="H524">XLOOKUP(B524,'Página9'!A:A,'Página9'!C:C,"")</f>
        <v>5</v>
      </c>
      <c r="I524" s="35" t="str">
        <f t="array" ref="I524">XLOOKUP(B524,'Página9'!A:A,'Página9'!G:G,"")</f>
        <v>OK</v>
      </c>
      <c r="J524" s="25" t="str">
        <f t="shared" si="1"/>
        <v>EXPEDIÇÃO</v>
      </c>
      <c r="K524" s="25" t="str">
        <f>IFERROR(__xludf.DUMMYFUNCTION("""COMPUTED_VALUE"""),"Cosme Marcio Barros Barbosa")</f>
        <v>Cosme Marcio Barros Barbosa</v>
      </c>
    </row>
    <row r="525">
      <c r="A525" s="37">
        <f>IFERROR(__xludf.DUMMYFUNCTION("""COMPUTED_VALUE"""),45988.86929398148)</f>
        <v>45988.86929</v>
      </c>
      <c r="B525" s="42" t="str">
        <f>IFERROR(__xludf.DUMMYFUNCTION("""COMPUTED_VALUE"""),"MCC046UC0668")</f>
        <v>MCC046UC0668</v>
      </c>
      <c r="C525" s="31" t="str">
        <f>IFERROR(__xludf.DUMMYFUNCTION("""COMPUTED_VALUE"""),"ETIQUETA ADESIVA COUCHE CINZA 100X150X1")</f>
        <v>ETIQUETA ADESIVA COUCHE CINZA 100X150X1</v>
      </c>
      <c r="D525" s="39">
        <f>IFERROR(__xludf.DUMMYFUNCTION("""COMPUTED_VALUE"""),4.0)</f>
        <v>4</v>
      </c>
      <c r="E525" s="34" t="str">
        <f>IFERROR(__xludf.DUMMYFUNCTION("""COMPUTED_VALUE"""),"Saída")</f>
        <v>Saída</v>
      </c>
      <c r="F525" s="34" t="str">
        <f>IFERROR(__xludf.DUMMYFUNCTION("""COMPUTED_VALUE"""),"Expedição:ex-escolas-exponenciais:")</f>
        <v>Expedição:ex-escolas-exponenciais:</v>
      </c>
      <c r="G525" s="39">
        <f t="array" ref="G525">XLOOKUP(B525,'Página9'!A:A,'Página9'!F:F,"")</f>
        <v>104</v>
      </c>
      <c r="H525" s="39">
        <f t="array" ref="H525">XLOOKUP(B525,'Página9'!A:A,'Página9'!C:C,"")</f>
        <v>5</v>
      </c>
      <c r="I525" s="35" t="str">
        <f t="array" ref="I525">XLOOKUP(B525,'Página9'!A:A,'Página9'!G:G,"")</f>
        <v>OK</v>
      </c>
      <c r="J525" s="25" t="str">
        <f t="shared" si="1"/>
        <v>EXPEDIÇÃO</v>
      </c>
      <c r="K525" s="25" t="str">
        <f>IFERROR(__xludf.DUMMYFUNCTION("""COMPUTED_VALUE"""),"Rubens Ribeiro Lisboa")</f>
        <v>Rubens Ribeiro Lisboa</v>
      </c>
    </row>
    <row r="526">
      <c r="A526" s="37">
        <f>IFERROR(__xludf.DUMMYFUNCTION("""COMPUTED_VALUE"""),45989.484398148146)</f>
        <v>45989.4844</v>
      </c>
      <c r="B526" s="42" t="str">
        <f>IFERROR(__xludf.DUMMYFUNCTION("""COMPUTED_VALUE"""),"EMC015MO0001")</f>
        <v>EMC015MO0001</v>
      </c>
      <c r="C526" s="31" t="str">
        <f>IFERROR(__xludf.DUMMYFUNCTION("""COMPUTED_VALUE"""),"RIBBON CERA PRETO 110MMX300M")</f>
        <v>RIBBON CERA PRETO 110MMX300M</v>
      </c>
      <c r="D526" s="39">
        <f>IFERROR(__xludf.DUMMYFUNCTION("""COMPUTED_VALUE"""),2.0)</f>
        <v>2</v>
      </c>
      <c r="E526" s="34" t="str">
        <f>IFERROR(__xludf.DUMMYFUNCTION("""COMPUTED_VALUE"""),"Saída")</f>
        <v>Saída</v>
      </c>
      <c r="F526" s="34" t="str">
        <f>IFERROR(__xludf.DUMMYFUNCTION("""COMPUTED_VALUE"""),"CIQ :qualidade:")</f>
        <v>CIQ :qualidade:</v>
      </c>
      <c r="G526" s="39">
        <f t="array" ref="G526">XLOOKUP(B526,'Página9'!A:A,'Página9'!F:F,"")</f>
        <v>390</v>
      </c>
      <c r="H526" s="39">
        <f t="array" ref="H526">XLOOKUP(B526,'Página9'!A:A,'Página9'!C:C,"")</f>
        <v>5</v>
      </c>
      <c r="I526" s="35" t="str">
        <f t="array" ref="I526">XLOOKUP(B526,'Página9'!A:A,'Página9'!G:G,"")</f>
        <v>OK</v>
      </c>
      <c r="J526" s="25" t="str">
        <f t="shared" si="1"/>
        <v>CIQ</v>
      </c>
      <c r="K526" s="25" t="str">
        <f>IFERROR(__xludf.DUMMYFUNCTION("""COMPUTED_VALUE"""),"Allison Breno Da Costa Borges Soares")</f>
        <v>Allison Breno Da Costa Borges Soares</v>
      </c>
    </row>
    <row r="527">
      <c r="A527" s="37">
        <f>IFERROR(__xludf.DUMMYFUNCTION("""COMPUTED_VALUE"""),45989.48575231482)</f>
        <v>45989.48575</v>
      </c>
      <c r="B527" s="42" t="str">
        <f>IFERROR(__xludf.DUMMYFUNCTION("""COMPUTED_VALUE"""),"MCC046UC0082")</f>
        <v>MCC046UC0082</v>
      </c>
      <c r="C527" s="31" t="str">
        <f>IFERROR(__xludf.DUMMYFUNCTION("""COMPUTED_VALUE"""),"PAPEL SULFITE A4 75G 500 FOLHAS")</f>
        <v>PAPEL SULFITE A4 75G 500 FOLHAS</v>
      </c>
      <c r="D527" s="39">
        <f>IFERROR(__xludf.DUMMYFUNCTION("""COMPUTED_VALUE"""),1.0)</f>
        <v>1</v>
      </c>
      <c r="E527" s="34" t="str">
        <f>IFERROR(__xludf.DUMMYFUNCTION("""COMPUTED_VALUE"""),"Saída")</f>
        <v>Saída</v>
      </c>
      <c r="F527" s="34" t="str">
        <f>IFERROR(__xludf.DUMMYFUNCTION("""COMPUTED_VALUE"""),"Estoque:package:")</f>
        <v>Estoque:package:</v>
      </c>
      <c r="G527" s="39">
        <f t="array" ref="G527">XLOOKUP(B527,'Página9'!A:A,'Página9'!F:F,"")</f>
        <v>163</v>
      </c>
      <c r="H527" s="39">
        <f t="array" ref="H527">XLOOKUP(B527,'Página9'!A:A,'Página9'!C:C,"")</f>
        <v>10</v>
      </c>
      <c r="I527" s="35" t="str">
        <f t="array" ref="I527">XLOOKUP(B527,'Página9'!A:A,'Página9'!G:G,"")</f>
        <v>OK</v>
      </c>
      <c r="J527" s="25" t="str">
        <f t="shared" si="1"/>
        <v>ESTOQUE</v>
      </c>
      <c r="K527" s="25" t="str">
        <f>IFERROR(__xludf.DUMMYFUNCTION("""COMPUTED_VALUE"""),"Suellen Aguiar Da Silva")</f>
        <v>Suellen Aguiar Da Silva</v>
      </c>
    </row>
    <row r="528">
      <c r="A528" s="37">
        <f>IFERROR(__xludf.DUMMYFUNCTION("""COMPUTED_VALUE"""),45989.48700231482)</f>
        <v>45989.487</v>
      </c>
      <c r="B528" s="42" t="str">
        <f>IFERROR(__xludf.DUMMYFUNCTION("""COMPUTED_VALUE"""),"MCC046UC0687")</f>
        <v>MCC046UC0687</v>
      </c>
      <c r="C528" s="31" t="str">
        <f>IFERROR(__xludf.DUMMYFUNCTION("""COMPUTED_VALUE"""),"ETIQUETA COUCHE - 100X100X 1")</f>
        <v>ETIQUETA COUCHE - 100X100X 1</v>
      </c>
      <c r="D528" s="39">
        <f>IFERROR(__xludf.DUMMYFUNCTION("""COMPUTED_VALUE"""),1.0)</f>
        <v>1</v>
      </c>
      <c r="E528" s="34" t="str">
        <f>IFERROR(__xludf.DUMMYFUNCTION("""COMPUTED_VALUE"""),"Saída")</f>
        <v>Saída</v>
      </c>
      <c r="F528" s="34" t="str">
        <f>IFERROR(__xludf.DUMMYFUNCTION("""COMPUTED_VALUE"""),"Recebimento:truck:")</f>
        <v>Recebimento:truck:</v>
      </c>
      <c r="G528" s="39">
        <f t="array" ref="G528">XLOOKUP(B528,'Página9'!A:A,'Página9'!F:F,"")</f>
        <v>335</v>
      </c>
      <c r="H528" s="39">
        <f t="array" ref="H528">XLOOKUP(B528,'Página9'!A:A,'Página9'!C:C,"")</f>
        <v>20</v>
      </c>
      <c r="I528" s="35" t="str">
        <f t="array" ref="I528">XLOOKUP(B528,'Página9'!A:A,'Página9'!G:G,"")</f>
        <v>OK</v>
      </c>
      <c r="J528" s="25" t="str">
        <f t="shared" si="1"/>
        <v>RECEBIMENTO</v>
      </c>
      <c r="K528" s="25" t="str">
        <f>IFERROR(__xludf.DUMMYFUNCTION("""COMPUTED_VALUE"""),"Suellen Aguiar Da Silva")</f>
        <v>Suellen Aguiar Da Silva</v>
      </c>
    </row>
    <row r="529">
      <c r="A529" s="37">
        <f>IFERROR(__xludf.DUMMYFUNCTION("""COMPUTED_VALUE"""),45989.51436342593)</f>
        <v>45989.51436</v>
      </c>
      <c r="B529" s="42" t="str">
        <f>IFERROR(__xludf.DUMMYFUNCTION("""COMPUTED_VALUE"""),"MCC015UC0008")</f>
        <v>MCC015UC0008</v>
      </c>
      <c r="C529" s="31" t="str">
        <f>IFERROR(__xludf.DUMMYFUNCTION("""COMPUTED_VALUE"""),"FILME STRETCH 500X25")</f>
        <v>FILME STRETCH 500X25</v>
      </c>
      <c r="D529" s="39">
        <f>IFERROR(__xludf.DUMMYFUNCTION("""COMPUTED_VALUE"""),30.0)</f>
        <v>30</v>
      </c>
      <c r="E529" s="34" t="str">
        <f>IFERROR(__xludf.DUMMYFUNCTION("""COMPUTED_VALUE"""),"Saída")</f>
        <v>Saída</v>
      </c>
      <c r="F529" s="34" t="str">
        <f>IFERROR(__xludf.DUMMYFUNCTION("""COMPUTED_VALUE"""),"Recebimento:truck:")</f>
        <v>Recebimento:truck:</v>
      </c>
      <c r="G529" s="39">
        <f t="array" ref="G529">XLOOKUP(B529,'Página9'!A:A,'Página9'!F:F,"")</f>
        <v>-158</v>
      </c>
      <c r="H529" s="39">
        <f t="array" ref="H529">XLOOKUP(B529,'Página9'!A:A,'Página9'!C:C,"")</f>
        <v>40</v>
      </c>
      <c r="I529" s="35" t="str">
        <f t="array" ref="I529">XLOOKUP(B529,'Página9'!A:A,'Página9'!G:G,"")</f>
        <v>REPOR ESTOQUE</v>
      </c>
      <c r="J529" s="25" t="str">
        <f t="shared" si="1"/>
        <v>RECEBIMENTO</v>
      </c>
      <c r="K529" s="25" t="str">
        <f>IFERROR(__xludf.DUMMYFUNCTION("""COMPUTED_VALUE"""),"Allison Breno Da Costa Borges Soares")</f>
        <v>Allison Breno Da Costa Borges Soares</v>
      </c>
    </row>
    <row r="530">
      <c r="A530" s="37">
        <f>IFERROR(__xludf.DUMMYFUNCTION("""COMPUTED_VALUE"""),45989.69667824074)</f>
        <v>45989.69668</v>
      </c>
      <c r="B530" s="42" t="str">
        <f>IFERROR(__xludf.DUMMYFUNCTION("""COMPUTED_VALUE"""),"MCC046UC0215")</f>
        <v>MCC046UC0215</v>
      </c>
      <c r="C530" s="31" t="str">
        <f>IFERROR(__xludf.DUMMYFUNCTION("""COMPUTED_VALUE"""),"CANETA ESFEROGRAFICA ECONOMIC AZUL BIC")</f>
        <v>CANETA ESFEROGRAFICA ECONOMIC AZUL BIC</v>
      </c>
      <c r="D530" s="39">
        <f>IFERROR(__xludf.DUMMYFUNCTION("""COMPUTED_VALUE"""),3.0)</f>
        <v>3</v>
      </c>
      <c r="E530" s="34" t="str">
        <f>IFERROR(__xludf.DUMMYFUNCTION("""COMPUTED_VALUE"""),"Saída")</f>
        <v>Saída</v>
      </c>
      <c r="F530" s="34" t="str">
        <f>IFERROR(__xludf.DUMMYFUNCTION("""COMPUTED_VALUE"""),"CIQ :qualidade:")</f>
        <v>CIQ :qualidade:</v>
      </c>
      <c r="G530" s="39">
        <f t="array" ref="G530">XLOOKUP(B530,'Página9'!A:A,'Página9'!F:F,"")</f>
        <v>-20</v>
      </c>
      <c r="H530" s="39">
        <f t="array" ref="H530">XLOOKUP(B530,'Página9'!A:A,'Página9'!C:C,"")</f>
        <v>15</v>
      </c>
      <c r="I530" s="35" t="str">
        <f t="array" ref="I530">XLOOKUP(B530,'Página9'!A:A,'Página9'!G:G,"")</f>
        <v>REPOR ESTOQUE</v>
      </c>
      <c r="J530" s="25" t="str">
        <f t="shared" si="1"/>
        <v>CIQ</v>
      </c>
      <c r="K530" s="25" t="str">
        <f>IFERROR(__xludf.DUMMYFUNCTION("""COMPUTED_VALUE"""),"Gabriel De Sousa Freitas")</f>
        <v>Gabriel De Sousa Freitas</v>
      </c>
    </row>
    <row r="531">
      <c r="A531" s="37">
        <f>IFERROR(__xludf.DUMMYFUNCTION("""COMPUTED_VALUE"""),45989.828668981485)</f>
        <v>45989.82867</v>
      </c>
      <c r="B531" s="42" t="str">
        <f>IFERROR(__xludf.DUMMYFUNCTION("""COMPUTED_VALUE"""),"MCC015UC0045")</f>
        <v>MCC015UC0045</v>
      </c>
      <c r="C531" s="31" t="str">
        <f>IFERROR(__xludf.DUMMYFUNCTION("""COMPUTED_VALUE"""),"FITA ADESIVA 69MM X 100M")</f>
        <v>FITA ADESIVA 69MM X 100M</v>
      </c>
      <c r="D531" s="39">
        <f>IFERROR(__xludf.DUMMYFUNCTION("""COMPUTED_VALUE"""),1.0)</f>
        <v>1</v>
      </c>
      <c r="E531" s="34" t="str">
        <f>IFERROR(__xludf.DUMMYFUNCTION("""COMPUTED_VALUE"""),"Saída")</f>
        <v>Saída</v>
      </c>
      <c r="F531" s="34" t="str">
        <f>IFERROR(__xludf.DUMMYFUNCTION("""COMPUTED_VALUE"""),"Recebimento:truck:")</f>
        <v>Recebimento:truck:</v>
      </c>
      <c r="G531" s="39">
        <f t="array" ref="G531">XLOOKUP(B531,'Página9'!A:A,'Página9'!F:F,"")</f>
        <v>287</v>
      </c>
      <c r="H531" s="39">
        <f t="array" ref="H531">XLOOKUP(B531,'Página9'!A:A,'Página9'!C:C,"")</f>
        <v>20</v>
      </c>
      <c r="I531" s="35" t="str">
        <f t="array" ref="I531">XLOOKUP(B531,'Página9'!A:A,'Página9'!G:G,"")</f>
        <v>OK</v>
      </c>
      <c r="J531" s="25" t="str">
        <f t="shared" si="1"/>
        <v>RECEBIMENTO</v>
      </c>
      <c r="K531" s="25" t="str">
        <f>IFERROR(__xludf.DUMMYFUNCTION("""COMPUTED_VALUE"""),"Francisco Samuel Trindade Nascimento")</f>
        <v>Francisco Samuel Trindade Nascimento</v>
      </c>
    </row>
    <row r="532">
      <c r="A532" s="37">
        <f>IFERROR(__xludf.DUMMYFUNCTION("""COMPUTED_VALUE"""),45990.60273148148)</f>
        <v>45990.60273</v>
      </c>
      <c r="B532" s="42" t="str">
        <f>IFERROR(__xludf.DUMMYFUNCTION("""COMPUTED_VALUE"""),"MCC046UC0599")</f>
        <v>MCC046UC0599</v>
      </c>
      <c r="C532" s="31" t="str">
        <f>IFERROR(__xludf.DUMMYFUNCTION("""COMPUTED_VALUE"""),"ETIQUETA ADESIVA COUCHE AMARELA  - 105X150MM SAS")</f>
        <v>ETIQUETA ADESIVA COUCHE AMARELA  - 105X150MM SAS</v>
      </c>
      <c r="D532" s="39">
        <f>IFERROR(__xludf.DUMMYFUNCTION("""COMPUTED_VALUE"""),5.0)</f>
        <v>5</v>
      </c>
      <c r="E532" s="34" t="str">
        <f>IFERROR(__xludf.DUMMYFUNCTION("""COMPUTED_VALUE"""),"Saída")</f>
        <v>Saída</v>
      </c>
      <c r="F532" s="34" t="str">
        <f>IFERROR(__xludf.DUMMYFUNCTION("""COMPUTED_VALUE"""),"PMM:livro-voador:")</f>
        <v>PMM:livro-voador:</v>
      </c>
      <c r="G532" s="39">
        <f t="array" ref="G532">XLOOKUP(B532,'Página9'!A:A,'Página9'!F:F,"")</f>
        <v>25</v>
      </c>
      <c r="H532" s="39">
        <f t="array" ref="H532">XLOOKUP(B532,'Página9'!A:A,'Página9'!C:C,"")</f>
        <v>5</v>
      </c>
      <c r="I532" s="35" t="str">
        <f t="array" ref="I532">XLOOKUP(B532,'Página9'!A:A,'Página9'!G:G,"")</f>
        <v>OK</v>
      </c>
      <c r="J532" s="25" t="str">
        <f t="shared" si="1"/>
        <v>PMM</v>
      </c>
      <c r="K532" s="25" t="str">
        <f>IFERROR(__xludf.DUMMYFUNCTION("""COMPUTED_VALUE"""),"Cosme Marcio Barros Barbosa")</f>
        <v>Cosme Marcio Barros Barbosa</v>
      </c>
    </row>
    <row r="533">
      <c r="A533" s="37">
        <f>IFERROR(__xludf.DUMMYFUNCTION("""COMPUTED_VALUE"""),45992.0)</f>
        <v>45992</v>
      </c>
      <c r="B533" s="42" t="str">
        <f>IFERROR(__xludf.DUMMYFUNCTION("""COMPUTED_VALUE"""),"MCC046UC0639")</f>
        <v>MCC046UC0639</v>
      </c>
      <c r="C533" s="31" t="str">
        <f>IFERROR(__xludf.DUMMYFUNCTION("""COMPUTED_VALUE"""),"PILHA ALCALINA ELGIN PEQ.AA")</f>
        <v>PILHA ALCALINA ELGIN PEQ.AA</v>
      </c>
      <c r="D533" s="39">
        <f>IFERROR(__xludf.DUMMYFUNCTION("""COMPUTED_VALUE"""),1.0)</f>
        <v>1</v>
      </c>
      <c r="E533" s="34" t="str">
        <f>IFERROR(__xludf.DUMMYFUNCTION("""COMPUTED_VALUE"""),"Saída")</f>
        <v>Saída</v>
      </c>
      <c r="F533" s="34" t="str">
        <f>IFERROR(__xludf.DUMMYFUNCTION("""COMPUTED_VALUE"""),"PMM:livro-voador:")</f>
        <v>PMM:livro-voador:</v>
      </c>
      <c r="G533" s="39">
        <f t="array" ref="G533">XLOOKUP(B533,'Página9'!A:A,'Página9'!F:F,"")</f>
        <v>-5</v>
      </c>
      <c r="H533" s="39">
        <f t="array" ref="H533">XLOOKUP(B533,'Página9'!A:A,'Página9'!C:C,"")</f>
        <v>4</v>
      </c>
      <c r="I533" s="35" t="str">
        <f t="array" ref="I533">XLOOKUP(B533,'Página9'!A:A,'Página9'!G:G,"")</f>
        <v>REPOR ESTOQUE</v>
      </c>
      <c r="J533" s="25" t="str">
        <f t="shared" si="1"/>
        <v>PMM</v>
      </c>
      <c r="K533" s="25" t="str">
        <f>IFERROR(__xludf.DUMMYFUNCTION("""COMPUTED_VALUE"""),"Raimundo Reurison Belarmino Da Gama")</f>
        <v>Raimundo Reurison Belarmino Da Gama</v>
      </c>
    </row>
    <row r="534">
      <c r="A534" s="37">
        <f>IFERROR(__xludf.DUMMYFUNCTION("""COMPUTED_VALUE"""),45992.0)</f>
        <v>45992</v>
      </c>
      <c r="B534" s="42" t="str">
        <f>IFERROR(__xludf.DUMMYFUNCTION("""COMPUTED_VALUE"""),"MCC046UC0215")</f>
        <v>MCC046UC0215</v>
      </c>
      <c r="C534" s="31" t="str">
        <f>IFERROR(__xludf.DUMMYFUNCTION("""COMPUTED_VALUE"""),"CANETA ESFEROGRAFICA ECONOMIC AZUL BIC")</f>
        <v>CANETA ESFEROGRAFICA ECONOMIC AZUL BIC</v>
      </c>
      <c r="D534" s="39">
        <f>IFERROR(__xludf.DUMMYFUNCTION("""COMPUTED_VALUE"""),5.0)</f>
        <v>5</v>
      </c>
      <c r="E534" s="34" t="str">
        <f>IFERROR(__xludf.DUMMYFUNCTION("""COMPUTED_VALUE"""),"Saída")</f>
        <v>Saída</v>
      </c>
      <c r="F534" s="34" t="str">
        <f>IFERROR(__xludf.DUMMYFUNCTION("""COMPUTED_VALUE"""),"PMM:livro-voador:")</f>
        <v>PMM:livro-voador:</v>
      </c>
      <c r="G534" s="39">
        <f t="array" ref="G534">XLOOKUP(B534,'Página9'!A:A,'Página9'!F:F,"")</f>
        <v>-20</v>
      </c>
      <c r="H534" s="39">
        <f t="array" ref="H534">XLOOKUP(B534,'Página9'!A:A,'Página9'!C:C,"")</f>
        <v>15</v>
      </c>
      <c r="I534" s="35" t="str">
        <f t="array" ref="I534">XLOOKUP(B534,'Página9'!A:A,'Página9'!G:G,"")</f>
        <v>REPOR ESTOQUE</v>
      </c>
      <c r="J534" s="25" t="str">
        <f t="shared" si="1"/>
        <v>PMM</v>
      </c>
      <c r="K534" s="25" t="str">
        <f>IFERROR(__xludf.DUMMYFUNCTION("""COMPUTED_VALUE"""),"Fabio Ferreira Pessoa")</f>
        <v>Fabio Ferreira Pessoa</v>
      </c>
    </row>
    <row r="535">
      <c r="A535" s="37">
        <f>IFERROR(__xludf.DUMMYFUNCTION("""COMPUTED_VALUE"""),45992.0)</f>
        <v>45992</v>
      </c>
      <c r="B535" s="42" t="str">
        <f>IFERROR(__xludf.DUMMYFUNCTION("""COMPUTED_VALUE"""),"MCC015UC0045")</f>
        <v>MCC015UC0045</v>
      </c>
      <c r="C535" s="31" t="str">
        <f>IFERROR(__xludf.DUMMYFUNCTION("""COMPUTED_VALUE"""),"FITA ADESIVA 69MM X 100M")</f>
        <v>FITA ADESIVA 69MM X 100M</v>
      </c>
      <c r="D535" s="39">
        <f>IFERROR(__xludf.DUMMYFUNCTION("""COMPUTED_VALUE"""),24.0)</f>
        <v>24</v>
      </c>
      <c r="E535" s="34" t="str">
        <f>IFERROR(__xludf.DUMMYFUNCTION("""COMPUTED_VALUE"""),"Saída")</f>
        <v>Saída</v>
      </c>
      <c r="F535" s="34" t="str">
        <f>IFERROR(__xludf.DUMMYFUNCTION("""COMPUTED_VALUE"""),"Expedição:ex-escolas-exponenciais:")</f>
        <v>Expedição:ex-escolas-exponenciais:</v>
      </c>
      <c r="G535" s="39">
        <f t="array" ref="G535">XLOOKUP(B535,'Página9'!A:A,'Página9'!F:F,"")</f>
        <v>287</v>
      </c>
      <c r="H535" s="39">
        <f t="array" ref="H535">XLOOKUP(B535,'Página9'!A:A,'Página9'!C:C,"")</f>
        <v>20</v>
      </c>
      <c r="I535" s="35" t="str">
        <f t="array" ref="I535">XLOOKUP(B535,'Página9'!A:A,'Página9'!G:G,"")</f>
        <v>OK</v>
      </c>
      <c r="J535" s="25" t="str">
        <f t="shared" si="1"/>
        <v>EXPEDIÇÃO</v>
      </c>
      <c r="K535" s="25" t="str">
        <f>IFERROR(__xludf.DUMMYFUNCTION("""COMPUTED_VALUE"""),"Rejane Fontes De Sousa")</f>
        <v>Rejane Fontes De Sousa</v>
      </c>
    </row>
    <row r="536">
      <c r="A536" s="37">
        <f>IFERROR(__xludf.DUMMYFUNCTION("""COMPUTED_VALUE"""),45992.0)</f>
        <v>45992</v>
      </c>
      <c r="B536" s="42" t="str">
        <f>IFERROR(__xludf.DUMMYFUNCTION("""COMPUTED_VALUE"""),"MCC046UC0093")</f>
        <v>MCC046UC0093</v>
      </c>
      <c r="C536" s="31" t="str">
        <f>IFERROR(__xludf.DUMMYFUNCTION("""COMPUTED_VALUE"""),"REGUA ACRILICA 30CM")</f>
        <v>REGUA ACRILICA 30CM</v>
      </c>
      <c r="D536" s="39">
        <f>IFERROR(__xludf.DUMMYFUNCTION("""COMPUTED_VALUE"""),1.0)</f>
        <v>1</v>
      </c>
      <c r="E536" s="34" t="str">
        <f>IFERROR(__xludf.DUMMYFUNCTION("""COMPUTED_VALUE"""),"Saída")</f>
        <v>Saída</v>
      </c>
      <c r="F536" s="34" t="str">
        <f>IFERROR(__xludf.DUMMYFUNCTION("""COMPUTED_VALUE"""),"PMM:livro-voador:")</f>
        <v>PMM:livro-voador:</v>
      </c>
      <c r="G536" s="39">
        <f t="array" ref="G536">XLOOKUP(B536,'Página9'!A:A,'Página9'!F:F,"")</f>
        <v>16</v>
      </c>
      <c r="H536" s="39">
        <f t="array" ref="H536">XLOOKUP(B536,'Página9'!A:A,'Página9'!C:C,"")</f>
        <v>5</v>
      </c>
      <c r="I536" s="35" t="str">
        <f t="array" ref="I536">XLOOKUP(B536,'Página9'!A:A,'Página9'!G:G,"")</f>
        <v>OK</v>
      </c>
      <c r="J536" s="25" t="str">
        <f t="shared" si="1"/>
        <v>PMM</v>
      </c>
      <c r="K536" s="25" t="str">
        <f>IFERROR(__xludf.DUMMYFUNCTION("""COMPUTED_VALUE"""),"Fabio Ferreira Pessoa")</f>
        <v>Fabio Ferreira Pessoa</v>
      </c>
    </row>
    <row r="537">
      <c r="A537" s="37">
        <f>IFERROR(__xludf.DUMMYFUNCTION("""COMPUTED_VALUE"""),45992.0)</f>
        <v>45992</v>
      </c>
      <c r="B537" s="42" t="str">
        <f>IFERROR(__xludf.DUMMYFUNCTION("""COMPUTED_VALUE"""),"MCC046UC0687")</f>
        <v>MCC046UC0687</v>
      </c>
      <c r="C537" s="31" t="str">
        <f>IFERROR(__xludf.DUMMYFUNCTION("""COMPUTED_VALUE"""),"ETIQUETA COUCHE - 100X100X 1")</f>
        <v>ETIQUETA COUCHE - 100X100X 1</v>
      </c>
      <c r="D537" s="39">
        <f>IFERROR(__xludf.DUMMYFUNCTION("""COMPUTED_VALUE"""),10.0)</f>
        <v>10</v>
      </c>
      <c r="E537" s="34" t="str">
        <f>IFERROR(__xludf.DUMMYFUNCTION("""COMPUTED_VALUE"""),"Saída")</f>
        <v>Saída</v>
      </c>
      <c r="F537" s="34" t="str">
        <f>IFERROR(__xludf.DUMMYFUNCTION("""COMPUTED_VALUE"""),"PMM:livro-voador:")</f>
        <v>PMM:livro-voador:</v>
      </c>
      <c r="G537" s="39">
        <f t="array" ref="G537">XLOOKUP(B537,'Página9'!A:A,'Página9'!F:F,"")</f>
        <v>335</v>
      </c>
      <c r="H537" s="39">
        <f t="array" ref="H537">XLOOKUP(B537,'Página9'!A:A,'Página9'!C:C,"")</f>
        <v>20</v>
      </c>
      <c r="I537" s="35" t="str">
        <f t="array" ref="I537">XLOOKUP(B537,'Página9'!A:A,'Página9'!G:G,"")</f>
        <v>OK</v>
      </c>
      <c r="J537" s="25" t="str">
        <f t="shared" si="1"/>
        <v>PMM</v>
      </c>
      <c r="K537" s="25" t="str">
        <f>IFERROR(__xludf.DUMMYFUNCTION("""COMPUTED_VALUE"""),"Francisco Renato Da Silva De Oliveira Junior")</f>
        <v>Francisco Renato Da Silva De Oliveira Junior</v>
      </c>
    </row>
    <row r="538">
      <c r="A538" s="37">
        <f>IFERROR(__xludf.DUMMYFUNCTION("""COMPUTED_VALUE"""),45993.0)</f>
        <v>45993</v>
      </c>
      <c r="B538" s="42" t="str">
        <f>IFERROR(__xludf.DUMMYFUNCTION("""COMPUTED_VALUE"""),"MCC046UC0687")</f>
        <v>MCC046UC0687</v>
      </c>
      <c r="C538" s="31" t="str">
        <f>IFERROR(__xludf.DUMMYFUNCTION("""COMPUTED_VALUE"""),"ETIQUETA COUCHE - 100X100X 1")</f>
        <v>ETIQUETA COUCHE - 100X100X 1</v>
      </c>
      <c r="D538" s="39">
        <f>IFERROR(__xludf.DUMMYFUNCTION("""COMPUTED_VALUE"""),1.0)</f>
        <v>1</v>
      </c>
      <c r="E538" s="34" t="str">
        <f>IFERROR(__xludf.DUMMYFUNCTION("""COMPUTED_VALUE"""),"Saída")</f>
        <v>Saída</v>
      </c>
      <c r="F538" s="34" t="str">
        <f>IFERROR(__xludf.DUMMYFUNCTION("""COMPUTED_VALUE"""),"Recebimento:truck:")</f>
        <v>Recebimento:truck:</v>
      </c>
      <c r="G538" s="39">
        <f t="array" ref="G538">XLOOKUP(B538,'Página9'!A:A,'Página9'!F:F,"")</f>
        <v>335</v>
      </c>
      <c r="H538" s="39">
        <f t="array" ref="H538">XLOOKUP(B538,'Página9'!A:A,'Página9'!C:C,"")</f>
        <v>20</v>
      </c>
      <c r="I538" s="35" t="str">
        <f t="array" ref="I538">XLOOKUP(B538,'Página9'!A:A,'Página9'!G:G,"")</f>
        <v>OK</v>
      </c>
      <c r="J538" s="25" t="str">
        <f t="shared" si="1"/>
        <v>RECEBIMENTO</v>
      </c>
      <c r="K538" s="25" t="str">
        <f>IFERROR(__xludf.DUMMYFUNCTION("""COMPUTED_VALUE"""),"Suellen Aguiar Da Silva")</f>
        <v>Suellen Aguiar Da Silva</v>
      </c>
    </row>
    <row r="539">
      <c r="A539" s="37">
        <f>IFERROR(__xludf.DUMMYFUNCTION("""COMPUTED_VALUE"""),45993.0)</f>
        <v>45993</v>
      </c>
      <c r="B539" s="42" t="str">
        <f>IFERROR(__xludf.DUMMYFUNCTION("""COMPUTED_VALUE"""),"EMC015MO0001")</f>
        <v>EMC015MO0001</v>
      </c>
      <c r="C539" s="31" t="str">
        <f>IFERROR(__xludf.DUMMYFUNCTION("""COMPUTED_VALUE"""),"RIBBON CERA PRETO 110MMX300M")</f>
        <v>RIBBON CERA PRETO 110MMX300M</v>
      </c>
      <c r="D539" s="39">
        <f>IFERROR(__xludf.DUMMYFUNCTION("""COMPUTED_VALUE"""),1.0)</f>
        <v>1</v>
      </c>
      <c r="E539" s="34" t="str">
        <f>IFERROR(__xludf.DUMMYFUNCTION("""COMPUTED_VALUE"""),"Saída")</f>
        <v>Saída</v>
      </c>
      <c r="F539" s="34" t="str">
        <f>IFERROR(__xludf.DUMMYFUNCTION("""COMPUTED_VALUE"""),"Recebimento:truck:")</f>
        <v>Recebimento:truck:</v>
      </c>
      <c r="G539" s="39">
        <f t="array" ref="G539">XLOOKUP(B539,'Página9'!A:A,'Página9'!F:F,"")</f>
        <v>390</v>
      </c>
      <c r="H539" s="39">
        <f t="array" ref="H539">XLOOKUP(B539,'Página9'!A:A,'Página9'!C:C,"")</f>
        <v>5</v>
      </c>
      <c r="I539" s="35" t="str">
        <f t="array" ref="I539">XLOOKUP(B539,'Página9'!A:A,'Página9'!G:G,"")</f>
        <v>OK</v>
      </c>
      <c r="J539" s="25" t="str">
        <f t="shared" si="1"/>
        <v>RECEBIMENTO</v>
      </c>
      <c r="K539" s="25" t="str">
        <f>IFERROR(__xludf.DUMMYFUNCTION("""COMPUTED_VALUE"""),"Suellen Aguiar Da Silva")</f>
        <v>Suellen Aguiar Da Silva</v>
      </c>
    </row>
    <row r="540">
      <c r="A540" s="37">
        <f>IFERROR(__xludf.DUMMYFUNCTION("""COMPUTED_VALUE"""),45993.0)</f>
        <v>45993</v>
      </c>
      <c r="B540" s="42" t="str">
        <f>IFERROR(__xludf.DUMMYFUNCTION("""COMPUTED_VALUE"""),"MCC046UC0525")</f>
        <v>MCC046UC0525</v>
      </c>
      <c r="C540" s="31" t="str">
        <f>IFERROR(__xludf.DUMMYFUNCTION("""COMPUTED_VALUE"""),"CANETA PINCEL ATOMICO AZUL PILOT 1100")</f>
        <v>CANETA PINCEL ATOMICO AZUL PILOT 1100</v>
      </c>
      <c r="D540" s="39">
        <f>IFERROR(__xludf.DUMMYFUNCTION("""COMPUTED_VALUE"""),1.0)</f>
        <v>1</v>
      </c>
      <c r="E540" s="34" t="str">
        <f>IFERROR(__xludf.DUMMYFUNCTION("""COMPUTED_VALUE"""),"Saída")</f>
        <v>Saída</v>
      </c>
      <c r="F540" s="34" t="str">
        <f>IFERROR(__xludf.DUMMYFUNCTION("""COMPUTED_VALUE"""),"Expedição:ex-escolas-exponenciais:")</f>
        <v>Expedição:ex-escolas-exponenciais:</v>
      </c>
      <c r="G540" s="39">
        <f t="array" ref="G540">XLOOKUP(B540,'Página9'!A:A,'Página9'!F:F,"")</f>
        <v>5</v>
      </c>
      <c r="H540" s="39">
        <f t="array" ref="H540">XLOOKUP(B540,'Página9'!A:A,'Página9'!C:C,"")</f>
        <v>3</v>
      </c>
      <c r="I540" s="35" t="str">
        <f t="array" ref="I540">XLOOKUP(B540,'Página9'!A:A,'Página9'!G:G,"")</f>
        <v>OK</v>
      </c>
      <c r="J540" s="25" t="str">
        <f t="shared" si="1"/>
        <v>EXPEDIÇÃO</v>
      </c>
      <c r="K540" s="25" t="str">
        <f>IFERROR(__xludf.DUMMYFUNCTION("""COMPUTED_VALUE"""),"Gabriel De Sousa Freitas")</f>
        <v>Gabriel De Sousa Freitas</v>
      </c>
    </row>
    <row r="541">
      <c r="A541" s="37">
        <f>IFERROR(__xludf.DUMMYFUNCTION("""COMPUTED_VALUE"""),45993.0)</f>
        <v>45993</v>
      </c>
      <c r="B541" s="42" t="str">
        <f>IFERROR(__xludf.DUMMYFUNCTION("""COMPUTED_VALUE"""),"MCC015UC0008")</f>
        <v>MCC015UC0008</v>
      </c>
      <c r="C541" s="31" t="str">
        <f>IFERROR(__xludf.DUMMYFUNCTION("""COMPUTED_VALUE"""),"FILME STRETCH 500X25")</f>
        <v>FILME STRETCH 500X25</v>
      </c>
      <c r="D541" s="39">
        <f>IFERROR(__xludf.DUMMYFUNCTION("""COMPUTED_VALUE"""),5.0)</f>
        <v>5</v>
      </c>
      <c r="E541" s="34" t="str">
        <f>IFERROR(__xludf.DUMMYFUNCTION("""COMPUTED_VALUE"""),"Saída")</f>
        <v>Saída</v>
      </c>
      <c r="F541" s="34" t="str">
        <f>IFERROR(__xludf.DUMMYFUNCTION("""COMPUTED_VALUE"""),"Recebimento:truck:")</f>
        <v>Recebimento:truck:</v>
      </c>
      <c r="G541" s="39">
        <f t="array" ref="G541">XLOOKUP(B541,'Página9'!A:A,'Página9'!F:F,"")</f>
        <v>-158</v>
      </c>
      <c r="H541" s="39">
        <f t="array" ref="H541">XLOOKUP(B541,'Página9'!A:A,'Página9'!C:C,"")</f>
        <v>40</v>
      </c>
      <c r="I541" s="35" t="str">
        <f t="array" ref="I541">XLOOKUP(B541,'Página9'!A:A,'Página9'!G:G,"")</f>
        <v>REPOR ESTOQUE</v>
      </c>
      <c r="J541" s="25" t="str">
        <f t="shared" si="1"/>
        <v>RECEBIMENTO</v>
      </c>
      <c r="K541" s="25" t="str">
        <f>IFERROR(__xludf.DUMMYFUNCTION("""COMPUTED_VALUE"""),"Jackson Alves Sales")</f>
        <v>Jackson Alves Sales</v>
      </c>
    </row>
    <row r="542">
      <c r="A542" s="37">
        <f>IFERROR(__xludf.DUMMYFUNCTION("""COMPUTED_VALUE"""),45993.0)</f>
        <v>45993</v>
      </c>
      <c r="B542" s="42" t="str">
        <f>IFERROR(__xludf.DUMMYFUNCTION("""COMPUTED_VALUE"""),"MCC046UC0695")</f>
        <v>MCC046UC0695</v>
      </c>
      <c r="C542" s="31" t="str">
        <f>IFERROR(__xludf.DUMMYFUNCTION("""COMPUTED_VALUE"""),"ETIQUETA COUCHE 98X50X1")</f>
        <v>ETIQUETA COUCHE 98X50X1</v>
      </c>
      <c r="D542" s="39">
        <f>IFERROR(__xludf.DUMMYFUNCTION("""COMPUTED_VALUE"""),3.0)</f>
        <v>3</v>
      </c>
      <c r="E542" s="34" t="str">
        <f>IFERROR(__xludf.DUMMYFUNCTION("""COMPUTED_VALUE"""),"Saída")</f>
        <v>Saída</v>
      </c>
      <c r="F542" s="34" t="str">
        <f>IFERROR(__xludf.DUMMYFUNCTION("""COMPUTED_VALUE"""),"PMM:livro-voador:")</f>
        <v>PMM:livro-voador:</v>
      </c>
      <c r="G542" s="39">
        <f t="array" ref="G542">XLOOKUP(B542,'Página9'!A:A,'Página9'!F:F,"")</f>
        <v>256</v>
      </c>
      <c r="H542" s="39">
        <f t="array" ref="H542">XLOOKUP(B542,'Página9'!A:A,'Página9'!C:C,"")</f>
        <v>20</v>
      </c>
      <c r="I542" s="35" t="str">
        <f t="array" ref="I542">XLOOKUP(B542,'Página9'!A:A,'Página9'!G:G,"")</f>
        <v>OK</v>
      </c>
      <c r="J542" s="25" t="str">
        <f t="shared" si="1"/>
        <v>PMM</v>
      </c>
      <c r="K542" s="25" t="str">
        <f>IFERROR(__xludf.DUMMYFUNCTION("""COMPUTED_VALUE"""),"Fabio Ferreira Pessoa")</f>
        <v>Fabio Ferreira Pessoa</v>
      </c>
    </row>
    <row r="543">
      <c r="A543" s="37">
        <f>IFERROR(__xludf.DUMMYFUNCTION("""COMPUTED_VALUE"""),45993.0)</f>
        <v>45993</v>
      </c>
      <c r="B543" s="42" t="str">
        <f>IFERROR(__xludf.DUMMYFUNCTION("""COMPUTED_VALUE"""),"MCC015UC0045")</f>
        <v>MCC015UC0045</v>
      </c>
      <c r="C543" s="31" t="str">
        <f>IFERROR(__xludf.DUMMYFUNCTION("""COMPUTED_VALUE"""),"FITA ADESIVA 69MM X 100M")</f>
        <v>FITA ADESIVA 69MM X 100M</v>
      </c>
      <c r="D543" s="39">
        <f>IFERROR(__xludf.DUMMYFUNCTION("""COMPUTED_VALUE"""),3.0)</f>
        <v>3</v>
      </c>
      <c r="E543" s="34" t="str">
        <f>IFERROR(__xludf.DUMMYFUNCTION("""COMPUTED_VALUE"""),"Saída")</f>
        <v>Saída</v>
      </c>
      <c r="F543" s="34" t="str">
        <f>IFERROR(__xludf.DUMMYFUNCTION("""COMPUTED_VALUE"""),"PMM:livro-voador:")</f>
        <v>PMM:livro-voador:</v>
      </c>
      <c r="G543" s="39">
        <f t="array" ref="G543">XLOOKUP(B543,'Página9'!A:A,'Página9'!F:F,"")</f>
        <v>287</v>
      </c>
      <c r="H543" s="39">
        <f t="array" ref="H543">XLOOKUP(B543,'Página9'!A:A,'Página9'!C:C,"")</f>
        <v>20</v>
      </c>
      <c r="I543" s="35" t="str">
        <f t="array" ref="I543">XLOOKUP(B543,'Página9'!A:A,'Página9'!G:G,"")</f>
        <v>OK</v>
      </c>
      <c r="J543" s="25" t="str">
        <f t="shared" si="1"/>
        <v>PMM</v>
      </c>
      <c r="K543" s="25" t="str">
        <f>IFERROR(__xludf.DUMMYFUNCTION("""COMPUTED_VALUE"""),"Fabio Ferreira Pessoa")</f>
        <v>Fabio Ferreira Pessoa</v>
      </c>
    </row>
    <row r="544">
      <c r="A544" s="37">
        <f>IFERROR(__xludf.DUMMYFUNCTION("""COMPUTED_VALUE"""),45993.0)</f>
        <v>45993</v>
      </c>
      <c r="B544" s="42" t="str">
        <f>IFERROR(__xludf.DUMMYFUNCTION("""COMPUTED_VALUE"""),"MCC015UC0045")</f>
        <v>MCC015UC0045</v>
      </c>
      <c r="C544" s="31" t="str">
        <f>IFERROR(__xludf.DUMMYFUNCTION("""COMPUTED_VALUE"""),"FITA ADESIVA 69MM X 100M")</f>
        <v>FITA ADESIVA 69MM X 100M</v>
      </c>
      <c r="D544" s="39">
        <f>IFERROR(__xludf.DUMMYFUNCTION("""COMPUTED_VALUE"""),6.0)</f>
        <v>6</v>
      </c>
      <c r="E544" s="34" t="str">
        <f>IFERROR(__xludf.DUMMYFUNCTION("""COMPUTED_VALUE"""),"Saída")</f>
        <v>Saída</v>
      </c>
      <c r="F544" s="34" t="str">
        <f>IFERROR(__xludf.DUMMYFUNCTION("""COMPUTED_VALUE"""),"Recebimento:truck:")</f>
        <v>Recebimento:truck:</v>
      </c>
      <c r="G544" s="39">
        <f t="array" ref="G544">XLOOKUP(B544,'Página9'!A:A,'Página9'!F:F,"")</f>
        <v>287</v>
      </c>
      <c r="H544" s="39">
        <f t="array" ref="H544">XLOOKUP(B544,'Página9'!A:A,'Página9'!C:C,"")</f>
        <v>20</v>
      </c>
      <c r="I544" s="35" t="str">
        <f t="array" ref="I544">XLOOKUP(B544,'Página9'!A:A,'Página9'!G:G,"")</f>
        <v>OK</v>
      </c>
      <c r="J544" s="25" t="str">
        <f t="shared" si="1"/>
        <v>RECEBIMENTO</v>
      </c>
      <c r="K544" s="25" t="str">
        <f>IFERROR(__xludf.DUMMYFUNCTION("""COMPUTED_VALUE"""),"Rejane Fontes De Sousa")</f>
        <v>Rejane Fontes De Sousa</v>
      </c>
    </row>
    <row r="545">
      <c r="A545" s="37">
        <f>IFERROR(__xludf.DUMMYFUNCTION("""COMPUTED_VALUE"""),45993.0)</f>
        <v>45993</v>
      </c>
      <c r="B545" s="42" t="str">
        <f>IFERROR(__xludf.DUMMYFUNCTION("""COMPUTED_VALUE"""),"MCC049UC0288")</f>
        <v>MCC049UC0288</v>
      </c>
      <c r="C545" s="31" t="str">
        <f>IFERROR(__xludf.DUMMYFUNCTION("""COMPUTED_VALUE"""),"FITILHO POLIPROPILENO P/EMBALAGEM")</f>
        <v>FITILHO POLIPROPILENO P/EMBALAGEM</v>
      </c>
      <c r="D545" s="39">
        <f>IFERROR(__xludf.DUMMYFUNCTION("""COMPUTED_VALUE"""),3.0)</f>
        <v>3</v>
      </c>
      <c r="E545" s="34" t="str">
        <f>IFERROR(__xludf.DUMMYFUNCTION("""COMPUTED_VALUE"""),"Saída")</f>
        <v>Saída</v>
      </c>
      <c r="F545" s="34" t="str">
        <f>IFERROR(__xludf.DUMMYFUNCTION("""COMPUTED_VALUE"""),"Expedição:ex-escolas-exponenciais:")</f>
        <v>Expedição:ex-escolas-exponenciais:</v>
      </c>
      <c r="G545" s="39">
        <f t="array" ref="G545">XLOOKUP(B545,'Página9'!A:A,'Página9'!F:F,"")</f>
        <v>-24</v>
      </c>
      <c r="H545" s="39">
        <f t="array" ref="H545">XLOOKUP(B545,'Página9'!A:A,'Página9'!C:C,"")</f>
        <v>2</v>
      </c>
      <c r="I545" s="35" t="str">
        <f t="array" ref="I545">XLOOKUP(B545,'Página9'!A:A,'Página9'!G:G,"")</f>
        <v>REPOR ESTOQUE</v>
      </c>
      <c r="J545" s="25" t="str">
        <f t="shared" si="1"/>
        <v>EXPEDIÇÃO</v>
      </c>
      <c r="K545" s="25" t="str">
        <f>IFERROR(__xludf.DUMMYFUNCTION("""COMPUTED_VALUE"""),"Rejane Fontes De Sousa")</f>
        <v>Rejane Fontes De Sousa</v>
      </c>
    </row>
    <row r="546">
      <c r="A546" s="37">
        <f>IFERROR(__xludf.DUMMYFUNCTION("""COMPUTED_VALUE"""),45993.0)</f>
        <v>45993</v>
      </c>
      <c r="B546" s="42" t="str">
        <f>IFERROR(__xludf.DUMMYFUNCTION("""COMPUTED_VALUE"""),"MCC049UC0600")</f>
        <v>MCC049UC0600</v>
      </c>
      <c r="C546" s="31" t="str">
        <f>IFERROR(__xludf.DUMMYFUNCTION("""COMPUTED_VALUE"""),"FITA ADESIVA P/ CACHORRO PERSONALIZADA")</f>
        <v>FITA ADESIVA P/ CACHORRO PERSONALIZADA</v>
      </c>
      <c r="D546" s="39">
        <f>IFERROR(__xludf.DUMMYFUNCTION("""COMPUTED_VALUE"""),24.0)</f>
        <v>24</v>
      </c>
      <c r="E546" s="34" t="str">
        <f>IFERROR(__xludf.DUMMYFUNCTION("""COMPUTED_VALUE"""),"Saída")</f>
        <v>Saída</v>
      </c>
      <c r="F546" s="34" t="str">
        <f>IFERROR(__xludf.DUMMYFUNCTION("""COMPUTED_VALUE"""),"Recebimento:truck:")</f>
        <v>Recebimento:truck:</v>
      </c>
      <c r="G546" s="39">
        <f t="array" ref="G546">XLOOKUP(B546,'Página9'!A:A,'Página9'!F:F,"")</f>
        <v>156</v>
      </c>
      <c r="H546" s="39">
        <f t="array" ref="H546">XLOOKUP(B546,'Página9'!A:A,'Página9'!C:C,"")</f>
        <v>10</v>
      </c>
      <c r="I546" s="35" t="str">
        <f t="array" ref="I546">XLOOKUP(B546,'Página9'!A:A,'Página9'!G:G,"")</f>
        <v>OK</v>
      </c>
      <c r="J546" s="25" t="str">
        <f t="shared" si="1"/>
        <v>RECEBIMENTO</v>
      </c>
      <c r="K546" s="25" t="str">
        <f>IFERROR(__xludf.DUMMYFUNCTION("""COMPUTED_VALUE"""),"Cosme Marcio Barros Barbosa")</f>
        <v>Cosme Marcio Barros Barbosa</v>
      </c>
    </row>
    <row r="547">
      <c r="A547" s="37">
        <f>IFERROR(__xludf.DUMMYFUNCTION("""COMPUTED_VALUE"""),45993.0)</f>
        <v>45993</v>
      </c>
      <c r="B547" s="42" t="str">
        <f>IFERROR(__xludf.DUMMYFUNCTION("""COMPUTED_VALUE"""),"MCC015UC0047")</f>
        <v>MCC015UC0047</v>
      </c>
      <c r="C547" s="31" t="str">
        <f>IFERROR(__xludf.DUMMYFUNCTION("""COMPUTED_VALUE"""),"ETIQUETA CORTESIA")</f>
        <v>ETIQUETA CORTESIA</v>
      </c>
      <c r="D547" s="39">
        <f>IFERROR(__xludf.DUMMYFUNCTION("""COMPUTED_VALUE"""),6.0)</f>
        <v>6</v>
      </c>
      <c r="E547" s="34" t="str">
        <f>IFERROR(__xludf.DUMMYFUNCTION("""COMPUTED_VALUE"""),"Saída")</f>
        <v>Saída</v>
      </c>
      <c r="F547" s="34" t="str">
        <f>IFERROR(__xludf.DUMMYFUNCTION("""COMPUTED_VALUE"""),"CIQ :qualidade:")</f>
        <v>CIQ :qualidade:</v>
      </c>
      <c r="G547" s="39">
        <f t="array" ref="G547">XLOOKUP(B547,'Página9'!A:A,'Página9'!F:F,"")</f>
        <v>7</v>
      </c>
      <c r="H547" s="39">
        <f t="array" ref="H547">XLOOKUP(B547,'Página9'!A:A,'Página9'!C:C,"")</f>
        <v>5</v>
      </c>
      <c r="I547" s="35" t="str">
        <f t="array" ref="I547">XLOOKUP(B547,'Página9'!A:A,'Página9'!G:G,"")</f>
        <v>OK</v>
      </c>
      <c r="J547" s="25" t="str">
        <f t="shared" si="1"/>
        <v>CIQ</v>
      </c>
      <c r="K547" s="25" t="str">
        <f>IFERROR(__xludf.DUMMYFUNCTION("""COMPUTED_VALUE"""),"Rejane Fontes De Sousa")</f>
        <v>Rejane Fontes De Sousa</v>
      </c>
    </row>
    <row r="548">
      <c r="A548" s="37">
        <f>IFERROR(__xludf.DUMMYFUNCTION("""COMPUTED_VALUE"""),45995.0)</f>
        <v>45995</v>
      </c>
      <c r="B548" s="42" t="str">
        <f>IFERROR(__xludf.DUMMYFUNCTION("""COMPUTED_VALUE"""),"MCC046UC0638")</f>
        <v>MCC046UC0638</v>
      </c>
      <c r="C548" s="31" t="str">
        <f>IFERROR(__xludf.DUMMYFUNCTION("""COMPUTED_VALUE"""),"PILHA ALCALINA ELGIN PALITO AAA")</f>
        <v>PILHA ALCALINA ELGIN PALITO AAA</v>
      </c>
      <c r="D548" s="39">
        <f>IFERROR(__xludf.DUMMYFUNCTION("""COMPUTED_VALUE"""),1.0)</f>
        <v>1</v>
      </c>
      <c r="E548" s="34" t="str">
        <f>IFERROR(__xludf.DUMMYFUNCTION("""COMPUTED_VALUE"""),"Saída")</f>
        <v>Saída</v>
      </c>
      <c r="F548" s="34" t="str">
        <f>IFERROR(__xludf.DUMMYFUNCTION("""COMPUTED_VALUE"""),"Expedição:ex-escolas-exponenciais:")</f>
        <v>Expedição:ex-escolas-exponenciais:</v>
      </c>
      <c r="G548" s="39">
        <f t="array" ref="G548">XLOOKUP(B548,'Página9'!A:A,'Página9'!F:F,"")</f>
        <v>32</v>
      </c>
      <c r="H548" s="39">
        <f t="array" ref="H548">XLOOKUP(B548,'Página9'!A:A,'Página9'!C:C,"")</f>
        <v>4</v>
      </c>
      <c r="I548" s="35" t="str">
        <f t="array" ref="I548">XLOOKUP(B548,'Página9'!A:A,'Página9'!G:G,"")</f>
        <v>OK</v>
      </c>
      <c r="J548" s="25" t="str">
        <f t="shared" si="1"/>
        <v>EXPEDIÇÃO</v>
      </c>
      <c r="K548" s="25" t="str">
        <f>IFERROR(__xludf.DUMMYFUNCTION("""COMPUTED_VALUE"""),"Fabio Ferreira Pessoa")</f>
        <v>Fabio Ferreira Pessoa</v>
      </c>
    </row>
    <row r="549">
      <c r="A549" s="37">
        <f>IFERROR(__xludf.DUMMYFUNCTION("""COMPUTED_VALUE"""),45995.0)</f>
        <v>45995</v>
      </c>
      <c r="B549" s="42" t="str">
        <f>IFERROR(__xludf.DUMMYFUNCTION("""COMPUTED_VALUE"""),"MCC046UC0082")</f>
        <v>MCC046UC0082</v>
      </c>
      <c r="C549" s="31" t="str">
        <f>IFERROR(__xludf.DUMMYFUNCTION("""COMPUTED_VALUE"""),"PAPEL SULFITE A4 75G 500 FOLHAS")</f>
        <v>PAPEL SULFITE A4 75G 500 FOLHAS</v>
      </c>
      <c r="D549" s="39">
        <f>IFERROR(__xludf.DUMMYFUNCTION("""COMPUTED_VALUE"""),1.0)</f>
        <v>1</v>
      </c>
      <c r="E549" s="34" t="str">
        <f>IFERROR(__xludf.DUMMYFUNCTION("""COMPUTED_VALUE"""),"Saída")</f>
        <v>Saída</v>
      </c>
      <c r="F549" s="34" t="str">
        <f>IFERROR(__xludf.DUMMYFUNCTION("""COMPUTED_VALUE"""),"Expedição:ex-escolas-exponenciais:")</f>
        <v>Expedição:ex-escolas-exponenciais:</v>
      </c>
      <c r="G549" s="39">
        <f t="array" ref="G549">XLOOKUP(B549,'Página9'!A:A,'Página9'!F:F,"")</f>
        <v>163</v>
      </c>
      <c r="H549" s="39">
        <f t="array" ref="H549">XLOOKUP(B549,'Página9'!A:A,'Página9'!C:C,"")</f>
        <v>10</v>
      </c>
      <c r="I549" s="35" t="str">
        <f t="array" ref="I549">XLOOKUP(B549,'Página9'!A:A,'Página9'!G:G,"")</f>
        <v>OK</v>
      </c>
      <c r="J549" s="25" t="str">
        <f t="shared" si="1"/>
        <v>EXPEDIÇÃO</v>
      </c>
      <c r="K549" s="25" t="str">
        <f>IFERROR(__xludf.DUMMYFUNCTION("""COMPUTED_VALUE"""),"Suellen Aguiar Da Silva")</f>
        <v>Suellen Aguiar Da Silva</v>
      </c>
    </row>
    <row r="550">
      <c r="A550" s="37">
        <f>IFERROR(__xludf.DUMMYFUNCTION("""COMPUTED_VALUE"""),45995.0)</f>
        <v>45995</v>
      </c>
      <c r="B550" s="42" t="str">
        <f>IFERROR(__xludf.DUMMYFUNCTION("""COMPUTED_VALUE"""),"MCC015UC0008")</f>
        <v>MCC015UC0008</v>
      </c>
      <c r="C550" s="31" t="str">
        <f>IFERROR(__xludf.DUMMYFUNCTION("""COMPUTED_VALUE"""),"FILME STRETCH 500X25")</f>
        <v>FILME STRETCH 500X25</v>
      </c>
      <c r="D550" s="39">
        <f>IFERROR(__xludf.DUMMYFUNCTION("""COMPUTED_VALUE"""),4.0)</f>
        <v>4</v>
      </c>
      <c r="E550" s="34" t="str">
        <f>IFERROR(__xludf.DUMMYFUNCTION("""COMPUTED_VALUE"""),"Saída")</f>
        <v>Saída</v>
      </c>
      <c r="F550" s="34" t="str">
        <f>IFERROR(__xludf.DUMMYFUNCTION("""COMPUTED_VALUE"""),"PMM:livro-voador:")</f>
        <v>PMM:livro-voador:</v>
      </c>
      <c r="G550" s="39">
        <f t="array" ref="G550">XLOOKUP(B550,'Página9'!A:A,'Página9'!F:F,"")</f>
        <v>-158</v>
      </c>
      <c r="H550" s="39">
        <f t="array" ref="H550">XLOOKUP(B550,'Página9'!A:A,'Página9'!C:C,"")</f>
        <v>40</v>
      </c>
      <c r="I550" s="35" t="str">
        <f t="array" ref="I550">XLOOKUP(B550,'Página9'!A:A,'Página9'!G:G,"")</f>
        <v>REPOR ESTOQUE</v>
      </c>
      <c r="J550" s="25" t="str">
        <f t="shared" si="1"/>
        <v>PMM</v>
      </c>
      <c r="K550" s="25" t="str">
        <f>IFERROR(__xludf.DUMMYFUNCTION("""COMPUTED_VALUE"""),"Marcio Sthefani Bessa De Oliveira")</f>
        <v>Marcio Sthefani Bessa De Oliveira</v>
      </c>
    </row>
    <row r="551">
      <c r="A551" s="37">
        <f>IFERROR(__xludf.DUMMYFUNCTION("""COMPUTED_VALUE"""),45995.0)</f>
        <v>45995</v>
      </c>
      <c r="B551" s="42" t="str">
        <f>IFERROR(__xludf.DUMMYFUNCTION("""COMPUTED_VALUE"""),"MCC046UC0687")</f>
        <v>MCC046UC0687</v>
      </c>
      <c r="C551" s="31" t="str">
        <f>IFERROR(__xludf.DUMMYFUNCTION("""COMPUTED_VALUE"""),"ETIQUETA COUCHE - 100X100X 1")</f>
        <v>ETIQUETA COUCHE - 100X100X 1</v>
      </c>
      <c r="D551" s="39">
        <f>IFERROR(__xludf.DUMMYFUNCTION("""COMPUTED_VALUE"""),20.0)</f>
        <v>20</v>
      </c>
      <c r="E551" s="34" t="str">
        <f>IFERROR(__xludf.DUMMYFUNCTION("""COMPUTED_VALUE"""),"Saída")</f>
        <v>Saída</v>
      </c>
      <c r="F551" s="34" t="str">
        <f>IFERROR(__xludf.DUMMYFUNCTION("""COMPUTED_VALUE"""),"Estoque:package:")</f>
        <v>Estoque:package:</v>
      </c>
      <c r="G551" s="39">
        <f t="array" ref="G551">XLOOKUP(B551,'Página9'!A:A,'Página9'!F:F,"")</f>
        <v>335</v>
      </c>
      <c r="H551" s="39">
        <f t="array" ref="H551">XLOOKUP(B551,'Página9'!A:A,'Página9'!C:C,"")</f>
        <v>20</v>
      </c>
      <c r="I551" s="35" t="str">
        <f t="array" ref="I551">XLOOKUP(B551,'Página9'!A:A,'Página9'!G:G,"")</f>
        <v>OK</v>
      </c>
      <c r="J551" s="25" t="str">
        <f t="shared" si="1"/>
        <v>ESTOQUE</v>
      </c>
      <c r="K551" s="25" t="str">
        <f>IFERROR(__xludf.DUMMYFUNCTION("""COMPUTED_VALUE"""),"Francisco Renato Da Silva De Oliveira Junior")</f>
        <v>Francisco Renato Da Silva De Oliveira Junior</v>
      </c>
    </row>
    <row r="552">
      <c r="A552" s="37">
        <f>IFERROR(__xludf.DUMMYFUNCTION("""COMPUTED_VALUE"""),45995.0)</f>
        <v>45995</v>
      </c>
      <c r="B552" s="42" t="str">
        <f>IFERROR(__xludf.DUMMYFUNCTION("""COMPUTED_VALUE"""),"EMC015MO0001")</f>
        <v>EMC015MO0001</v>
      </c>
      <c r="C552" s="31" t="str">
        <f>IFERROR(__xludf.DUMMYFUNCTION("""COMPUTED_VALUE"""),"RIBBON CERA PRETO 110MMX300M")</f>
        <v>RIBBON CERA PRETO 110MMX300M</v>
      </c>
      <c r="D552" s="39">
        <f>IFERROR(__xludf.DUMMYFUNCTION("""COMPUTED_VALUE"""),20.0)</f>
        <v>20</v>
      </c>
      <c r="E552" s="34" t="str">
        <f>IFERROR(__xludf.DUMMYFUNCTION("""COMPUTED_VALUE"""),"Saída")</f>
        <v>Saída</v>
      </c>
      <c r="F552" s="34" t="str">
        <f>IFERROR(__xludf.DUMMYFUNCTION("""COMPUTED_VALUE"""),"Expedição:ex-escolas-exponenciais:")</f>
        <v>Expedição:ex-escolas-exponenciais:</v>
      </c>
      <c r="G552" s="39">
        <f t="array" ref="G552">XLOOKUP(B552,'Página9'!A:A,'Página9'!F:F,"")</f>
        <v>390</v>
      </c>
      <c r="H552" s="39">
        <f t="array" ref="H552">XLOOKUP(B552,'Página9'!A:A,'Página9'!C:C,"")</f>
        <v>5</v>
      </c>
      <c r="I552" s="35" t="str">
        <f t="array" ref="I552">XLOOKUP(B552,'Página9'!A:A,'Página9'!G:G,"")</f>
        <v>OK</v>
      </c>
      <c r="J552" s="25" t="str">
        <f t="shared" si="1"/>
        <v>EXPEDIÇÃO</v>
      </c>
      <c r="K552" s="25" t="str">
        <f>IFERROR(__xludf.DUMMYFUNCTION("""COMPUTED_VALUE"""),"Francisco Renato Da Silva De Oliveira Junior")</f>
        <v>Francisco Renato Da Silva De Oliveira Junior</v>
      </c>
    </row>
    <row r="553">
      <c r="A553" s="37">
        <f>IFERROR(__xludf.DUMMYFUNCTION("""COMPUTED_VALUE"""),45995.0)</f>
        <v>45995</v>
      </c>
      <c r="B553" s="42" t="str">
        <f>IFERROR(__xludf.DUMMYFUNCTION("""COMPUTED_VALUE"""),"MCC049UC0600")</f>
        <v>MCC049UC0600</v>
      </c>
      <c r="C553" s="31" t="str">
        <f>IFERROR(__xludf.DUMMYFUNCTION("""COMPUTED_VALUE"""),"FITA ADESIVA P/ CACHORRO PERSONALIZADA")</f>
        <v>FITA ADESIVA P/ CACHORRO PERSONALIZADA</v>
      </c>
      <c r="D553" s="39">
        <f>IFERROR(__xludf.DUMMYFUNCTION("""COMPUTED_VALUE"""),24.0)</f>
        <v>24</v>
      </c>
      <c r="E553" s="34" t="str">
        <f>IFERROR(__xludf.DUMMYFUNCTION("""COMPUTED_VALUE"""),"Saída")</f>
        <v>Saída</v>
      </c>
      <c r="F553" s="34" t="str">
        <f>IFERROR(__xludf.DUMMYFUNCTION("""COMPUTED_VALUE"""),"Recebimento:truck:")</f>
        <v>Recebimento:truck:</v>
      </c>
      <c r="G553" s="39">
        <f t="array" ref="G553">XLOOKUP(B553,'Página9'!A:A,'Página9'!F:F,"")</f>
        <v>156</v>
      </c>
      <c r="H553" s="39">
        <f t="array" ref="H553">XLOOKUP(B553,'Página9'!A:A,'Página9'!C:C,"")</f>
        <v>10</v>
      </c>
      <c r="I553" s="35" t="str">
        <f t="array" ref="I553">XLOOKUP(B553,'Página9'!A:A,'Página9'!G:G,"")</f>
        <v>OK</v>
      </c>
      <c r="J553" s="25" t="str">
        <f t="shared" si="1"/>
        <v>RECEBIMENTO</v>
      </c>
      <c r="K553" s="25" t="str">
        <f>IFERROR(__xludf.DUMMYFUNCTION("""COMPUTED_VALUE"""),"Silvana Da Silva Pereira")</f>
        <v>Silvana Da Silva Pereira</v>
      </c>
    </row>
    <row r="554">
      <c r="A554" s="37">
        <f>IFERROR(__xludf.DUMMYFUNCTION("""COMPUTED_VALUE"""),45995.0)</f>
        <v>45995</v>
      </c>
      <c r="B554" s="42" t="str">
        <f>IFERROR(__xludf.DUMMYFUNCTION("""COMPUTED_VALUE"""),"MCC015UC0045")</f>
        <v>MCC015UC0045</v>
      </c>
      <c r="C554" s="31" t="str">
        <f>IFERROR(__xludf.DUMMYFUNCTION("""COMPUTED_VALUE"""),"FITA ADESIVA 69MM X 100M")</f>
        <v>FITA ADESIVA 69MM X 100M</v>
      </c>
      <c r="D554" s="39">
        <f>IFERROR(__xludf.DUMMYFUNCTION("""COMPUTED_VALUE"""),24.0)</f>
        <v>24</v>
      </c>
      <c r="E554" s="34" t="str">
        <f>IFERROR(__xludf.DUMMYFUNCTION("""COMPUTED_VALUE"""),"Saída")</f>
        <v>Saída</v>
      </c>
      <c r="F554" s="34" t="str">
        <f>IFERROR(__xludf.DUMMYFUNCTION("""COMPUTED_VALUE"""),"Expedição:ex-escolas-exponenciais:")</f>
        <v>Expedição:ex-escolas-exponenciais:</v>
      </c>
      <c r="G554" s="39">
        <f t="array" ref="G554">XLOOKUP(B554,'Página9'!A:A,'Página9'!F:F,"")</f>
        <v>287</v>
      </c>
      <c r="H554" s="39">
        <f t="array" ref="H554">XLOOKUP(B554,'Página9'!A:A,'Página9'!C:C,"")</f>
        <v>20</v>
      </c>
      <c r="I554" s="35" t="str">
        <f t="array" ref="I554">XLOOKUP(B554,'Página9'!A:A,'Página9'!G:G,"")</f>
        <v>OK</v>
      </c>
      <c r="J554" s="25" t="str">
        <f t="shared" si="1"/>
        <v>EXPEDIÇÃO</v>
      </c>
      <c r="K554" s="25" t="str">
        <f>IFERROR(__xludf.DUMMYFUNCTION("""COMPUTED_VALUE"""),"Rejane Fontes De Sousa")</f>
        <v>Rejane Fontes De Sousa</v>
      </c>
    </row>
    <row r="555">
      <c r="A555" s="37">
        <f>IFERROR(__xludf.DUMMYFUNCTION("""COMPUTED_VALUE"""),45995.0)</f>
        <v>45995</v>
      </c>
      <c r="B555" s="42" t="str">
        <f>IFERROR(__xludf.DUMMYFUNCTION("""COMPUTED_VALUE"""),"MCC046UC0687")</f>
        <v>MCC046UC0687</v>
      </c>
      <c r="C555" s="31" t="str">
        <f>IFERROR(__xludf.DUMMYFUNCTION("""COMPUTED_VALUE"""),"ETIQUETA COUCHE - 100X100X 1")</f>
        <v>ETIQUETA COUCHE - 100X100X 1</v>
      </c>
      <c r="D555" s="39">
        <f>IFERROR(__xludf.DUMMYFUNCTION("""COMPUTED_VALUE"""),1.0)</f>
        <v>1</v>
      </c>
      <c r="E555" s="34" t="str">
        <f>IFERROR(__xludf.DUMMYFUNCTION("""COMPUTED_VALUE"""),"Saída")</f>
        <v>Saída</v>
      </c>
      <c r="F555" s="34" t="str">
        <f>IFERROR(__xludf.DUMMYFUNCTION("""COMPUTED_VALUE"""),"Recebimento:truck:")</f>
        <v>Recebimento:truck:</v>
      </c>
      <c r="G555" s="39">
        <f t="array" ref="G555">XLOOKUP(B555,'Página9'!A:A,'Página9'!F:F,"")</f>
        <v>335</v>
      </c>
      <c r="H555" s="39">
        <f t="array" ref="H555">XLOOKUP(B555,'Página9'!A:A,'Página9'!C:C,"")</f>
        <v>20</v>
      </c>
      <c r="I555" s="35" t="str">
        <f t="array" ref="I555">XLOOKUP(B555,'Página9'!A:A,'Página9'!G:G,"")</f>
        <v>OK</v>
      </c>
      <c r="J555" s="25" t="str">
        <f t="shared" si="1"/>
        <v>RECEBIMENTO</v>
      </c>
      <c r="K555" s="25" t="str">
        <f>IFERROR(__xludf.DUMMYFUNCTION("""COMPUTED_VALUE"""),"Suellen Aguiar Da Silva")</f>
        <v>Suellen Aguiar Da Silva</v>
      </c>
    </row>
    <row r="556">
      <c r="A556" s="37">
        <f>IFERROR(__xludf.DUMMYFUNCTION("""COMPUTED_VALUE"""),45995.0)</f>
        <v>45995</v>
      </c>
      <c r="B556" s="42" t="str">
        <f>IFERROR(__xludf.DUMMYFUNCTION("""COMPUTED_VALUE"""),"MCC015UC0045")</f>
        <v>MCC015UC0045</v>
      </c>
      <c r="C556" s="31" t="str">
        <f>IFERROR(__xludf.DUMMYFUNCTION("""COMPUTED_VALUE"""),"FITA ADESIVA 69MM X 100M")</f>
        <v>FITA ADESIVA 69MM X 100M</v>
      </c>
      <c r="D556" s="39">
        <f>IFERROR(__xludf.DUMMYFUNCTION("""COMPUTED_VALUE"""),20.0)</f>
        <v>20</v>
      </c>
      <c r="E556" s="34" t="str">
        <f>IFERROR(__xludf.DUMMYFUNCTION("""COMPUTED_VALUE"""),"Saída")</f>
        <v>Saída</v>
      </c>
      <c r="F556" s="34" t="str">
        <f>IFERROR(__xludf.DUMMYFUNCTION("""COMPUTED_VALUE"""),"Estoque:package:")</f>
        <v>Estoque:package:</v>
      </c>
      <c r="G556" s="39">
        <f t="array" ref="G556">XLOOKUP(B556,'Página9'!A:A,'Página9'!F:F,"")</f>
        <v>287</v>
      </c>
      <c r="H556" s="39">
        <f t="array" ref="H556">XLOOKUP(B556,'Página9'!A:A,'Página9'!C:C,"")</f>
        <v>20</v>
      </c>
      <c r="I556" s="35" t="str">
        <f t="array" ref="I556">XLOOKUP(B556,'Página9'!A:A,'Página9'!G:G,"")</f>
        <v>OK</v>
      </c>
      <c r="J556" s="25" t="str">
        <f t="shared" si="1"/>
        <v>ESTOQUE</v>
      </c>
      <c r="K556" s="25" t="str">
        <f>IFERROR(__xludf.DUMMYFUNCTION("""COMPUTED_VALUE"""),"Jose Antoniel Silva Mesquita")</f>
        <v>Jose Antoniel Silva Mesquita</v>
      </c>
    </row>
    <row r="557">
      <c r="A557" s="37">
        <f>IFERROR(__xludf.DUMMYFUNCTION("""COMPUTED_VALUE"""),45999.0)</f>
        <v>45999</v>
      </c>
      <c r="B557" s="42" t="str">
        <f>IFERROR(__xludf.DUMMYFUNCTION("""COMPUTED_VALUE"""),"MCC049UC0393")</f>
        <v>MCC049UC0393</v>
      </c>
      <c r="C557" s="31" t="str">
        <f>IFERROR(__xludf.DUMMYFUNCTION("""COMPUTED_VALUE"""),"PAPEL KRAFT TTC GREENLINE 70 G/M² PACOTE 360 M X 0,38 M")</f>
        <v>PAPEL KRAFT TTC GREENLINE 70 G/M² PACOTE 360 M X 0,38 M</v>
      </c>
      <c r="D557" s="39">
        <f>IFERROR(__xludf.DUMMYFUNCTION("""COMPUTED_VALUE"""),1.0)</f>
        <v>1</v>
      </c>
      <c r="E557" s="34" t="str">
        <f>IFERROR(__xludf.DUMMYFUNCTION("""COMPUTED_VALUE"""),"Saída")</f>
        <v>Saída</v>
      </c>
      <c r="F557" s="34" t="str">
        <f>IFERROR(__xludf.DUMMYFUNCTION("""COMPUTED_VALUE"""),"Recebimento:truck:")</f>
        <v>Recebimento:truck:</v>
      </c>
      <c r="G557" s="39">
        <f t="array" ref="G557">XLOOKUP(B557,'Página9'!A:A,'Página9'!F:F,"")</f>
        <v>12</v>
      </c>
      <c r="H557" s="39">
        <f t="array" ref="H557">XLOOKUP(B557,'Página9'!A:A,'Página9'!C:C,"")</f>
        <v>1</v>
      </c>
      <c r="I557" s="35" t="str">
        <f t="array" ref="I557">XLOOKUP(B557,'Página9'!A:A,'Página9'!G:G,"")</f>
        <v>OK</v>
      </c>
      <c r="J557" s="25" t="str">
        <f t="shared" si="1"/>
        <v>RECEBIMENTO</v>
      </c>
      <c r="K557" s="25" t="str">
        <f>IFERROR(__xludf.DUMMYFUNCTION("""COMPUTED_VALUE"""),"Rejane Fontes De Sousa")</f>
        <v>Rejane Fontes De Sousa</v>
      </c>
    </row>
    <row r="558">
      <c r="A558" s="37">
        <f>IFERROR(__xludf.DUMMYFUNCTION("""COMPUTED_VALUE"""),45999.0)</f>
        <v>45999</v>
      </c>
      <c r="B558" s="42" t="str">
        <f>IFERROR(__xludf.DUMMYFUNCTION("""COMPUTED_VALUE"""),"MCC046UC0599")</f>
        <v>MCC046UC0599</v>
      </c>
      <c r="C558" s="31" t="str">
        <f>IFERROR(__xludf.DUMMYFUNCTION("""COMPUTED_VALUE"""),"ETIQUETA ADESIVA COUCHE AMARELA  - 105X150MM SAS")</f>
        <v>ETIQUETA ADESIVA COUCHE AMARELA  - 105X150MM SAS</v>
      </c>
      <c r="D558" s="39">
        <f>IFERROR(__xludf.DUMMYFUNCTION("""COMPUTED_VALUE"""),2.0)</f>
        <v>2</v>
      </c>
      <c r="E558" s="34" t="str">
        <f>IFERROR(__xludf.DUMMYFUNCTION("""COMPUTED_VALUE"""),"Saída")</f>
        <v>Saída</v>
      </c>
      <c r="F558" s="34" t="str">
        <f>IFERROR(__xludf.DUMMYFUNCTION("""COMPUTED_VALUE"""),"Expedição:ex-escolas-exponenciais:")</f>
        <v>Expedição:ex-escolas-exponenciais:</v>
      </c>
      <c r="G558" s="39">
        <f t="array" ref="G558">XLOOKUP(B558,'Página9'!A:A,'Página9'!F:F,"")</f>
        <v>25</v>
      </c>
      <c r="H558" s="39">
        <f t="array" ref="H558">XLOOKUP(B558,'Página9'!A:A,'Página9'!C:C,"")</f>
        <v>5</v>
      </c>
      <c r="I558" s="35" t="str">
        <f t="array" ref="I558">XLOOKUP(B558,'Página9'!A:A,'Página9'!G:G,"")</f>
        <v>OK</v>
      </c>
      <c r="J558" s="25" t="str">
        <f t="shared" si="1"/>
        <v>EXPEDIÇÃO</v>
      </c>
      <c r="K558" s="25" t="str">
        <f>IFERROR(__xludf.DUMMYFUNCTION("""COMPUTED_VALUE"""),"Jose Antoniel Silva Mesquita")</f>
        <v>Jose Antoniel Silva Mesquita</v>
      </c>
    </row>
    <row r="559">
      <c r="A559" s="37">
        <f>IFERROR(__xludf.DUMMYFUNCTION("""COMPUTED_VALUE"""),45999.0)</f>
        <v>45999</v>
      </c>
      <c r="B559" s="42" t="str">
        <f>IFERROR(__xludf.DUMMYFUNCTION("""COMPUTED_VALUE"""),"EMC015MO0001")</f>
        <v>EMC015MO0001</v>
      </c>
      <c r="C559" s="31" t="str">
        <f>IFERROR(__xludf.DUMMYFUNCTION("""COMPUTED_VALUE"""),"RIBBON CERA PRETO 110MMX300M")</f>
        <v>RIBBON CERA PRETO 110MMX300M</v>
      </c>
      <c r="D559" s="39">
        <f>IFERROR(__xludf.DUMMYFUNCTION("""COMPUTED_VALUE"""),6.0)</f>
        <v>6</v>
      </c>
      <c r="E559" s="34" t="str">
        <f>IFERROR(__xludf.DUMMYFUNCTION("""COMPUTED_VALUE"""),"Saída")</f>
        <v>Saída</v>
      </c>
      <c r="F559" s="34" t="str">
        <f>IFERROR(__xludf.DUMMYFUNCTION("""COMPUTED_VALUE"""),"PMM:livro-voador:")</f>
        <v>PMM:livro-voador:</v>
      </c>
      <c r="G559" s="39">
        <f t="array" ref="G559">XLOOKUP(B559,'Página9'!A:A,'Página9'!F:F,"")</f>
        <v>390</v>
      </c>
      <c r="H559" s="39">
        <f t="array" ref="H559">XLOOKUP(B559,'Página9'!A:A,'Página9'!C:C,"")</f>
        <v>5</v>
      </c>
      <c r="I559" s="35" t="str">
        <f t="array" ref="I559">XLOOKUP(B559,'Página9'!A:A,'Página9'!G:G,"")</f>
        <v>OK</v>
      </c>
      <c r="J559" s="25" t="str">
        <f t="shared" si="1"/>
        <v>PMM</v>
      </c>
      <c r="K559" s="25" t="str">
        <f>IFERROR(__xludf.DUMMYFUNCTION("""COMPUTED_VALUE"""),"Rejane Fontes De Sousa")</f>
        <v>Rejane Fontes De Sousa</v>
      </c>
    </row>
    <row r="560">
      <c r="A560" s="37">
        <f>IFERROR(__xludf.DUMMYFUNCTION("""COMPUTED_VALUE"""),45999.0)</f>
        <v>45999</v>
      </c>
      <c r="B560" s="42" t="str">
        <f>IFERROR(__xludf.DUMMYFUNCTION("""COMPUTED_VALUE"""),"MCC046UC0596")</f>
        <v>MCC046UC0596</v>
      </c>
      <c r="C560" s="31" t="str">
        <f>IFERROR(__xludf.DUMMYFUNCTION("""COMPUTED_VALUE"""),"ETIQUETA ADESIVA COUCHE BRANCA   - 105X150MM SAS")</f>
        <v>ETIQUETA ADESIVA COUCHE BRANCA   - 105X150MM SAS</v>
      </c>
      <c r="D560" s="39">
        <f>IFERROR(__xludf.DUMMYFUNCTION("""COMPUTED_VALUE"""),10.0)</f>
        <v>10</v>
      </c>
      <c r="E560" s="34" t="str">
        <f>IFERROR(__xludf.DUMMYFUNCTION("""COMPUTED_VALUE"""),"Saída")</f>
        <v>Saída</v>
      </c>
      <c r="F560" s="34" t="str">
        <f>IFERROR(__xludf.DUMMYFUNCTION("""COMPUTED_VALUE"""),"CIQ :qualidade:")</f>
        <v>CIQ :qualidade:</v>
      </c>
      <c r="G560" s="39">
        <f t="array" ref="G560">XLOOKUP(B560,'Página9'!A:A,'Página9'!F:F,"")</f>
        <v>157</v>
      </c>
      <c r="H560" s="39">
        <f t="array" ref="H560">XLOOKUP(B560,'Página9'!A:A,'Página9'!C:C,"")</f>
        <v>20</v>
      </c>
      <c r="I560" s="35" t="str">
        <f t="array" ref="I560">XLOOKUP(B560,'Página9'!A:A,'Página9'!G:G,"")</f>
        <v>OK</v>
      </c>
      <c r="J560" s="25" t="str">
        <f t="shared" si="1"/>
        <v>CIQ</v>
      </c>
      <c r="K560" s="25" t="str">
        <f>IFERROR(__xludf.DUMMYFUNCTION("""COMPUTED_VALUE"""),"Ana Virginia De Castro Costa")</f>
        <v>Ana Virginia De Castro Costa</v>
      </c>
    </row>
    <row r="561">
      <c r="A561" s="37">
        <f>IFERROR(__xludf.DUMMYFUNCTION("""COMPUTED_VALUE"""),45999.0)</f>
        <v>45999</v>
      </c>
      <c r="B561" s="42" t="str">
        <f>IFERROR(__xludf.DUMMYFUNCTION("""COMPUTED_VALUE"""),"MCC015UC0045")</f>
        <v>MCC015UC0045</v>
      </c>
      <c r="C561" s="31" t="str">
        <f>IFERROR(__xludf.DUMMYFUNCTION("""COMPUTED_VALUE"""),"FITA ADESIVA 69MM X 100M")</f>
        <v>FITA ADESIVA 69MM X 100M</v>
      </c>
      <c r="D561" s="39">
        <f>IFERROR(__xludf.DUMMYFUNCTION("""COMPUTED_VALUE"""),24.0)</f>
        <v>24</v>
      </c>
      <c r="E561" s="34" t="str">
        <f>IFERROR(__xludf.DUMMYFUNCTION("""COMPUTED_VALUE"""),"Saída")</f>
        <v>Saída</v>
      </c>
      <c r="F561" s="34" t="str">
        <f>IFERROR(__xludf.DUMMYFUNCTION("""COMPUTED_VALUE"""),"Expedição:ex-escolas-exponenciais:")</f>
        <v>Expedição:ex-escolas-exponenciais:</v>
      </c>
      <c r="G561" s="39">
        <f t="array" ref="G561">XLOOKUP(B561,'Página9'!A:A,'Página9'!F:F,"")</f>
        <v>287</v>
      </c>
      <c r="H561" s="39">
        <f t="array" ref="H561">XLOOKUP(B561,'Página9'!A:A,'Página9'!C:C,"")</f>
        <v>20</v>
      </c>
      <c r="I561" s="35" t="str">
        <f t="array" ref="I561">XLOOKUP(B561,'Página9'!A:A,'Página9'!G:G,"")</f>
        <v>OK</v>
      </c>
      <c r="J561" s="25" t="str">
        <f t="shared" si="1"/>
        <v>EXPEDIÇÃO</v>
      </c>
      <c r="K561" s="25" t="str">
        <f>IFERROR(__xludf.DUMMYFUNCTION("""COMPUTED_VALUE"""),"Silvana Da Silva Pereira")</f>
        <v>Silvana Da Silva Pereira</v>
      </c>
    </row>
    <row r="562">
      <c r="A562" s="37">
        <f>IFERROR(__xludf.DUMMYFUNCTION("""COMPUTED_VALUE"""),45999.0)</f>
        <v>45999</v>
      </c>
      <c r="B562" s="42" t="str">
        <f>IFERROR(__xludf.DUMMYFUNCTION("""COMPUTED_VALUE"""),"MCC015UC0045")</f>
        <v>MCC015UC0045</v>
      </c>
      <c r="C562" s="31" t="str">
        <f>IFERROR(__xludf.DUMMYFUNCTION("""COMPUTED_VALUE"""),"FITA ADESIVA 69MM X 100M")</f>
        <v>FITA ADESIVA 69MM X 100M</v>
      </c>
      <c r="D562" s="39">
        <f>IFERROR(__xludf.DUMMYFUNCTION("""COMPUTED_VALUE"""),1.0)</f>
        <v>1</v>
      </c>
      <c r="E562" s="34" t="str">
        <f>IFERROR(__xludf.DUMMYFUNCTION("""COMPUTED_VALUE"""),"Saída")</f>
        <v>Saída</v>
      </c>
      <c r="F562" s="34" t="str">
        <f>IFERROR(__xludf.DUMMYFUNCTION("""COMPUTED_VALUE"""),"Expedição:ex-escolas-exponenciais:")</f>
        <v>Expedição:ex-escolas-exponenciais:</v>
      </c>
      <c r="G562" s="39">
        <f t="array" ref="G562">XLOOKUP(B562,'Página9'!A:A,'Página9'!F:F,"")</f>
        <v>287</v>
      </c>
      <c r="H562" s="39">
        <f t="array" ref="H562">XLOOKUP(B562,'Página9'!A:A,'Página9'!C:C,"")</f>
        <v>20</v>
      </c>
      <c r="I562" s="35" t="str">
        <f t="array" ref="I562">XLOOKUP(B562,'Página9'!A:A,'Página9'!G:G,"")</f>
        <v>OK</v>
      </c>
      <c r="J562" s="25" t="str">
        <f t="shared" si="1"/>
        <v>EXPEDIÇÃO</v>
      </c>
      <c r="K562" s="25" t="str">
        <f>IFERROR(__xludf.DUMMYFUNCTION("""COMPUTED_VALUE"""),"Suellen Aguiar Da Silva")</f>
        <v>Suellen Aguiar Da Silva</v>
      </c>
    </row>
    <row r="563">
      <c r="A563" s="37">
        <f>IFERROR(__xludf.DUMMYFUNCTION("""COMPUTED_VALUE"""),45999.0)</f>
        <v>45999</v>
      </c>
      <c r="B563" s="42" t="str">
        <f>IFERROR(__xludf.DUMMYFUNCTION("""COMPUTED_VALUE"""),"MCC046UC0596")</f>
        <v>MCC046UC0596</v>
      </c>
      <c r="C563" s="31" t="str">
        <f>IFERROR(__xludf.DUMMYFUNCTION("""COMPUTED_VALUE"""),"ETIQUETA ADESIVA COUCHE BRANCA   - 105X150MM SAS")</f>
        <v>ETIQUETA ADESIVA COUCHE BRANCA   - 105X150MM SAS</v>
      </c>
      <c r="D563" s="39">
        <f>IFERROR(__xludf.DUMMYFUNCTION("""COMPUTED_VALUE"""),6.0)</f>
        <v>6</v>
      </c>
      <c r="E563" s="34" t="str">
        <f>IFERROR(__xludf.DUMMYFUNCTION("""COMPUTED_VALUE"""),"Saída")</f>
        <v>Saída</v>
      </c>
      <c r="F563" s="34" t="str">
        <f>IFERROR(__xludf.DUMMYFUNCTION("""COMPUTED_VALUE"""),"Estoque:package:")</f>
        <v>Estoque:package:</v>
      </c>
      <c r="G563" s="39">
        <f t="array" ref="G563">XLOOKUP(B563,'Página9'!A:A,'Página9'!F:F,"")</f>
        <v>157</v>
      </c>
      <c r="H563" s="39">
        <f t="array" ref="H563">XLOOKUP(B563,'Página9'!A:A,'Página9'!C:C,"")</f>
        <v>20</v>
      </c>
      <c r="I563" s="35" t="str">
        <f t="array" ref="I563">XLOOKUP(B563,'Página9'!A:A,'Página9'!G:G,"")</f>
        <v>OK</v>
      </c>
      <c r="J563" s="25" t="str">
        <f t="shared" si="1"/>
        <v>ESTOQUE</v>
      </c>
      <c r="K563" s="25" t="str">
        <f>IFERROR(__xludf.DUMMYFUNCTION("""COMPUTED_VALUE"""),"Rejane Fontes De Sousa")</f>
        <v>Rejane Fontes De Sousa</v>
      </c>
    </row>
    <row r="564">
      <c r="A564" s="37">
        <f>IFERROR(__xludf.DUMMYFUNCTION("""COMPUTED_VALUE"""),45999.0)</f>
        <v>45999</v>
      </c>
      <c r="B564" s="42" t="str">
        <f>IFERROR(__xludf.DUMMYFUNCTION("""COMPUTED_VALUE"""),"MCC046UC0596")</f>
        <v>MCC046UC0596</v>
      </c>
      <c r="C564" s="31" t="str">
        <f>IFERROR(__xludf.DUMMYFUNCTION("""COMPUTED_VALUE"""),"ETIQUETA ADESIVA COUCHE BRANCA   - 105X150MM SAS")</f>
        <v>ETIQUETA ADESIVA COUCHE BRANCA   - 105X150MM SAS</v>
      </c>
      <c r="D564" s="39">
        <f>IFERROR(__xludf.DUMMYFUNCTION("""COMPUTED_VALUE"""),2.0)</f>
        <v>2</v>
      </c>
      <c r="E564" s="34" t="str">
        <f>IFERROR(__xludf.DUMMYFUNCTION("""COMPUTED_VALUE"""),"Saída")</f>
        <v>Saída</v>
      </c>
      <c r="F564" s="34" t="str">
        <f>IFERROR(__xludf.DUMMYFUNCTION("""COMPUTED_VALUE"""),"Expedição:ex-escolas-exponenciais:")</f>
        <v>Expedição:ex-escolas-exponenciais:</v>
      </c>
      <c r="G564" s="39">
        <f t="array" ref="G564">XLOOKUP(B564,'Página9'!A:A,'Página9'!F:F,"")</f>
        <v>157</v>
      </c>
      <c r="H564" s="39">
        <f t="array" ref="H564">XLOOKUP(B564,'Página9'!A:A,'Página9'!C:C,"")</f>
        <v>20</v>
      </c>
      <c r="I564" s="35" t="str">
        <f t="array" ref="I564">XLOOKUP(B564,'Página9'!A:A,'Página9'!G:G,"")</f>
        <v>OK</v>
      </c>
      <c r="J564" s="25" t="str">
        <f t="shared" si="1"/>
        <v>EXPEDIÇÃO</v>
      </c>
      <c r="K564" s="25" t="str">
        <f>IFERROR(__xludf.DUMMYFUNCTION("""COMPUTED_VALUE"""),"Rejane Fontes De Sousa")</f>
        <v>Rejane Fontes De Sousa</v>
      </c>
    </row>
    <row r="565">
      <c r="A565" s="37">
        <f>IFERROR(__xludf.DUMMYFUNCTION("""COMPUTED_VALUE"""),46001.0)</f>
        <v>46001</v>
      </c>
      <c r="B565" s="42" t="str">
        <f>IFERROR(__xludf.DUMMYFUNCTION("""COMPUTED_VALUE"""),"MCC015UC0045")</f>
        <v>MCC015UC0045</v>
      </c>
      <c r="C565" s="31" t="str">
        <f>IFERROR(__xludf.DUMMYFUNCTION("""COMPUTED_VALUE"""),"FITA ADESIVA 69MM X 100M")</f>
        <v>FITA ADESIVA 69MM X 100M</v>
      </c>
      <c r="D565" s="39">
        <f>IFERROR(__xludf.DUMMYFUNCTION("""COMPUTED_VALUE"""),20.0)</f>
        <v>20</v>
      </c>
      <c r="E565" s="34" t="str">
        <f>IFERROR(__xludf.DUMMYFUNCTION("""COMPUTED_VALUE"""),"Saída")</f>
        <v>Saída</v>
      </c>
      <c r="F565" s="34" t="str">
        <f>IFERROR(__xludf.DUMMYFUNCTION("""COMPUTED_VALUE"""),"Expedição:ex-escolas-exponenciais:")</f>
        <v>Expedição:ex-escolas-exponenciais:</v>
      </c>
      <c r="G565" s="39">
        <f t="array" ref="G565">XLOOKUP(B565,'Página9'!A:A,'Página9'!F:F,"")</f>
        <v>287</v>
      </c>
      <c r="H565" s="39">
        <f t="array" ref="H565">XLOOKUP(B565,'Página9'!A:A,'Página9'!C:C,"")</f>
        <v>20</v>
      </c>
      <c r="I565" s="35" t="str">
        <f t="array" ref="I565">XLOOKUP(B565,'Página9'!A:A,'Página9'!G:G,"")</f>
        <v>OK</v>
      </c>
      <c r="J565" s="25" t="str">
        <f t="shared" si="1"/>
        <v>EXPEDIÇÃO</v>
      </c>
      <c r="K565" s="25" t="str">
        <f>IFERROR(__xludf.DUMMYFUNCTION("""COMPUTED_VALUE"""),"Ana Virginia De Castro Costa")</f>
        <v>Ana Virginia De Castro Costa</v>
      </c>
    </row>
    <row r="566">
      <c r="A566" s="37">
        <f>IFERROR(__xludf.DUMMYFUNCTION("""COMPUTED_VALUE"""),46001.0)</f>
        <v>46001</v>
      </c>
      <c r="B566" s="42" t="str">
        <f>IFERROR(__xludf.DUMMYFUNCTION("""COMPUTED_VALUE"""),"MCC015UC0045")</f>
        <v>MCC015UC0045</v>
      </c>
      <c r="C566" s="31" t="str">
        <f>IFERROR(__xludf.DUMMYFUNCTION("""COMPUTED_VALUE"""),"FITA ADESIVA 69MM X 100M")</f>
        <v>FITA ADESIVA 69MM X 100M</v>
      </c>
      <c r="D566" s="39">
        <f>IFERROR(__xludf.DUMMYFUNCTION("""COMPUTED_VALUE"""),24.0)</f>
        <v>24</v>
      </c>
      <c r="E566" s="34" t="str">
        <f>IFERROR(__xludf.DUMMYFUNCTION("""COMPUTED_VALUE"""),"Saída")</f>
        <v>Saída</v>
      </c>
      <c r="F566" s="34" t="str">
        <f>IFERROR(__xludf.DUMMYFUNCTION("""COMPUTED_VALUE"""),"Expedição:ex-escolas-exponenciais:")</f>
        <v>Expedição:ex-escolas-exponenciais:</v>
      </c>
      <c r="G566" s="39">
        <f t="array" ref="G566">XLOOKUP(B566,'Página9'!A:A,'Página9'!F:F,"")</f>
        <v>287</v>
      </c>
      <c r="H566" s="39">
        <f t="array" ref="H566">XLOOKUP(B566,'Página9'!A:A,'Página9'!C:C,"")</f>
        <v>20</v>
      </c>
      <c r="I566" s="35" t="str">
        <f t="array" ref="I566">XLOOKUP(B566,'Página9'!A:A,'Página9'!G:G,"")</f>
        <v>OK</v>
      </c>
      <c r="J566" s="25" t="str">
        <f t="shared" si="1"/>
        <v>EXPEDIÇÃO</v>
      </c>
      <c r="K566" s="25" t="str">
        <f>IFERROR(__xludf.DUMMYFUNCTION("""COMPUTED_VALUE"""),"Rejane Fontes De Sousa")</f>
        <v>Rejane Fontes De Sousa</v>
      </c>
    </row>
    <row r="567">
      <c r="A567" s="37">
        <f>IFERROR(__xludf.DUMMYFUNCTION("""COMPUTED_VALUE"""),46001.0)</f>
        <v>46001</v>
      </c>
      <c r="B567" s="42" t="str">
        <f>IFERROR(__xludf.DUMMYFUNCTION("""COMPUTED_VALUE"""),"MCC046UC0599")</f>
        <v>MCC046UC0599</v>
      </c>
      <c r="C567" s="31" t="str">
        <f>IFERROR(__xludf.DUMMYFUNCTION("""COMPUTED_VALUE"""),"ETIQUETA ADESIVA COUCHE AMARELA  - 105X150MM SAS")</f>
        <v>ETIQUETA ADESIVA COUCHE AMARELA  - 105X150MM SAS</v>
      </c>
      <c r="D567" s="39">
        <f>IFERROR(__xludf.DUMMYFUNCTION("""COMPUTED_VALUE"""),4.0)</f>
        <v>4</v>
      </c>
      <c r="E567" s="34" t="str">
        <f>IFERROR(__xludf.DUMMYFUNCTION("""COMPUTED_VALUE"""),"Saída")</f>
        <v>Saída</v>
      </c>
      <c r="F567" s="34" t="str">
        <f>IFERROR(__xludf.DUMMYFUNCTION("""COMPUTED_VALUE"""),"Expedição:ex-escolas-exponenciais:")</f>
        <v>Expedição:ex-escolas-exponenciais:</v>
      </c>
      <c r="G567" s="39">
        <f t="array" ref="G567">XLOOKUP(B567,'Página9'!A:A,'Página9'!F:F,"")</f>
        <v>25</v>
      </c>
      <c r="H567" s="39">
        <f t="array" ref="H567">XLOOKUP(B567,'Página9'!A:A,'Página9'!C:C,"")</f>
        <v>5</v>
      </c>
      <c r="I567" s="35" t="str">
        <f t="array" ref="I567">XLOOKUP(B567,'Página9'!A:A,'Página9'!G:G,"")</f>
        <v>OK</v>
      </c>
      <c r="J567" s="25" t="str">
        <f t="shared" si="1"/>
        <v>EXPEDIÇÃO</v>
      </c>
      <c r="K567" s="25" t="str">
        <f>IFERROR(__xludf.DUMMYFUNCTION("""COMPUTED_VALUE"""),"Silvana Da Silva Pereira")</f>
        <v>Silvana Da Silva Pereira</v>
      </c>
    </row>
    <row r="568">
      <c r="A568" s="37">
        <f>IFERROR(__xludf.DUMMYFUNCTION("""COMPUTED_VALUE"""),46001.0)</f>
        <v>46001</v>
      </c>
      <c r="B568" s="42" t="str">
        <f>IFERROR(__xludf.DUMMYFUNCTION("""COMPUTED_VALUE"""),"MCC015UC0008")</f>
        <v>MCC015UC0008</v>
      </c>
      <c r="C568" s="31" t="str">
        <f>IFERROR(__xludf.DUMMYFUNCTION("""COMPUTED_VALUE"""),"FILME STRETCH 500X25")</f>
        <v>FILME STRETCH 500X25</v>
      </c>
      <c r="D568" s="39">
        <f>IFERROR(__xludf.DUMMYFUNCTION("""COMPUTED_VALUE"""),5.0)</f>
        <v>5</v>
      </c>
      <c r="E568" s="34" t="str">
        <f>IFERROR(__xludf.DUMMYFUNCTION("""COMPUTED_VALUE"""),"Saída")</f>
        <v>Saída</v>
      </c>
      <c r="F568" s="34" t="str">
        <f>IFERROR(__xludf.DUMMYFUNCTION("""COMPUTED_VALUE"""),"Expedição:ex-escolas-exponenciais:")</f>
        <v>Expedição:ex-escolas-exponenciais:</v>
      </c>
      <c r="G568" s="39">
        <f t="array" ref="G568">XLOOKUP(B568,'Página9'!A:A,'Página9'!F:F,"")</f>
        <v>-158</v>
      </c>
      <c r="H568" s="39">
        <f t="array" ref="H568">XLOOKUP(B568,'Página9'!A:A,'Página9'!C:C,"")</f>
        <v>40</v>
      </c>
      <c r="I568" s="35" t="str">
        <f t="array" ref="I568">XLOOKUP(B568,'Página9'!A:A,'Página9'!G:G,"")</f>
        <v>REPOR ESTOQUE</v>
      </c>
      <c r="J568" s="25" t="str">
        <f t="shared" si="1"/>
        <v>EXPEDIÇÃO</v>
      </c>
      <c r="K568" s="25" t="str">
        <f>IFERROR(__xludf.DUMMYFUNCTION("""COMPUTED_VALUE"""),"Marcio Sthefani Bessa De Oliveira")</f>
        <v>Marcio Sthefani Bessa De Oliveira</v>
      </c>
    </row>
    <row r="569">
      <c r="A569" s="37">
        <f>IFERROR(__xludf.DUMMYFUNCTION("""COMPUTED_VALUE"""),46001.0)</f>
        <v>46001</v>
      </c>
      <c r="B569" s="42" t="str">
        <f>IFERROR(__xludf.DUMMYFUNCTION("""COMPUTED_VALUE"""),"MCC046UC0695")</f>
        <v>MCC046UC0695</v>
      </c>
      <c r="C569" s="31" t="str">
        <f>IFERROR(__xludf.DUMMYFUNCTION("""COMPUTED_VALUE"""),"ETIQUETA COUCHE 98X50X1")</f>
        <v>ETIQUETA COUCHE 98X50X1</v>
      </c>
      <c r="D569" s="39">
        <f>IFERROR(__xludf.DUMMYFUNCTION("""COMPUTED_VALUE"""),6.0)</f>
        <v>6</v>
      </c>
      <c r="E569" s="34" t="str">
        <f>IFERROR(__xludf.DUMMYFUNCTION("""COMPUTED_VALUE"""),"Saída")</f>
        <v>Saída</v>
      </c>
      <c r="F569" s="34" t="str">
        <f>IFERROR(__xludf.DUMMYFUNCTION("""COMPUTED_VALUE"""),"Expedição:ex-escolas-exponenciais:")</f>
        <v>Expedição:ex-escolas-exponenciais:</v>
      </c>
      <c r="G569" s="39">
        <f t="array" ref="G569">XLOOKUP(B569,'Página9'!A:A,'Página9'!F:F,"")</f>
        <v>256</v>
      </c>
      <c r="H569" s="39">
        <f t="array" ref="H569">XLOOKUP(B569,'Página9'!A:A,'Página9'!C:C,"")</f>
        <v>20</v>
      </c>
      <c r="I569" s="35" t="str">
        <f t="array" ref="I569">XLOOKUP(B569,'Página9'!A:A,'Página9'!G:G,"")</f>
        <v>OK</v>
      </c>
      <c r="J569" s="25" t="str">
        <f t="shared" si="1"/>
        <v>EXPEDIÇÃO</v>
      </c>
      <c r="K569" s="25" t="str">
        <f>IFERROR(__xludf.DUMMYFUNCTION("""COMPUTED_VALUE"""),"Matheus De Almeida Rodrigues")</f>
        <v>Matheus De Almeida Rodrigues</v>
      </c>
    </row>
    <row r="570">
      <c r="A570" s="37">
        <f>IFERROR(__xludf.DUMMYFUNCTION("""COMPUTED_VALUE"""),46001.0)</f>
        <v>46001</v>
      </c>
      <c r="B570" s="42" t="str">
        <f>IFERROR(__xludf.DUMMYFUNCTION("""COMPUTED_VALUE"""),"MCC015UC0008")</f>
        <v>MCC015UC0008</v>
      </c>
      <c r="C570" s="31" t="str">
        <f>IFERROR(__xludf.DUMMYFUNCTION("""COMPUTED_VALUE"""),"FILME STRETCH 500X25")</f>
        <v>FILME STRETCH 500X25</v>
      </c>
      <c r="D570" s="39">
        <f>IFERROR(__xludf.DUMMYFUNCTION("""COMPUTED_VALUE"""),50.0)</f>
        <v>50</v>
      </c>
      <c r="E570" s="34" t="str">
        <f>IFERROR(__xludf.DUMMYFUNCTION("""COMPUTED_VALUE"""),"Saída")</f>
        <v>Saída</v>
      </c>
      <c r="F570" s="34" t="str">
        <f>IFERROR(__xludf.DUMMYFUNCTION("""COMPUTED_VALUE"""),"Expedição:ex-escolas-exponenciais:")</f>
        <v>Expedição:ex-escolas-exponenciais:</v>
      </c>
      <c r="G570" s="39">
        <f t="array" ref="G570">XLOOKUP(B570,'Página9'!A:A,'Página9'!F:F,"")</f>
        <v>-158</v>
      </c>
      <c r="H570" s="39">
        <f t="array" ref="H570">XLOOKUP(B570,'Página9'!A:A,'Página9'!C:C,"")</f>
        <v>40</v>
      </c>
      <c r="I570" s="35" t="str">
        <f t="array" ref="I570">XLOOKUP(B570,'Página9'!A:A,'Página9'!G:G,"")</f>
        <v>REPOR ESTOQUE</v>
      </c>
      <c r="J570" s="25" t="str">
        <f t="shared" si="1"/>
        <v>EXPEDIÇÃO</v>
      </c>
      <c r="K570" s="25" t="str">
        <f>IFERROR(__xludf.DUMMYFUNCTION("""COMPUTED_VALUE"""),"Matheus De Almeida Rodrigues")</f>
        <v>Matheus De Almeida Rodrigues</v>
      </c>
    </row>
    <row r="571">
      <c r="A571" s="37">
        <f>IFERROR(__xludf.DUMMYFUNCTION("""COMPUTED_VALUE"""),46006.0)</f>
        <v>46006</v>
      </c>
      <c r="B571" s="42" t="str">
        <f>IFERROR(__xludf.DUMMYFUNCTION("""COMPUTED_VALUE"""),"MCC015UC0033")</f>
        <v>MCC015UC0033</v>
      </c>
      <c r="C571" s="31" t="str">
        <f>IFERROR(__xludf.DUMMYFUNCTION("""COMPUTED_VALUE"""),"FITA DE ARQUEAR PET VERDE 16MM X 0,8MM C/ 13KG")</f>
        <v>FITA DE ARQUEAR PET VERDE 16MM X 0,8MM C/ 13KG</v>
      </c>
      <c r="D571" s="39">
        <f>IFERROR(__xludf.DUMMYFUNCTION("""COMPUTED_VALUE"""),8.0)</f>
        <v>8</v>
      </c>
      <c r="E571" s="34" t="str">
        <f>IFERROR(__xludf.DUMMYFUNCTION("""COMPUTED_VALUE"""),"Saída")</f>
        <v>Saída</v>
      </c>
      <c r="F571" s="34" t="str">
        <f>IFERROR(__xludf.DUMMYFUNCTION("""COMPUTED_VALUE"""),"Expedição:ex-escolas-exponenciais:")</f>
        <v>Expedição:ex-escolas-exponenciais:</v>
      </c>
      <c r="G571" s="39">
        <f t="array" ref="G571">XLOOKUP(B571,'Página9'!A:A,'Página9'!F:F,"")</f>
        <v>4</v>
      </c>
      <c r="H571" s="39">
        <f t="array" ref="H571">XLOOKUP(B571,'Página9'!A:A,'Página9'!C:C,"")</f>
        <v>3</v>
      </c>
      <c r="I571" s="35" t="str">
        <f t="array" ref="I571">XLOOKUP(B571,'Página9'!A:A,'Página9'!G:G,"")</f>
        <v>OK</v>
      </c>
      <c r="J571" s="25" t="str">
        <f t="shared" si="1"/>
        <v>EXPEDIÇÃO</v>
      </c>
      <c r="K571" s="25" t="str">
        <f>IFERROR(__xludf.DUMMYFUNCTION("""COMPUTED_VALUE"""),"Cosme Marcio Barros Barbosa")</f>
        <v>Cosme Marcio Barros Barbosa</v>
      </c>
    </row>
    <row r="572">
      <c r="A572" s="37">
        <f>IFERROR(__xludf.DUMMYFUNCTION("""COMPUTED_VALUE"""),46006.0)</f>
        <v>46006</v>
      </c>
      <c r="B572" s="42" t="str">
        <f>IFERROR(__xludf.DUMMYFUNCTION("""COMPUTED_VALUE"""),"MCC046UC0668")</f>
        <v>MCC046UC0668</v>
      </c>
      <c r="C572" s="31" t="str">
        <f>IFERROR(__xludf.DUMMYFUNCTION("""COMPUTED_VALUE"""),"ETIQUETA ADESIVA COUCHE CINZA 100X150X1")</f>
        <v>ETIQUETA ADESIVA COUCHE CINZA 100X150X1</v>
      </c>
      <c r="D572" s="39">
        <f>IFERROR(__xludf.DUMMYFUNCTION("""COMPUTED_VALUE"""),3.0)</f>
        <v>3</v>
      </c>
      <c r="E572" s="34" t="str">
        <f>IFERROR(__xludf.DUMMYFUNCTION("""COMPUTED_VALUE"""),"Saída")</f>
        <v>Saída</v>
      </c>
      <c r="F572" s="34" t="str">
        <f>IFERROR(__xludf.DUMMYFUNCTION("""COMPUTED_VALUE"""),"Recebimento:truck:")</f>
        <v>Recebimento:truck:</v>
      </c>
      <c r="G572" s="39">
        <f t="array" ref="G572">XLOOKUP(B572,'Página9'!A:A,'Página9'!F:F,"")</f>
        <v>104</v>
      </c>
      <c r="H572" s="39">
        <f t="array" ref="H572">XLOOKUP(B572,'Página9'!A:A,'Página9'!C:C,"")</f>
        <v>5</v>
      </c>
      <c r="I572" s="35" t="str">
        <f t="array" ref="I572">XLOOKUP(B572,'Página9'!A:A,'Página9'!G:G,"")</f>
        <v>OK</v>
      </c>
      <c r="J572" s="25" t="str">
        <f t="shared" si="1"/>
        <v>RECEBIMENTO</v>
      </c>
      <c r="K572" s="25" t="str">
        <f>IFERROR(__xludf.DUMMYFUNCTION("""COMPUTED_VALUE"""),"Silvana Da Silva Pereira")</f>
        <v>Silvana Da Silva Pereira</v>
      </c>
    </row>
    <row r="573">
      <c r="A573" s="37">
        <f>IFERROR(__xludf.DUMMYFUNCTION("""COMPUTED_VALUE"""),46006.0)</f>
        <v>46006</v>
      </c>
      <c r="B573" s="42" t="str">
        <f>IFERROR(__xludf.DUMMYFUNCTION("""COMPUTED_VALUE"""),"MCC046UC0215")</f>
        <v>MCC046UC0215</v>
      </c>
      <c r="C573" s="31" t="str">
        <f>IFERROR(__xludf.DUMMYFUNCTION("""COMPUTED_VALUE"""),"CANETA ESFEROGRAFICA ECONOMIC AZUL BIC")</f>
        <v>CANETA ESFEROGRAFICA ECONOMIC AZUL BIC</v>
      </c>
      <c r="D573" s="39">
        <f>IFERROR(__xludf.DUMMYFUNCTION("""COMPUTED_VALUE"""),1.0)</f>
        <v>1</v>
      </c>
      <c r="E573" s="34" t="str">
        <f>IFERROR(__xludf.DUMMYFUNCTION("""COMPUTED_VALUE"""),"Saída")</f>
        <v>Saída</v>
      </c>
      <c r="F573" s="34" t="str">
        <f>IFERROR(__xludf.DUMMYFUNCTION("""COMPUTED_VALUE"""),"Recebimento:truck:")</f>
        <v>Recebimento:truck:</v>
      </c>
      <c r="G573" s="39">
        <f t="array" ref="G573">XLOOKUP(B573,'Página9'!A:A,'Página9'!F:F,"")</f>
        <v>-20</v>
      </c>
      <c r="H573" s="39">
        <f t="array" ref="H573">XLOOKUP(B573,'Página9'!A:A,'Página9'!C:C,"")</f>
        <v>15</v>
      </c>
      <c r="I573" s="35" t="str">
        <f t="array" ref="I573">XLOOKUP(B573,'Página9'!A:A,'Página9'!G:G,"")</f>
        <v>REPOR ESTOQUE</v>
      </c>
      <c r="J573" s="25" t="str">
        <f t="shared" si="1"/>
        <v>RECEBIMENTO</v>
      </c>
      <c r="K573" s="25" t="str">
        <f>IFERROR(__xludf.DUMMYFUNCTION("""COMPUTED_VALUE"""),"Jose Antoniel Silva Mesquita")</f>
        <v>Jose Antoniel Silva Mesquita</v>
      </c>
    </row>
    <row r="574">
      <c r="A574" s="37">
        <f>IFERROR(__xludf.DUMMYFUNCTION("""COMPUTED_VALUE"""),46006.0)</f>
        <v>46006</v>
      </c>
      <c r="B574" s="42" t="str">
        <f>IFERROR(__xludf.DUMMYFUNCTION("""COMPUTED_VALUE"""),"MCC046UC0398")</f>
        <v>MCC046UC0398</v>
      </c>
      <c r="C574" s="31" t="str">
        <f>IFERROR(__xludf.DUMMYFUNCTION("""COMPUTED_VALUE"""),"GRAMPO 26/6 COBREADO CX.C/5000 BACCHI")</f>
        <v>GRAMPO 26/6 COBREADO CX.C/5000 BACCHI</v>
      </c>
      <c r="D574" s="39">
        <f>IFERROR(__xludf.DUMMYFUNCTION("""COMPUTED_VALUE"""),1.0)</f>
        <v>1</v>
      </c>
      <c r="E574" s="34" t="str">
        <f>IFERROR(__xludf.DUMMYFUNCTION("""COMPUTED_VALUE"""),"Saída")</f>
        <v>Saída</v>
      </c>
      <c r="F574" s="34" t="str">
        <f>IFERROR(__xludf.DUMMYFUNCTION("""COMPUTED_VALUE"""),"Expedição:ex-escolas-exponenciais:")</f>
        <v>Expedição:ex-escolas-exponenciais:</v>
      </c>
      <c r="G574" s="39">
        <f t="array" ref="G574">XLOOKUP(B574,'Página9'!A:A,'Página9'!F:F,"")</f>
        <v>-13</v>
      </c>
      <c r="H574" s="39">
        <f t="array" ref="H574">XLOOKUP(B574,'Página9'!A:A,'Página9'!C:C,"")</f>
        <v>3</v>
      </c>
      <c r="I574" s="35" t="str">
        <f t="array" ref="I574">XLOOKUP(B574,'Página9'!A:A,'Página9'!G:G,"")</f>
        <v>REPOR ESTOQUE</v>
      </c>
      <c r="J574" s="25" t="str">
        <f t="shared" si="1"/>
        <v>EXPEDIÇÃO</v>
      </c>
      <c r="K574" s="25" t="str">
        <f>IFERROR(__xludf.DUMMYFUNCTION("""COMPUTED_VALUE"""),"Francisco Renato Da Silva De Oliveira Junior")</f>
        <v>Francisco Renato Da Silva De Oliveira Junior</v>
      </c>
    </row>
    <row r="575">
      <c r="A575" s="37">
        <f>IFERROR(__xludf.DUMMYFUNCTION("""COMPUTED_VALUE"""),46006.0)</f>
        <v>46006</v>
      </c>
      <c r="B575" s="42" t="str">
        <f>IFERROR(__xludf.DUMMYFUNCTION("""COMPUTED_VALUE"""),"MCC015UC0045")</f>
        <v>MCC015UC0045</v>
      </c>
      <c r="C575" s="31" t="str">
        <f>IFERROR(__xludf.DUMMYFUNCTION("""COMPUTED_VALUE"""),"FITA ADESIVA 69MM X 100M")</f>
        <v>FITA ADESIVA 69MM X 100M</v>
      </c>
      <c r="D575" s="39">
        <f>IFERROR(__xludf.DUMMYFUNCTION("""COMPUTED_VALUE"""),25.0)</f>
        <v>25</v>
      </c>
      <c r="E575" s="34" t="str">
        <f>IFERROR(__xludf.DUMMYFUNCTION("""COMPUTED_VALUE"""),"Saída")</f>
        <v>Saída</v>
      </c>
      <c r="F575" s="34" t="str">
        <f>IFERROR(__xludf.DUMMYFUNCTION("""COMPUTED_VALUE"""),"Expedição:ex-escolas-exponenciais:")</f>
        <v>Expedição:ex-escolas-exponenciais:</v>
      </c>
      <c r="G575" s="39">
        <f t="array" ref="G575">XLOOKUP(B575,'Página9'!A:A,'Página9'!F:F,"")</f>
        <v>287</v>
      </c>
      <c r="H575" s="39">
        <f t="array" ref="H575">XLOOKUP(B575,'Página9'!A:A,'Página9'!C:C,"")</f>
        <v>20</v>
      </c>
      <c r="I575" s="35" t="str">
        <f t="array" ref="I575">XLOOKUP(B575,'Página9'!A:A,'Página9'!G:G,"")</f>
        <v>OK</v>
      </c>
      <c r="J575" s="25" t="str">
        <f t="shared" si="1"/>
        <v>EXPEDIÇÃO</v>
      </c>
      <c r="K575" s="25" t="str">
        <f>IFERROR(__xludf.DUMMYFUNCTION("""COMPUTED_VALUE"""),"Francisco Renato Da Silva De Oliveira Junior")</f>
        <v>Francisco Renato Da Silva De Oliveira Junior</v>
      </c>
    </row>
    <row r="576">
      <c r="A576" s="37">
        <f>IFERROR(__xludf.DUMMYFUNCTION("""COMPUTED_VALUE"""),46008.0)</f>
        <v>46008</v>
      </c>
      <c r="B576" s="42" t="str">
        <f>IFERROR(__xludf.DUMMYFUNCTION("""COMPUTED_VALUE"""),"MCC015UC0008")</f>
        <v>MCC015UC0008</v>
      </c>
      <c r="C576" s="31" t="str">
        <f>IFERROR(__xludf.DUMMYFUNCTION("""COMPUTED_VALUE"""),"FILME STRETCH 500X25")</f>
        <v>FILME STRETCH 500X25</v>
      </c>
      <c r="D576" s="39">
        <f>IFERROR(__xludf.DUMMYFUNCTION("""COMPUTED_VALUE"""),6.0)</f>
        <v>6</v>
      </c>
      <c r="E576" s="34" t="str">
        <f>IFERROR(__xludf.DUMMYFUNCTION("""COMPUTED_VALUE"""),"Saída")</f>
        <v>Saída</v>
      </c>
      <c r="F576" s="34" t="str">
        <f>IFERROR(__xludf.DUMMYFUNCTION("""COMPUTED_VALUE"""),"Expedição:ex-escolas-exponenciais:")</f>
        <v>Expedição:ex-escolas-exponenciais:</v>
      </c>
      <c r="G576" s="39">
        <f t="array" ref="G576">XLOOKUP(B576,'Página9'!A:A,'Página9'!F:F,"")</f>
        <v>-158</v>
      </c>
      <c r="H576" s="39">
        <f t="array" ref="H576">XLOOKUP(B576,'Página9'!A:A,'Página9'!C:C,"")</f>
        <v>40</v>
      </c>
      <c r="I576" s="35" t="str">
        <f t="array" ref="I576">XLOOKUP(B576,'Página9'!A:A,'Página9'!G:G,"")</f>
        <v>REPOR ESTOQUE</v>
      </c>
      <c r="J576" s="25" t="str">
        <f t="shared" si="1"/>
        <v>EXPEDIÇÃO</v>
      </c>
      <c r="K576" s="25" t="str">
        <f>IFERROR(__xludf.DUMMYFUNCTION("""COMPUTED_VALUE"""),"Rejane Fontes De Sousa")</f>
        <v>Rejane Fontes De Sousa</v>
      </c>
    </row>
    <row r="577">
      <c r="A577" s="37">
        <f>IFERROR(__xludf.DUMMYFUNCTION("""COMPUTED_VALUE"""),46008.0)</f>
        <v>46008</v>
      </c>
      <c r="B577" s="42" t="str">
        <f>IFERROR(__xludf.DUMMYFUNCTION("""COMPUTED_VALUE"""),"MCC015UC0008")</f>
        <v>MCC015UC0008</v>
      </c>
      <c r="C577" s="31" t="str">
        <f>IFERROR(__xludf.DUMMYFUNCTION("""COMPUTED_VALUE"""),"FILME STRETCH 500X25")</f>
        <v>FILME STRETCH 500X25</v>
      </c>
      <c r="D577" s="39">
        <f>IFERROR(__xludf.DUMMYFUNCTION("""COMPUTED_VALUE"""),4.0)</f>
        <v>4</v>
      </c>
      <c r="E577" s="34" t="str">
        <f>IFERROR(__xludf.DUMMYFUNCTION("""COMPUTED_VALUE"""),"Saída")</f>
        <v>Saída</v>
      </c>
      <c r="F577" s="34" t="str">
        <f>IFERROR(__xludf.DUMMYFUNCTION("""COMPUTED_VALUE"""),"Expedição:ex-escolas-exponenciais:")</f>
        <v>Expedição:ex-escolas-exponenciais:</v>
      </c>
      <c r="G577" s="39">
        <f t="array" ref="G577">XLOOKUP(B577,'Página9'!A:A,'Página9'!F:F,"")</f>
        <v>-158</v>
      </c>
      <c r="H577" s="39">
        <f t="array" ref="H577">XLOOKUP(B577,'Página9'!A:A,'Página9'!C:C,"")</f>
        <v>40</v>
      </c>
      <c r="I577" s="35" t="str">
        <f t="array" ref="I577">XLOOKUP(B577,'Página9'!A:A,'Página9'!G:G,"")</f>
        <v>REPOR ESTOQUE</v>
      </c>
      <c r="J577" s="25" t="str">
        <f t="shared" si="1"/>
        <v>EXPEDIÇÃO</v>
      </c>
      <c r="K577" s="25" t="str">
        <f>IFERROR(__xludf.DUMMYFUNCTION("""COMPUTED_VALUE"""),"Rubens Ribeiro Lisboa")</f>
        <v>Rubens Ribeiro Lisboa</v>
      </c>
    </row>
    <row r="578">
      <c r="A578" s="37">
        <f>IFERROR(__xludf.DUMMYFUNCTION("""COMPUTED_VALUE"""),46008.0)</f>
        <v>46008</v>
      </c>
      <c r="B578" s="42" t="str">
        <f>IFERROR(__xludf.DUMMYFUNCTION("""COMPUTED_VALUE"""),"MCC015UC0045")</f>
        <v>MCC015UC0045</v>
      </c>
      <c r="C578" s="31" t="str">
        <f>IFERROR(__xludf.DUMMYFUNCTION("""COMPUTED_VALUE"""),"FITA ADESIVA 69MM X 100M")</f>
        <v>FITA ADESIVA 69MM X 100M</v>
      </c>
      <c r="D578" s="39">
        <f>IFERROR(__xludf.DUMMYFUNCTION("""COMPUTED_VALUE"""),1.0)</f>
        <v>1</v>
      </c>
      <c r="E578" s="34" t="str">
        <f>IFERROR(__xludf.DUMMYFUNCTION("""COMPUTED_VALUE"""),"Saída")</f>
        <v>Saída</v>
      </c>
      <c r="F578" s="34" t="str">
        <f>IFERROR(__xludf.DUMMYFUNCTION("""COMPUTED_VALUE"""),"Expedição:ex-escolas-exponenciais:")</f>
        <v>Expedição:ex-escolas-exponenciais:</v>
      </c>
      <c r="G578" s="39">
        <f t="array" ref="G578">XLOOKUP(B578,'Página9'!A:A,'Página9'!F:F,"")</f>
        <v>287</v>
      </c>
      <c r="H578" s="39">
        <f t="array" ref="H578">XLOOKUP(B578,'Página9'!A:A,'Página9'!C:C,"")</f>
        <v>20</v>
      </c>
      <c r="I578" s="35" t="str">
        <f t="array" ref="I578">XLOOKUP(B578,'Página9'!A:A,'Página9'!G:G,"")</f>
        <v>OK</v>
      </c>
      <c r="J578" s="25" t="str">
        <f t="shared" si="1"/>
        <v>EXPEDIÇÃO</v>
      </c>
      <c r="K578" s="25" t="str">
        <f>IFERROR(__xludf.DUMMYFUNCTION("""COMPUTED_VALUE"""),"Francisco Samuel Trindade Nascimento")</f>
        <v>Francisco Samuel Trindade Nascimento</v>
      </c>
    </row>
    <row r="579">
      <c r="A579" s="37">
        <f>IFERROR(__xludf.DUMMYFUNCTION("""COMPUTED_VALUE"""),46008.0)</f>
        <v>46008</v>
      </c>
      <c r="B579" s="42" t="str">
        <f>IFERROR(__xludf.DUMMYFUNCTION("""COMPUTED_VALUE"""),"MCC046UC0599")</f>
        <v>MCC046UC0599</v>
      </c>
      <c r="C579" s="31" t="str">
        <f>IFERROR(__xludf.DUMMYFUNCTION("""COMPUTED_VALUE"""),"ETIQUETA ADESIVA COUCHE AMARELA  - 105X150MM SAS")</f>
        <v>ETIQUETA ADESIVA COUCHE AMARELA  - 105X150MM SAS</v>
      </c>
      <c r="D579" s="39">
        <f>IFERROR(__xludf.DUMMYFUNCTION("""COMPUTED_VALUE"""),4.0)</f>
        <v>4</v>
      </c>
      <c r="E579" s="34" t="str">
        <f>IFERROR(__xludf.DUMMYFUNCTION("""COMPUTED_VALUE"""),"Saída")</f>
        <v>Saída</v>
      </c>
      <c r="F579" s="34" t="str">
        <f>IFERROR(__xludf.DUMMYFUNCTION("""COMPUTED_VALUE"""),"Expedição:ex-escolas-exponenciais:")</f>
        <v>Expedição:ex-escolas-exponenciais:</v>
      </c>
      <c r="G579" s="39">
        <f t="array" ref="G579">XLOOKUP(B579,'Página9'!A:A,'Página9'!F:F,"")</f>
        <v>25</v>
      </c>
      <c r="H579" s="39">
        <f t="array" ref="H579">XLOOKUP(B579,'Página9'!A:A,'Página9'!C:C,"")</f>
        <v>5</v>
      </c>
      <c r="I579" s="35" t="str">
        <f t="array" ref="I579">XLOOKUP(B579,'Página9'!A:A,'Página9'!G:G,"")</f>
        <v>OK</v>
      </c>
      <c r="J579" s="25" t="str">
        <f t="shared" si="1"/>
        <v>EXPEDIÇÃO</v>
      </c>
      <c r="K579" s="25" t="str">
        <f>IFERROR(__xludf.DUMMYFUNCTION("""COMPUTED_VALUE"""),"Rubens Ribeiro Lisboa")</f>
        <v>Rubens Ribeiro Lisboa</v>
      </c>
    </row>
    <row r="580">
      <c r="A580" s="37">
        <f>IFERROR(__xludf.DUMMYFUNCTION("""COMPUTED_VALUE"""),46008.0)</f>
        <v>46008</v>
      </c>
      <c r="B580" s="42" t="str">
        <f>IFERROR(__xludf.DUMMYFUNCTION("""COMPUTED_VALUE"""),"MCC046UC0082")</f>
        <v>MCC046UC0082</v>
      </c>
      <c r="C580" s="31" t="str">
        <f>IFERROR(__xludf.DUMMYFUNCTION("""COMPUTED_VALUE"""),"PAPEL SULFITE A4 75G 500 FOLHAS")</f>
        <v>PAPEL SULFITE A4 75G 500 FOLHAS</v>
      </c>
      <c r="D580" s="39">
        <f>IFERROR(__xludf.DUMMYFUNCTION("""COMPUTED_VALUE"""),2.0)</f>
        <v>2</v>
      </c>
      <c r="E580" s="34" t="str">
        <f>IFERROR(__xludf.DUMMYFUNCTION("""COMPUTED_VALUE"""),"Saída")</f>
        <v>Saída</v>
      </c>
      <c r="F580" s="34" t="str">
        <f>IFERROR(__xludf.DUMMYFUNCTION("""COMPUTED_VALUE"""),"Expedição:ex-escolas-exponenciais:")</f>
        <v>Expedição:ex-escolas-exponenciais:</v>
      </c>
      <c r="G580" s="39">
        <f t="array" ref="G580">XLOOKUP(B580,'Página9'!A:A,'Página9'!F:F,"")</f>
        <v>163</v>
      </c>
      <c r="H580" s="39">
        <f t="array" ref="H580">XLOOKUP(B580,'Página9'!A:A,'Página9'!C:C,"")</f>
        <v>10</v>
      </c>
      <c r="I580" s="35" t="str">
        <f t="array" ref="I580">XLOOKUP(B580,'Página9'!A:A,'Página9'!G:G,"")</f>
        <v>OK</v>
      </c>
      <c r="J580" s="25" t="str">
        <f t="shared" si="1"/>
        <v>EXPEDIÇÃO</v>
      </c>
      <c r="K580" s="25" t="str">
        <f>IFERROR(__xludf.DUMMYFUNCTION("""COMPUTED_VALUE"""),"Jose Antoniel Silva Mesquita")</f>
        <v>Jose Antoniel Silva Mesquita</v>
      </c>
    </row>
    <row r="581">
      <c r="A581" s="37">
        <f>IFERROR(__xludf.DUMMYFUNCTION("""COMPUTED_VALUE"""),46008.0)</f>
        <v>46008</v>
      </c>
      <c r="B581" s="42" t="str">
        <f>IFERROR(__xludf.DUMMYFUNCTION("""COMPUTED_VALUE"""),"MCC015UC0008")</f>
        <v>MCC015UC0008</v>
      </c>
      <c r="C581" s="31" t="str">
        <f>IFERROR(__xludf.DUMMYFUNCTION("""COMPUTED_VALUE"""),"FILME STRETCH 500X25")</f>
        <v>FILME STRETCH 500X25</v>
      </c>
      <c r="D581" s="39">
        <f>IFERROR(__xludf.DUMMYFUNCTION("""COMPUTED_VALUE"""),10.0)</f>
        <v>10</v>
      </c>
      <c r="E581" s="34" t="str">
        <f>IFERROR(__xludf.DUMMYFUNCTION("""COMPUTED_VALUE"""),"Saída")</f>
        <v>Saída</v>
      </c>
      <c r="F581" s="34" t="str">
        <f>IFERROR(__xludf.DUMMYFUNCTION("""COMPUTED_VALUE"""),"Expedição:ex-escolas-exponenciais:")</f>
        <v>Expedição:ex-escolas-exponenciais:</v>
      </c>
      <c r="G581" s="39">
        <f t="array" ref="G581">XLOOKUP(B581,'Página9'!A:A,'Página9'!F:F,"")</f>
        <v>-158</v>
      </c>
      <c r="H581" s="39">
        <f t="array" ref="H581">XLOOKUP(B581,'Página9'!A:A,'Página9'!C:C,"")</f>
        <v>40</v>
      </c>
      <c r="I581" s="35" t="str">
        <f t="array" ref="I581">XLOOKUP(B581,'Página9'!A:A,'Página9'!G:G,"")</f>
        <v>REPOR ESTOQUE</v>
      </c>
      <c r="J581" s="25" t="str">
        <f t="shared" si="1"/>
        <v>EXPEDIÇÃO</v>
      </c>
      <c r="K581" s="25" t="str">
        <f>IFERROR(__xludf.DUMMYFUNCTION("""COMPUTED_VALUE"""),"Rejane Fontes De Sousa")</f>
        <v>Rejane Fontes De Sousa</v>
      </c>
    </row>
    <row r="582">
      <c r="A582" s="37">
        <f>IFERROR(__xludf.DUMMYFUNCTION("""COMPUTED_VALUE"""),46027.48327546296)</f>
        <v>46027.48328</v>
      </c>
      <c r="B582" s="42" t="str">
        <f>IFERROR(__xludf.DUMMYFUNCTION("""COMPUTED_VALUE"""),"MCC046UC0639")</f>
        <v>MCC046UC0639</v>
      </c>
      <c r="C582" s="31" t="str">
        <f>IFERROR(__xludf.DUMMYFUNCTION("""COMPUTED_VALUE"""),"PILHA ALCALINA ELGIN PEQ.AA")</f>
        <v>PILHA ALCALINA ELGIN PEQ.AA</v>
      </c>
      <c r="D582" s="39">
        <f>IFERROR(__xludf.DUMMYFUNCTION("""COMPUTED_VALUE"""),2.0)</f>
        <v>2</v>
      </c>
      <c r="E582" s="34" t="str">
        <f>IFERROR(__xludf.DUMMYFUNCTION("""COMPUTED_VALUE"""),"Saída")</f>
        <v>Saída</v>
      </c>
      <c r="F582" s="34" t="str">
        <f>IFERROR(__xludf.DUMMYFUNCTION("""COMPUTED_VALUE"""),"CIQ :qualidade:")</f>
        <v>CIQ :qualidade:</v>
      </c>
      <c r="G582" s="39">
        <f t="array" ref="G582">XLOOKUP(B582,'Página9'!A:A,'Página9'!F:F,"")</f>
        <v>-5</v>
      </c>
      <c r="H582" s="39">
        <f t="array" ref="H582">XLOOKUP(B582,'Página9'!A:A,'Página9'!C:C,"")</f>
        <v>4</v>
      </c>
      <c r="I582" s="35" t="str">
        <f t="array" ref="I582">XLOOKUP(B582,'Página9'!A:A,'Página9'!G:G,"")</f>
        <v>REPOR ESTOQUE</v>
      </c>
      <c r="J582" s="25" t="str">
        <f t="shared" si="1"/>
        <v>CIQ</v>
      </c>
      <c r="K582" s="25" t="str">
        <f>IFERROR(__xludf.DUMMYFUNCTION("""COMPUTED_VALUE"""),"Paulo Henrique Chagas De Oliveira")</f>
        <v>Paulo Henrique Chagas De Oliveira</v>
      </c>
    </row>
    <row r="583">
      <c r="A583" s="37">
        <f>IFERROR(__xludf.DUMMYFUNCTION("""COMPUTED_VALUE"""),46027.48375)</f>
        <v>46027.48375</v>
      </c>
      <c r="B583" s="42" t="str">
        <f>IFERROR(__xludf.DUMMYFUNCTION("""COMPUTED_VALUE"""),"MCC046UC0638")</f>
        <v>MCC046UC0638</v>
      </c>
      <c r="C583" s="31" t="str">
        <f>IFERROR(__xludf.DUMMYFUNCTION("""COMPUTED_VALUE"""),"PILHA ALCALINA ELGIN PALITO AAA")</f>
        <v>PILHA ALCALINA ELGIN PALITO AAA</v>
      </c>
      <c r="D583" s="39">
        <f>IFERROR(__xludf.DUMMYFUNCTION("""COMPUTED_VALUE"""),4.0)</f>
        <v>4</v>
      </c>
      <c r="E583" s="34" t="str">
        <f>IFERROR(__xludf.DUMMYFUNCTION("""COMPUTED_VALUE"""),"Saída")</f>
        <v>Saída</v>
      </c>
      <c r="F583" s="34" t="str">
        <f>IFERROR(__xludf.DUMMYFUNCTION("""COMPUTED_VALUE"""),"Expedição:ex-escolas-exponenciais:")</f>
        <v>Expedição:ex-escolas-exponenciais:</v>
      </c>
      <c r="G583" s="39">
        <f t="array" ref="G583">XLOOKUP(B583,'Página9'!A:A,'Página9'!F:F,"")</f>
        <v>32</v>
      </c>
      <c r="H583" s="39">
        <f t="array" ref="H583">XLOOKUP(B583,'Página9'!A:A,'Página9'!C:C,"")</f>
        <v>4</v>
      </c>
      <c r="I583" s="35" t="str">
        <f t="array" ref="I583">XLOOKUP(B583,'Página9'!A:A,'Página9'!G:G,"")</f>
        <v>OK</v>
      </c>
      <c r="J583" s="25" t="str">
        <f t="shared" si="1"/>
        <v>EXPEDIÇÃO</v>
      </c>
      <c r="K583" s="25" t="str">
        <f>IFERROR(__xludf.DUMMYFUNCTION("""COMPUTED_VALUE"""),"Francisco Renato Da Silva De Oliveira Junior")</f>
        <v>Francisco Renato Da Silva De Oliveira Junior</v>
      </c>
    </row>
    <row r="584">
      <c r="A584" s="37">
        <f>IFERROR(__xludf.DUMMYFUNCTION("""COMPUTED_VALUE"""),46028.48863425926)</f>
        <v>46028.48863</v>
      </c>
      <c r="B584" s="42" t="str">
        <f>IFERROR(__xludf.DUMMYFUNCTION("""COMPUTED_VALUE"""),"MCC015UC0008")</f>
        <v>MCC015UC0008</v>
      </c>
      <c r="C584" s="31" t="str">
        <f>IFERROR(__xludf.DUMMYFUNCTION("""COMPUTED_VALUE"""),"FILME STRETCH 500X25")</f>
        <v>FILME STRETCH 500X25</v>
      </c>
      <c r="D584" s="39">
        <f>IFERROR(__xludf.DUMMYFUNCTION("""COMPUTED_VALUE"""),10.0)</f>
        <v>10</v>
      </c>
      <c r="E584" s="34" t="str">
        <f>IFERROR(__xludf.DUMMYFUNCTION("""COMPUTED_VALUE"""),"Saída")</f>
        <v>Saída</v>
      </c>
      <c r="F584" s="34" t="str">
        <f>IFERROR(__xludf.DUMMYFUNCTION("""COMPUTED_VALUE"""),"Estoque:package:")</f>
        <v>Estoque:package:</v>
      </c>
      <c r="G584" s="39">
        <f t="array" ref="G584">XLOOKUP(B584,'Página9'!A:A,'Página9'!F:F,"")</f>
        <v>-158</v>
      </c>
      <c r="H584" s="39">
        <f t="array" ref="H584">XLOOKUP(B584,'Página9'!A:A,'Página9'!C:C,"")</f>
        <v>40</v>
      </c>
      <c r="I584" s="35" t="str">
        <f t="array" ref="I584">XLOOKUP(B584,'Página9'!A:A,'Página9'!G:G,"")</f>
        <v>REPOR ESTOQUE</v>
      </c>
      <c r="J584" s="25" t="str">
        <f t="shared" si="1"/>
        <v>ESTOQUE</v>
      </c>
      <c r="K584" s="25" t="str">
        <f>IFERROR(__xludf.DUMMYFUNCTION("""COMPUTED_VALUE"""),"Gabriel De Sousa Freitas")</f>
        <v>Gabriel De Sousa Freitas</v>
      </c>
    </row>
    <row r="585">
      <c r="A585" s="37">
        <f>IFERROR(__xludf.DUMMYFUNCTION("""COMPUTED_VALUE"""),46028.52997685185)</f>
        <v>46028.52998</v>
      </c>
      <c r="B585" s="42" t="str">
        <f>IFERROR(__xludf.DUMMYFUNCTION("""COMPUTED_VALUE"""),"MCC046UC0687")</f>
        <v>MCC046UC0687</v>
      </c>
      <c r="C585" s="31" t="str">
        <f>IFERROR(__xludf.DUMMYFUNCTION("""COMPUTED_VALUE"""),"ETIQUETA COUCHE - 100X100X 1")</f>
        <v>ETIQUETA COUCHE - 100X100X 1</v>
      </c>
      <c r="D585" s="39">
        <f>IFERROR(__xludf.DUMMYFUNCTION("""COMPUTED_VALUE"""),1.0)</f>
        <v>1</v>
      </c>
      <c r="E585" s="34" t="str">
        <f>IFERROR(__xludf.DUMMYFUNCTION("""COMPUTED_VALUE"""),"Saída")</f>
        <v>Saída</v>
      </c>
      <c r="F585" s="34" t="str">
        <f>IFERROR(__xludf.DUMMYFUNCTION("""COMPUTED_VALUE"""),"CIQ :qualidade:")</f>
        <v>CIQ :qualidade:</v>
      </c>
      <c r="G585" s="39">
        <f t="array" ref="G585">XLOOKUP(B585,'Página9'!A:A,'Página9'!F:F,"")</f>
        <v>335</v>
      </c>
      <c r="H585" s="39">
        <f t="array" ref="H585">XLOOKUP(B585,'Página9'!A:A,'Página9'!C:C,"")</f>
        <v>20</v>
      </c>
      <c r="I585" s="35" t="str">
        <f t="array" ref="I585">XLOOKUP(B585,'Página9'!A:A,'Página9'!G:G,"")</f>
        <v>OK</v>
      </c>
      <c r="J585" s="25" t="str">
        <f t="shared" si="1"/>
        <v>CIQ</v>
      </c>
      <c r="K585" s="25" t="str">
        <f>IFERROR(__xludf.DUMMYFUNCTION("""COMPUTED_VALUE"""),"Suellen Aguiar Da Silva")</f>
        <v>Suellen Aguiar Da Silva</v>
      </c>
    </row>
    <row r="586">
      <c r="A586" s="37">
        <f>IFERROR(__xludf.DUMMYFUNCTION("""COMPUTED_VALUE"""),46028.53065972222)</f>
        <v>46028.53066</v>
      </c>
      <c r="B586" s="42" t="str">
        <f>IFERROR(__xludf.DUMMYFUNCTION("""COMPUTED_VALUE"""),"MCC046UC0082")</f>
        <v>MCC046UC0082</v>
      </c>
      <c r="C586" s="31" t="str">
        <f>IFERROR(__xludf.DUMMYFUNCTION("""COMPUTED_VALUE"""),"PAPEL SULFITE A4 75G 500 FOLHAS")</f>
        <v>PAPEL SULFITE A4 75G 500 FOLHAS</v>
      </c>
      <c r="D586" s="39">
        <f>IFERROR(__xludf.DUMMYFUNCTION("""COMPUTED_VALUE"""),1.0)</f>
        <v>1</v>
      </c>
      <c r="E586" s="34" t="str">
        <f>IFERROR(__xludf.DUMMYFUNCTION("""COMPUTED_VALUE"""),"Saída")</f>
        <v>Saída</v>
      </c>
      <c r="F586" s="34" t="str">
        <f>IFERROR(__xludf.DUMMYFUNCTION("""COMPUTED_VALUE"""),"Expedição:ex-escolas-exponenciais:")</f>
        <v>Expedição:ex-escolas-exponenciais:</v>
      </c>
      <c r="G586" s="39">
        <f t="array" ref="G586">XLOOKUP(B586,'Página9'!A:A,'Página9'!F:F,"")</f>
        <v>163</v>
      </c>
      <c r="H586" s="39">
        <f t="array" ref="H586">XLOOKUP(B586,'Página9'!A:A,'Página9'!C:C,"")</f>
        <v>10</v>
      </c>
      <c r="I586" s="35" t="str">
        <f t="array" ref="I586">XLOOKUP(B586,'Página9'!A:A,'Página9'!G:G,"")</f>
        <v>OK</v>
      </c>
      <c r="J586" s="25" t="str">
        <f t="shared" si="1"/>
        <v>EXPEDIÇÃO</v>
      </c>
      <c r="K586" s="25" t="str">
        <f>IFERROR(__xludf.DUMMYFUNCTION("""COMPUTED_VALUE"""),"Suellen Aguiar Da Silva")</f>
        <v>Suellen Aguiar Da Silva</v>
      </c>
    </row>
    <row r="587">
      <c r="A587" s="37">
        <f>IFERROR(__xludf.DUMMYFUNCTION("""COMPUTED_VALUE"""),46028.55196759259)</f>
        <v>46028.55197</v>
      </c>
      <c r="B587" s="42" t="str">
        <f>IFERROR(__xludf.DUMMYFUNCTION("""COMPUTED_VALUE"""),"MCC015UC0045")</f>
        <v>MCC015UC0045</v>
      </c>
      <c r="C587" s="31" t="str">
        <f>IFERROR(__xludf.DUMMYFUNCTION("""COMPUTED_VALUE"""),"FITA ADESIVA 69MM X 100M")</f>
        <v>FITA ADESIVA 69MM X 100M</v>
      </c>
      <c r="D587" s="39">
        <f>IFERROR(__xludf.DUMMYFUNCTION("""COMPUTED_VALUE"""),24.0)</f>
        <v>24</v>
      </c>
      <c r="E587" s="34" t="str">
        <f>IFERROR(__xludf.DUMMYFUNCTION("""COMPUTED_VALUE"""),"Saída")</f>
        <v>Saída</v>
      </c>
      <c r="F587" s="34" t="str">
        <f>IFERROR(__xludf.DUMMYFUNCTION("""COMPUTED_VALUE"""),"Expedição:ex-escolas-exponenciais:")</f>
        <v>Expedição:ex-escolas-exponenciais:</v>
      </c>
      <c r="G587" s="39">
        <f t="array" ref="G587">XLOOKUP(B587,'Página9'!A:A,'Página9'!F:F,"")</f>
        <v>287</v>
      </c>
      <c r="H587" s="39">
        <f t="array" ref="H587">XLOOKUP(B587,'Página9'!A:A,'Página9'!C:C,"")</f>
        <v>20</v>
      </c>
      <c r="I587" s="35" t="str">
        <f t="array" ref="I587">XLOOKUP(B587,'Página9'!A:A,'Página9'!G:G,"")</f>
        <v>OK</v>
      </c>
      <c r="J587" s="25" t="str">
        <f t="shared" si="1"/>
        <v>EXPEDIÇÃO</v>
      </c>
      <c r="K587" s="25" t="str">
        <f>IFERROR(__xludf.DUMMYFUNCTION("""COMPUTED_VALUE"""),"Rejane Fontes De Sousa")</f>
        <v>Rejane Fontes De Sousa</v>
      </c>
    </row>
    <row r="588">
      <c r="A588" s="37">
        <f>IFERROR(__xludf.DUMMYFUNCTION("""COMPUTED_VALUE"""),46028.55247685185)</f>
        <v>46028.55248</v>
      </c>
      <c r="B588" s="42" t="str">
        <f>IFERROR(__xludf.DUMMYFUNCTION("""COMPUTED_VALUE"""),"EMC015MO0007")</f>
        <v>EMC015MO0007</v>
      </c>
      <c r="C588" s="31" t="str">
        <f>IFERROR(__xludf.DUMMYFUNCTION("""COMPUTED_VALUE"""),"RIBBON CERA PRETO 110MMX74M")</f>
        <v>RIBBON CERA PRETO 110MMX74M</v>
      </c>
      <c r="D588" s="39">
        <f>IFERROR(__xludf.DUMMYFUNCTION("""COMPUTED_VALUE"""),6.0)</f>
        <v>6</v>
      </c>
      <c r="E588" s="34" t="str">
        <f>IFERROR(__xludf.DUMMYFUNCTION("""COMPUTED_VALUE"""),"Saída")</f>
        <v>Saída</v>
      </c>
      <c r="F588" s="34" t="str">
        <f>IFERROR(__xludf.DUMMYFUNCTION("""COMPUTED_VALUE"""),"Expedição:ex-escolas-exponenciais:")</f>
        <v>Expedição:ex-escolas-exponenciais:</v>
      </c>
      <c r="G588" s="39">
        <f t="array" ref="G588">XLOOKUP(B588,'Página9'!A:A,'Página9'!F:F,"")</f>
        <v>646</v>
      </c>
      <c r="H588" s="39">
        <f t="array" ref="H588">XLOOKUP(B588,'Página9'!A:A,'Página9'!C:C,"")</f>
        <v>5</v>
      </c>
      <c r="I588" s="35" t="str">
        <f t="array" ref="I588">XLOOKUP(B588,'Página9'!A:A,'Página9'!G:G,"")</f>
        <v>OK</v>
      </c>
      <c r="J588" s="25" t="str">
        <f t="shared" si="1"/>
        <v>EXPEDIÇÃO</v>
      </c>
      <c r="K588" s="25" t="str">
        <f>IFERROR(__xludf.DUMMYFUNCTION("""COMPUTED_VALUE"""),"Rejane Fontes De Sousa")</f>
        <v>Rejane Fontes De Sousa</v>
      </c>
    </row>
    <row r="589">
      <c r="A589" s="37">
        <f>IFERROR(__xludf.DUMMYFUNCTION("""COMPUTED_VALUE"""),46028.740891203706)</f>
        <v>46028.74089</v>
      </c>
      <c r="B589" s="42" t="str">
        <f>IFERROR(__xludf.DUMMYFUNCTION("""COMPUTED_VALUE"""),"MCC015UC0045")</f>
        <v>MCC015UC0045</v>
      </c>
      <c r="C589" s="31" t="str">
        <f>IFERROR(__xludf.DUMMYFUNCTION("""COMPUTED_VALUE"""),"FITA ADESIVA 69MM X 100M")</f>
        <v>FITA ADESIVA 69MM X 100M</v>
      </c>
      <c r="D589" s="39">
        <f>IFERROR(__xludf.DUMMYFUNCTION("""COMPUTED_VALUE"""),12.0)</f>
        <v>12</v>
      </c>
      <c r="E589" s="34" t="str">
        <f>IFERROR(__xludf.DUMMYFUNCTION("""COMPUTED_VALUE"""),"Saída")</f>
        <v>Saída</v>
      </c>
      <c r="F589" s="34" t="str">
        <f>IFERROR(__xludf.DUMMYFUNCTION("""COMPUTED_VALUE"""),"Expedição:ex-escolas-exponenciais:")</f>
        <v>Expedição:ex-escolas-exponenciais:</v>
      </c>
      <c r="G589" s="39">
        <f t="array" ref="G589">XLOOKUP(B589,'Página9'!A:A,'Página9'!F:F,"")</f>
        <v>287</v>
      </c>
      <c r="H589" s="39">
        <f t="array" ref="H589">XLOOKUP(B589,'Página9'!A:A,'Página9'!C:C,"")</f>
        <v>20</v>
      </c>
      <c r="I589" s="35" t="str">
        <f t="array" ref="I589">XLOOKUP(B589,'Página9'!A:A,'Página9'!G:G,"")</f>
        <v>OK</v>
      </c>
      <c r="J589" s="25" t="str">
        <f t="shared" si="1"/>
        <v>EXPEDIÇÃO</v>
      </c>
      <c r="K589" s="25" t="str">
        <f>IFERROR(__xludf.DUMMYFUNCTION("""COMPUTED_VALUE"""),"Yago Rocha Fernandes")</f>
        <v>Yago Rocha Fernandes</v>
      </c>
    </row>
    <row r="590">
      <c r="A590" s="37">
        <f>IFERROR(__xludf.DUMMYFUNCTION("""COMPUTED_VALUE"""),46028.83667824074)</f>
        <v>46028.83668</v>
      </c>
      <c r="B590" s="42" t="str">
        <f>IFERROR(__xludf.DUMMYFUNCTION("""COMPUTED_VALUE"""),"MCC015UC0008")</f>
        <v>MCC015UC0008</v>
      </c>
      <c r="C590" s="31" t="str">
        <f>IFERROR(__xludf.DUMMYFUNCTION("""COMPUTED_VALUE"""),"FILME STRETCH 500X25")</f>
        <v>FILME STRETCH 500X25</v>
      </c>
      <c r="D590" s="39">
        <f>IFERROR(__xludf.DUMMYFUNCTION("""COMPUTED_VALUE"""),2.0)</f>
        <v>2</v>
      </c>
      <c r="E590" s="34" t="str">
        <f>IFERROR(__xludf.DUMMYFUNCTION("""COMPUTED_VALUE"""),"Saída")</f>
        <v>Saída</v>
      </c>
      <c r="F590" s="34" t="str">
        <f>IFERROR(__xludf.DUMMYFUNCTION("""COMPUTED_VALUE"""),"Expedição:ex-escolas-exponenciais:")</f>
        <v>Expedição:ex-escolas-exponenciais:</v>
      </c>
      <c r="G590" s="39">
        <f t="array" ref="G590">XLOOKUP(B590,'Página9'!A:A,'Página9'!F:F,"")</f>
        <v>-158</v>
      </c>
      <c r="H590" s="39">
        <f t="array" ref="H590">XLOOKUP(B590,'Página9'!A:A,'Página9'!C:C,"")</f>
        <v>40</v>
      </c>
      <c r="I590" s="35" t="str">
        <f t="array" ref="I590">XLOOKUP(B590,'Página9'!A:A,'Página9'!G:G,"")</f>
        <v>REPOR ESTOQUE</v>
      </c>
      <c r="J590" s="25" t="str">
        <f t="shared" si="1"/>
        <v>EXPEDIÇÃO</v>
      </c>
      <c r="K590" s="25" t="str">
        <f>IFERROR(__xludf.DUMMYFUNCTION("""COMPUTED_VALUE"""),"Philipe Araujo Barroso")</f>
        <v>Philipe Araujo Barroso</v>
      </c>
    </row>
    <row r="591">
      <c r="A591" s="37">
        <f>IFERROR(__xludf.DUMMYFUNCTION("""COMPUTED_VALUE"""),46028.84936342593)</f>
        <v>46028.84936</v>
      </c>
      <c r="B591" s="42" t="str">
        <f>IFERROR(__xludf.DUMMYFUNCTION("""COMPUTED_VALUE"""),"MCC015UC0008")</f>
        <v>MCC015UC0008</v>
      </c>
      <c r="C591" s="31" t="str">
        <f>IFERROR(__xludf.DUMMYFUNCTION("""COMPUTED_VALUE"""),"FILME STRETCH 500X25")</f>
        <v>FILME STRETCH 500X25</v>
      </c>
      <c r="D591" s="39">
        <f>IFERROR(__xludf.DUMMYFUNCTION("""COMPUTED_VALUE"""),2.0)</f>
        <v>2</v>
      </c>
      <c r="E591" s="34" t="str">
        <f>IFERROR(__xludf.DUMMYFUNCTION("""COMPUTED_VALUE"""),"Saída")</f>
        <v>Saída</v>
      </c>
      <c r="F591" s="34" t="str">
        <f>IFERROR(__xludf.DUMMYFUNCTION("""COMPUTED_VALUE"""),"Expedição:ex-escolas-exponenciais:")</f>
        <v>Expedição:ex-escolas-exponenciais:</v>
      </c>
      <c r="G591" s="39">
        <f t="array" ref="G591">XLOOKUP(B591,'Página9'!A:A,'Página9'!F:F,"")</f>
        <v>-158</v>
      </c>
      <c r="H591" s="39">
        <f t="array" ref="H591">XLOOKUP(B591,'Página9'!A:A,'Página9'!C:C,"")</f>
        <v>40</v>
      </c>
      <c r="I591" s="35" t="str">
        <f t="array" ref="I591">XLOOKUP(B591,'Página9'!A:A,'Página9'!G:G,"")</f>
        <v>REPOR ESTOQUE</v>
      </c>
      <c r="J591" s="25" t="str">
        <f t="shared" si="1"/>
        <v>EXPEDIÇÃO</v>
      </c>
      <c r="K591" s="25" t="str">
        <f>IFERROR(__xludf.DUMMYFUNCTION("""COMPUTED_VALUE"""),"Rejane Fontes De Sousa")</f>
        <v>Rejane Fontes De Sousa</v>
      </c>
    </row>
    <row r="592">
      <c r="A592" s="37">
        <f>IFERROR(__xludf.DUMMYFUNCTION("""COMPUTED_VALUE"""),46029.4746875)</f>
        <v>46029.47469</v>
      </c>
      <c r="B592" s="42" t="str">
        <f>IFERROR(__xludf.DUMMYFUNCTION("""COMPUTED_VALUE"""),"MCC046UC0398")</f>
        <v>MCC046UC0398</v>
      </c>
      <c r="C592" s="31" t="str">
        <f>IFERROR(__xludf.DUMMYFUNCTION("""COMPUTED_VALUE"""),"GRAMPO 26/6 COBREADO CX.C/5000 BACCHI")</f>
        <v>GRAMPO 26/6 COBREADO CX.C/5000 BACCHI</v>
      </c>
      <c r="D592" s="39">
        <f>IFERROR(__xludf.DUMMYFUNCTION("""COMPUTED_VALUE"""),1.0)</f>
        <v>1</v>
      </c>
      <c r="E592" s="34" t="str">
        <f>IFERROR(__xludf.DUMMYFUNCTION("""COMPUTED_VALUE"""),"Saída")</f>
        <v>Saída</v>
      </c>
      <c r="F592" s="34" t="str">
        <f>IFERROR(__xludf.DUMMYFUNCTION("""COMPUTED_VALUE"""),"Estoque:package:")</f>
        <v>Estoque:package:</v>
      </c>
      <c r="G592" s="39">
        <f t="array" ref="G592">XLOOKUP(B592,'Página9'!A:A,'Página9'!F:F,"")</f>
        <v>-13</v>
      </c>
      <c r="H592" s="39">
        <f t="array" ref="H592">XLOOKUP(B592,'Página9'!A:A,'Página9'!C:C,"")</f>
        <v>3</v>
      </c>
      <c r="I592" s="35" t="str">
        <f t="array" ref="I592">XLOOKUP(B592,'Página9'!A:A,'Página9'!G:G,"")</f>
        <v>REPOR ESTOQUE</v>
      </c>
      <c r="J592" s="25" t="str">
        <f t="shared" si="1"/>
        <v>ESTOQUE</v>
      </c>
      <c r="K592" s="25" t="str">
        <f>IFERROR(__xludf.DUMMYFUNCTION("""COMPUTED_VALUE"""),"Suellen Aguiar Da Silva")</f>
        <v>Suellen Aguiar Da Silva</v>
      </c>
    </row>
    <row r="593">
      <c r="A593" s="37">
        <f>IFERROR(__xludf.DUMMYFUNCTION("""COMPUTED_VALUE"""),46029.505324074074)</f>
        <v>46029.50532</v>
      </c>
      <c r="B593" s="42" t="str">
        <f>IFERROR(__xludf.DUMMYFUNCTION("""COMPUTED_VALUE"""),"MCC046UC0387")</f>
        <v>MCC046UC0387</v>
      </c>
      <c r="C593" s="31" t="str">
        <f>IFERROR(__xludf.DUMMYFUNCTION("""COMPUTED_VALUE"""),"GRAMPEADOR PLUS LINE CIS PRETO 26/6 P/20")</f>
        <v>GRAMPEADOR PLUS LINE CIS PRETO 26/6 P/20</v>
      </c>
      <c r="D593" s="39">
        <f>IFERROR(__xludf.DUMMYFUNCTION("""COMPUTED_VALUE"""),1.0)</f>
        <v>1</v>
      </c>
      <c r="E593" s="34" t="str">
        <f>IFERROR(__xludf.DUMMYFUNCTION("""COMPUTED_VALUE"""),"Saída")</f>
        <v>Saída</v>
      </c>
      <c r="F593" s="34" t="str">
        <f>IFERROR(__xludf.DUMMYFUNCTION("""COMPUTED_VALUE"""),"Expedição:ex-escolas-exponenciais:")</f>
        <v>Expedição:ex-escolas-exponenciais:</v>
      </c>
      <c r="G593" s="39">
        <f t="array" ref="G593">XLOOKUP(B593,'Página9'!A:A,'Página9'!F:F,"")</f>
        <v>0</v>
      </c>
      <c r="H593" s="39">
        <f t="array" ref="H593">XLOOKUP(B593,'Página9'!A:A,'Página9'!C:C,"")</f>
        <v>1</v>
      </c>
      <c r="I593" s="35" t="str">
        <f t="array" ref="I593">XLOOKUP(B593,'Página9'!A:A,'Página9'!G:G,"")</f>
        <v>REPOR ESTOQUE</v>
      </c>
      <c r="J593" s="25" t="str">
        <f t="shared" si="1"/>
        <v>EXPEDIÇÃO</v>
      </c>
      <c r="K593" s="25" t="str">
        <f>IFERROR(__xludf.DUMMYFUNCTION("""COMPUTED_VALUE"""),"Francisco Renato Da Silva De Oliveira Junior")</f>
        <v>Francisco Renato Da Silva De Oliveira Junior</v>
      </c>
    </row>
    <row r="594">
      <c r="A594" s="37">
        <f>IFERROR(__xludf.DUMMYFUNCTION("""COMPUTED_VALUE"""),46029.644212962965)</f>
        <v>46029.64421</v>
      </c>
      <c r="B594" s="42" t="str">
        <f>IFERROR(__xludf.DUMMYFUNCTION("""COMPUTED_VALUE"""),"MCC046UC0216")</f>
        <v>MCC046UC0216</v>
      </c>
      <c r="C594" s="31" t="str">
        <f>IFERROR(__xludf.DUMMYFUNCTION("""COMPUTED_VALUE"""),"CANETA ESFEROGRAFICA ECONOMIC PRETA BIC")</f>
        <v>CANETA ESFEROGRAFICA ECONOMIC PRETA BIC</v>
      </c>
      <c r="D594" s="39">
        <f>IFERROR(__xludf.DUMMYFUNCTION("""COMPUTED_VALUE"""),4.0)</f>
        <v>4</v>
      </c>
      <c r="E594" s="34" t="str">
        <f>IFERROR(__xludf.DUMMYFUNCTION("""COMPUTED_VALUE"""),"Saída")</f>
        <v>Saída</v>
      </c>
      <c r="F594" s="34" t="str">
        <f>IFERROR(__xludf.DUMMYFUNCTION("""COMPUTED_VALUE"""),"Expedição:ex-escolas-exponenciais:")</f>
        <v>Expedição:ex-escolas-exponenciais:</v>
      </c>
      <c r="G594" s="39">
        <f t="array" ref="G594">XLOOKUP(B594,'Página9'!A:A,'Página9'!F:F,"")</f>
        <v>89</v>
      </c>
      <c r="H594" s="39">
        <f t="array" ref="H594">XLOOKUP(B594,'Página9'!A:A,'Página9'!C:C,"")</f>
        <v>15</v>
      </c>
      <c r="I594" s="35" t="str">
        <f t="array" ref="I594">XLOOKUP(B594,'Página9'!A:A,'Página9'!G:G,"")</f>
        <v>OK</v>
      </c>
      <c r="J594" s="25" t="str">
        <f t="shared" si="1"/>
        <v>EXPEDIÇÃO</v>
      </c>
      <c r="K594" s="25" t="str">
        <f>IFERROR(__xludf.DUMMYFUNCTION("""COMPUTED_VALUE"""),"Cosme Marcio Barros Barbosa")</f>
        <v>Cosme Marcio Barros Barbosa</v>
      </c>
    </row>
    <row r="595">
      <c r="A595" s="37">
        <f>IFERROR(__xludf.DUMMYFUNCTION("""COMPUTED_VALUE"""),46029.71959490741)</f>
        <v>46029.71959</v>
      </c>
      <c r="B595" s="42" t="str">
        <f>IFERROR(__xludf.DUMMYFUNCTION("""COMPUTED_VALUE"""),"MCC046UC0360")</f>
        <v>MCC046UC0360</v>
      </c>
      <c r="C595" s="31" t="str">
        <f>IFERROR(__xludf.DUMMYFUNCTION("""COMPUTED_VALUE"""),"FITA ADESIVA DUPLA FACE 12mm X 20m 4910 VHB 3M")</f>
        <v>FITA ADESIVA DUPLA FACE 12mm X 20m 4910 VHB 3M</v>
      </c>
      <c r="D595" s="39">
        <f>IFERROR(__xludf.DUMMYFUNCTION("""COMPUTED_VALUE"""),24.0)</f>
        <v>24</v>
      </c>
      <c r="E595" s="34" t="str">
        <f>IFERROR(__xludf.DUMMYFUNCTION("""COMPUTED_VALUE"""),"Saída")</f>
        <v>Saída</v>
      </c>
      <c r="F595" s="34" t="str">
        <f>IFERROR(__xludf.DUMMYFUNCTION("""COMPUTED_VALUE"""),"Expedição:ex-escolas-exponenciais:")</f>
        <v>Expedição:ex-escolas-exponenciais:</v>
      </c>
      <c r="G595" s="39">
        <f t="array" ref="G595">XLOOKUP(B595,'Página9'!A:A,'Página9'!F:F,"")</f>
        <v>-124</v>
      </c>
      <c r="H595" s="39">
        <f t="array" ref="H595">XLOOKUP(B595,'Página9'!A:A,'Página9'!C:C,"")</f>
        <v>1</v>
      </c>
      <c r="I595" s="35" t="str">
        <f t="array" ref="I595">XLOOKUP(B595,'Página9'!A:A,'Página9'!G:G,"")</f>
        <v>REPOR ESTOQUE</v>
      </c>
      <c r="J595" s="25" t="str">
        <f t="shared" si="1"/>
        <v>EXPEDIÇÃO</v>
      </c>
      <c r="K595" s="25" t="str">
        <f>IFERROR(__xludf.DUMMYFUNCTION("""COMPUTED_VALUE"""),"Rejane Fontes De Sousa")</f>
        <v>Rejane Fontes De Sousa</v>
      </c>
    </row>
    <row r="596">
      <c r="A596" s="37">
        <f>IFERROR(__xludf.DUMMYFUNCTION("""COMPUTED_VALUE"""),46030.483761574076)</f>
        <v>46030.48376</v>
      </c>
      <c r="B596" s="42" t="str">
        <f>IFERROR(__xludf.DUMMYFUNCTION("""COMPUTED_VALUE"""),"MCC046UC0596")</f>
        <v>MCC046UC0596</v>
      </c>
      <c r="C596" s="31" t="str">
        <f>IFERROR(__xludf.DUMMYFUNCTION("""COMPUTED_VALUE"""),"ETIQUETA ADESIVA COUCHE BRANCA   - 105X150MM SAS")</f>
        <v>ETIQUETA ADESIVA COUCHE BRANCA   - 105X150MM SAS</v>
      </c>
      <c r="D596" s="39">
        <f>IFERROR(__xludf.DUMMYFUNCTION("""COMPUTED_VALUE"""),12.0)</f>
        <v>12</v>
      </c>
      <c r="E596" s="34" t="str">
        <f>IFERROR(__xludf.DUMMYFUNCTION("""COMPUTED_VALUE"""),"Saída")</f>
        <v>Saída</v>
      </c>
      <c r="F596" s="34" t="str">
        <f>IFERROR(__xludf.DUMMYFUNCTION("""COMPUTED_VALUE"""),"Expedição:ex-escolas-exponenciais:")</f>
        <v>Expedição:ex-escolas-exponenciais:</v>
      </c>
      <c r="G596" s="39">
        <f t="array" ref="G596">XLOOKUP(B596,'Página9'!A:A,'Página9'!F:F,"")</f>
        <v>157</v>
      </c>
      <c r="H596" s="39">
        <f t="array" ref="H596">XLOOKUP(B596,'Página9'!A:A,'Página9'!C:C,"")</f>
        <v>20</v>
      </c>
      <c r="I596" s="35" t="str">
        <f t="array" ref="I596">XLOOKUP(B596,'Página9'!A:A,'Página9'!G:G,"")</f>
        <v>OK</v>
      </c>
      <c r="J596" s="25" t="str">
        <f t="shared" si="1"/>
        <v>EXPEDIÇÃO</v>
      </c>
      <c r="K596" s="25" t="str">
        <f>IFERROR(__xludf.DUMMYFUNCTION("""COMPUTED_VALUE"""),"Silvana Da Silva Pereira")</f>
        <v>Silvana Da Silva Pereira</v>
      </c>
    </row>
    <row r="597">
      <c r="A597" s="37">
        <f>IFERROR(__xludf.DUMMYFUNCTION("""COMPUTED_VALUE"""),46030.518483796295)</f>
        <v>46030.51848</v>
      </c>
      <c r="B597" s="42" t="str">
        <f>IFERROR(__xludf.DUMMYFUNCTION("""COMPUTED_VALUE"""),"MCC049UC0393")</f>
        <v>MCC049UC0393</v>
      </c>
      <c r="C597" s="31" t="str">
        <f>IFERROR(__xludf.DUMMYFUNCTION("""COMPUTED_VALUE"""),"PAPEL KRAFT TTC GREENLINE 70 G/M² PACOTE 360 M X 0,38 M")</f>
        <v>PAPEL KRAFT TTC GREENLINE 70 G/M² PACOTE 360 M X 0,38 M</v>
      </c>
      <c r="D597" s="39">
        <f>IFERROR(__xludf.DUMMYFUNCTION("""COMPUTED_VALUE"""),3.0)</f>
        <v>3</v>
      </c>
      <c r="E597" s="34" t="str">
        <f>IFERROR(__xludf.DUMMYFUNCTION("""COMPUTED_VALUE"""),"Saída")</f>
        <v>Saída</v>
      </c>
      <c r="F597" s="34" t="str">
        <f>IFERROR(__xludf.DUMMYFUNCTION("""COMPUTED_VALUE"""),"PMM:livro-voador:")</f>
        <v>PMM:livro-voador:</v>
      </c>
      <c r="G597" s="39">
        <f t="array" ref="G597">XLOOKUP(B597,'Página9'!A:A,'Página9'!F:F,"")</f>
        <v>12</v>
      </c>
      <c r="H597" s="39">
        <f t="array" ref="H597">XLOOKUP(B597,'Página9'!A:A,'Página9'!C:C,"")</f>
        <v>1</v>
      </c>
      <c r="I597" s="35" t="str">
        <f t="array" ref="I597">XLOOKUP(B597,'Página9'!A:A,'Página9'!G:G,"")</f>
        <v>OK</v>
      </c>
      <c r="J597" s="25" t="str">
        <f t="shared" si="1"/>
        <v>PMM</v>
      </c>
      <c r="K597" s="25" t="str">
        <f>IFERROR(__xludf.DUMMYFUNCTION("""COMPUTED_VALUE"""),"Rejane Fontes De Sousa")</f>
        <v>Rejane Fontes De Sousa</v>
      </c>
    </row>
    <row r="598">
      <c r="A598" s="37">
        <f>IFERROR(__xludf.DUMMYFUNCTION("""COMPUTED_VALUE"""),46030.603842592594)</f>
        <v>46030.60384</v>
      </c>
      <c r="B598" s="42" t="str">
        <f>IFERROR(__xludf.DUMMYFUNCTION("""COMPUTED_VALUE"""),"MCC046UC0526")</f>
        <v>MCC046UC0526</v>
      </c>
      <c r="C598" s="31" t="str">
        <f>IFERROR(__xludf.DUMMYFUNCTION("""COMPUTED_VALUE"""),"CANETA PINCEL ATOMICO PRETA PILOT 1100")</f>
        <v>CANETA PINCEL ATOMICO PRETA PILOT 1100</v>
      </c>
      <c r="D598" s="39">
        <f>IFERROR(__xludf.DUMMYFUNCTION("""COMPUTED_VALUE"""),3.0)</f>
        <v>3</v>
      </c>
      <c r="E598" s="34" t="str">
        <f>IFERROR(__xludf.DUMMYFUNCTION("""COMPUTED_VALUE"""),"Saída")</f>
        <v>Saída</v>
      </c>
      <c r="F598" s="34" t="str">
        <f>IFERROR(__xludf.DUMMYFUNCTION("""COMPUTED_VALUE"""),"Expedição:ex-escolas-exponenciais:")</f>
        <v>Expedição:ex-escolas-exponenciais:</v>
      </c>
      <c r="G598" s="39">
        <f t="array" ref="G598">XLOOKUP(B598,'Página9'!A:A,'Página9'!F:F,"")</f>
        <v>1</v>
      </c>
      <c r="H598" s="39">
        <f t="array" ref="H598">XLOOKUP(B598,'Página9'!A:A,'Página9'!C:C,"")</f>
        <v>3</v>
      </c>
      <c r="I598" s="35" t="str">
        <f t="array" ref="I598">XLOOKUP(B598,'Página9'!A:A,'Página9'!G:G,"")</f>
        <v>REPOR ESTOQUE</v>
      </c>
      <c r="J598" s="25" t="str">
        <f t="shared" si="1"/>
        <v>EXPEDIÇÃO</v>
      </c>
      <c r="K598" s="25" t="str">
        <f>IFERROR(__xludf.DUMMYFUNCTION("""COMPUTED_VALUE"""),"Allison Breno Da Costa Borges Soares")</f>
        <v>Allison Breno Da Costa Borges Soares</v>
      </c>
    </row>
    <row r="599">
      <c r="A599" s="37">
        <f>IFERROR(__xludf.DUMMYFUNCTION("""COMPUTED_VALUE"""),46030.74444444444)</f>
        <v>46030.74444</v>
      </c>
      <c r="B599" s="42" t="str">
        <f>IFERROR(__xludf.DUMMYFUNCTION("""COMPUTED_VALUE"""),"MCC015UC0008")</f>
        <v>MCC015UC0008</v>
      </c>
      <c r="C599" s="31" t="str">
        <f>IFERROR(__xludf.DUMMYFUNCTION("""COMPUTED_VALUE"""),"FILME STRETCH 500X25")</f>
        <v>FILME STRETCH 500X25</v>
      </c>
      <c r="D599" s="39">
        <f>IFERROR(__xludf.DUMMYFUNCTION("""COMPUTED_VALUE"""),5.0)</f>
        <v>5</v>
      </c>
      <c r="E599" s="34" t="str">
        <f>IFERROR(__xludf.DUMMYFUNCTION("""COMPUTED_VALUE"""),"Saída")</f>
        <v>Saída</v>
      </c>
      <c r="F599" s="34" t="str">
        <f>IFERROR(__xludf.DUMMYFUNCTION("""COMPUTED_VALUE"""),"Expedição:ex-escolas-exponenciais:")</f>
        <v>Expedição:ex-escolas-exponenciais:</v>
      </c>
      <c r="G599" s="39">
        <f t="array" ref="G599">XLOOKUP(B599,'Página9'!A:A,'Página9'!F:F,"")</f>
        <v>-158</v>
      </c>
      <c r="H599" s="39">
        <f t="array" ref="H599">XLOOKUP(B599,'Página9'!A:A,'Página9'!C:C,"")</f>
        <v>40</v>
      </c>
      <c r="I599" s="35" t="str">
        <f t="array" ref="I599">XLOOKUP(B599,'Página9'!A:A,'Página9'!G:G,"")</f>
        <v>REPOR ESTOQUE</v>
      </c>
      <c r="J599" s="25" t="str">
        <f t="shared" si="1"/>
        <v>EXPEDIÇÃO</v>
      </c>
      <c r="K599" s="25" t="str">
        <f>IFERROR(__xludf.DUMMYFUNCTION("""COMPUTED_VALUE"""),"Jose Antoniel Silva Mesquita")</f>
        <v>Jose Antoniel Silva Mesquita</v>
      </c>
    </row>
    <row r="600">
      <c r="A600" s="37">
        <f>IFERROR(__xludf.DUMMYFUNCTION("""COMPUTED_VALUE"""),46030.80237268518)</f>
        <v>46030.80237</v>
      </c>
      <c r="B600" s="42" t="str">
        <f>IFERROR(__xludf.DUMMYFUNCTION("""COMPUTED_VALUE"""),"MCC015UC0045")</f>
        <v>MCC015UC0045</v>
      </c>
      <c r="C600" s="31" t="str">
        <f>IFERROR(__xludf.DUMMYFUNCTION("""COMPUTED_VALUE"""),"FITA ADESIVA 69MM X 100M")</f>
        <v>FITA ADESIVA 69MM X 100M</v>
      </c>
      <c r="D600" s="39">
        <f>IFERROR(__xludf.DUMMYFUNCTION("""COMPUTED_VALUE"""),3.0)</f>
        <v>3</v>
      </c>
      <c r="E600" s="34" t="str">
        <f>IFERROR(__xludf.DUMMYFUNCTION("""COMPUTED_VALUE"""),"Saída")</f>
        <v>Saída</v>
      </c>
      <c r="F600" s="34" t="str">
        <f>IFERROR(__xludf.DUMMYFUNCTION("""COMPUTED_VALUE"""),"Expedição:ex-escolas-exponenciais:")</f>
        <v>Expedição:ex-escolas-exponenciais:</v>
      </c>
      <c r="G600" s="39">
        <f t="array" ref="G600">XLOOKUP(B600,'Página9'!A:A,'Página9'!F:F,"")</f>
        <v>287</v>
      </c>
      <c r="H600" s="39">
        <f t="array" ref="H600">XLOOKUP(B600,'Página9'!A:A,'Página9'!C:C,"")</f>
        <v>20</v>
      </c>
      <c r="I600" s="35" t="str">
        <f t="array" ref="I600">XLOOKUP(B600,'Página9'!A:A,'Página9'!G:G,"")</f>
        <v>OK</v>
      </c>
      <c r="J600" s="25" t="str">
        <f t="shared" si="1"/>
        <v>EXPEDIÇÃO</v>
      </c>
      <c r="K600" s="25" t="str">
        <f>IFERROR(__xludf.DUMMYFUNCTION("""COMPUTED_VALUE"""),"Matheus De Almeida Rodrigues")</f>
        <v>Matheus De Almeida Rodrigues</v>
      </c>
    </row>
    <row r="601">
      <c r="A601" s="37">
        <f>IFERROR(__xludf.DUMMYFUNCTION("""COMPUTED_VALUE"""),46031.62741898148)</f>
        <v>46031.62742</v>
      </c>
      <c r="B601" s="42" t="str">
        <f>IFERROR(__xludf.DUMMYFUNCTION("""COMPUTED_VALUE"""),"MCC015UC0008")</f>
        <v>MCC015UC0008</v>
      </c>
      <c r="C601" s="31" t="str">
        <f>IFERROR(__xludf.DUMMYFUNCTION("""COMPUTED_VALUE"""),"FILME STRETCH 500X25")</f>
        <v>FILME STRETCH 500X25</v>
      </c>
      <c r="D601" s="39">
        <f>IFERROR(__xludf.DUMMYFUNCTION("""COMPUTED_VALUE"""),30.0)</f>
        <v>30</v>
      </c>
      <c r="E601" s="34" t="str">
        <f>IFERROR(__xludf.DUMMYFUNCTION("""COMPUTED_VALUE"""),"Saída")</f>
        <v>Saída</v>
      </c>
      <c r="F601" s="34" t="str">
        <f>IFERROR(__xludf.DUMMYFUNCTION("""COMPUTED_VALUE"""),"Recebimento:truck:")</f>
        <v>Recebimento:truck:</v>
      </c>
      <c r="G601" s="39">
        <f t="array" ref="G601">XLOOKUP(B601,'Página9'!A:A,'Página9'!F:F,"")</f>
        <v>-158</v>
      </c>
      <c r="H601" s="39">
        <f t="array" ref="H601">XLOOKUP(B601,'Página9'!A:A,'Página9'!C:C,"")</f>
        <v>40</v>
      </c>
      <c r="I601" s="35" t="str">
        <f t="array" ref="I601">XLOOKUP(B601,'Página9'!A:A,'Página9'!G:G,"")</f>
        <v>REPOR ESTOQUE</v>
      </c>
      <c r="J601" s="25" t="str">
        <f t="shared" si="1"/>
        <v>RECEBIMENTO</v>
      </c>
      <c r="K601" s="25" t="str">
        <f>IFERROR(__xludf.DUMMYFUNCTION("""COMPUTED_VALUE"""),"Allison Breno Da Costa Borges Soares")</f>
        <v>Allison Breno Da Costa Borges Soares</v>
      </c>
    </row>
    <row r="602">
      <c r="A602" s="37">
        <f>IFERROR(__xludf.DUMMYFUNCTION("""COMPUTED_VALUE"""),46031.78065972222)</f>
        <v>46031.78066</v>
      </c>
      <c r="B602" s="42" t="str">
        <f>IFERROR(__xludf.DUMMYFUNCTION("""COMPUTED_VALUE"""),"MCC049UC0600")</f>
        <v>MCC049UC0600</v>
      </c>
      <c r="C602" s="31" t="str">
        <f>IFERROR(__xludf.DUMMYFUNCTION("""COMPUTED_VALUE"""),"FITA ADESIVA P/ CACHORRO PERSONALIZADA")</f>
        <v>FITA ADESIVA P/ CACHORRO PERSONALIZADA</v>
      </c>
      <c r="D602" s="39">
        <f>IFERROR(__xludf.DUMMYFUNCTION("""COMPUTED_VALUE"""),24.0)</f>
        <v>24</v>
      </c>
      <c r="E602" s="34" t="str">
        <f>IFERROR(__xludf.DUMMYFUNCTION("""COMPUTED_VALUE"""),"Saída")</f>
        <v>Saída</v>
      </c>
      <c r="F602" s="34" t="str">
        <f>IFERROR(__xludf.DUMMYFUNCTION("""COMPUTED_VALUE"""),"Expedição:ex-escolas-exponenciais:")</f>
        <v>Expedição:ex-escolas-exponenciais:</v>
      </c>
      <c r="G602" s="39">
        <f t="array" ref="G602">XLOOKUP(B602,'Página9'!A:A,'Página9'!F:F,"")</f>
        <v>156</v>
      </c>
      <c r="H602" s="39">
        <f t="array" ref="H602">XLOOKUP(B602,'Página9'!A:A,'Página9'!C:C,"")</f>
        <v>10</v>
      </c>
      <c r="I602" s="35" t="str">
        <f t="array" ref="I602">XLOOKUP(B602,'Página9'!A:A,'Página9'!G:G,"")</f>
        <v>OK</v>
      </c>
      <c r="J602" s="25" t="str">
        <f t="shared" si="1"/>
        <v>EXPEDIÇÃO</v>
      </c>
      <c r="K602" s="25" t="str">
        <f>IFERROR(__xludf.DUMMYFUNCTION("""COMPUTED_VALUE"""),"Cosme Marcio Barros Barbosa")</f>
        <v>Cosme Marcio Barros Barbosa</v>
      </c>
    </row>
    <row r="603">
      <c r="A603" s="37">
        <f>IFERROR(__xludf.DUMMYFUNCTION("""COMPUTED_VALUE"""),46034.49048611111)</f>
        <v>46034.49049</v>
      </c>
      <c r="B603" s="42" t="str">
        <f>IFERROR(__xludf.DUMMYFUNCTION("""COMPUTED_VALUE"""),"MCC049UC0288")</f>
        <v>MCC049UC0288</v>
      </c>
      <c r="C603" s="31" t="str">
        <f>IFERROR(__xludf.DUMMYFUNCTION("""COMPUTED_VALUE"""),"FITILHO POLIPROPILENO P/EMBALAGEM")</f>
        <v>FITILHO POLIPROPILENO P/EMBALAGEM</v>
      </c>
      <c r="D603" s="39">
        <f>IFERROR(__xludf.DUMMYFUNCTION("""COMPUTED_VALUE"""),5.0)</f>
        <v>5</v>
      </c>
      <c r="E603" s="34" t="str">
        <f>IFERROR(__xludf.DUMMYFUNCTION("""COMPUTED_VALUE"""),"Saída")</f>
        <v>Saída</v>
      </c>
      <c r="F603" s="34" t="str">
        <f>IFERROR(__xludf.DUMMYFUNCTION("""COMPUTED_VALUE"""),"Estoque:package:")</f>
        <v>Estoque:package:</v>
      </c>
      <c r="G603" s="39">
        <f t="array" ref="G603">XLOOKUP(B603,'Página9'!A:A,'Página9'!F:F,"")</f>
        <v>-24</v>
      </c>
      <c r="H603" s="39">
        <f t="array" ref="H603">XLOOKUP(B603,'Página9'!A:A,'Página9'!C:C,"")</f>
        <v>2</v>
      </c>
      <c r="I603" s="35" t="str">
        <f t="array" ref="I603">XLOOKUP(B603,'Página9'!A:A,'Página9'!G:G,"")</f>
        <v>REPOR ESTOQUE</v>
      </c>
      <c r="J603" s="25" t="str">
        <f t="shared" si="1"/>
        <v>ESTOQUE</v>
      </c>
      <c r="K603" s="25" t="str">
        <f>IFERROR(__xludf.DUMMYFUNCTION("""COMPUTED_VALUE"""),"Rejane Fontes De Sousa")</f>
        <v>Rejane Fontes De Sousa</v>
      </c>
    </row>
    <row r="604">
      <c r="A604" s="37">
        <f>IFERROR(__xludf.DUMMYFUNCTION("""COMPUTED_VALUE"""),46034.50649305555)</f>
        <v>46034.50649</v>
      </c>
      <c r="B604" s="42" t="str">
        <f>IFERROR(__xludf.DUMMYFUNCTION("""COMPUTED_VALUE"""),"MCC046UC0082")</f>
        <v>MCC046UC0082</v>
      </c>
      <c r="C604" s="31" t="str">
        <f>IFERROR(__xludf.DUMMYFUNCTION("""COMPUTED_VALUE"""),"PAPEL SULFITE A4 75G 500 FOLHAS")</f>
        <v>PAPEL SULFITE A4 75G 500 FOLHAS</v>
      </c>
      <c r="D604" s="39">
        <f>IFERROR(__xludf.DUMMYFUNCTION("""COMPUTED_VALUE"""),91.0)</f>
        <v>91</v>
      </c>
      <c r="E604" s="34" t="str">
        <f>IFERROR(__xludf.DUMMYFUNCTION("""COMPUTED_VALUE"""),"Saída")</f>
        <v>Saída</v>
      </c>
      <c r="F604" s="34" t="str">
        <f>IFERROR(__xludf.DUMMYFUNCTION("""COMPUTED_VALUE"""),"Expedição:ex-escolas-exponenciais:")</f>
        <v>Expedição:ex-escolas-exponenciais:</v>
      </c>
      <c r="G604" s="39">
        <f t="array" ref="G604">XLOOKUP(B604,'Página9'!A:A,'Página9'!F:F,"")</f>
        <v>163</v>
      </c>
      <c r="H604" s="39">
        <f t="array" ref="H604">XLOOKUP(B604,'Página9'!A:A,'Página9'!C:C,"")</f>
        <v>10</v>
      </c>
      <c r="I604" s="35" t="str">
        <f t="array" ref="I604">XLOOKUP(B604,'Página9'!A:A,'Página9'!G:G,"")</f>
        <v>OK</v>
      </c>
      <c r="J604" s="25" t="str">
        <f t="shared" si="1"/>
        <v>EXPEDIÇÃO</v>
      </c>
      <c r="K604" s="25" t="str">
        <f>IFERROR(__xludf.DUMMYFUNCTION("""COMPUTED_VALUE"""),"Francisco Edson Oliveira Dos Santos Vieira")</f>
        <v>Francisco Edson Oliveira Dos Santos Vieira</v>
      </c>
    </row>
    <row r="605">
      <c r="A605" s="37">
        <f>IFERROR(__xludf.DUMMYFUNCTION("""COMPUTED_VALUE"""),46034.576689814814)</f>
        <v>46034.57669</v>
      </c>
      <c r="B605" s="42" t="str">
        <f>IFERROR(__xludf.DUMMYFUNCTION("""COMPUTED_VALUE"""),"MCC046UC0695")</f>
        <v>MCC046UC0695</v>
      </c>
      <c r="C605" s="31" t="str">
        <f>IFERROR(__xludf.DUMMYFUNCTION("""COMPUTED_VALUE"""),"ETIQUETA COUCHE 98X50X1")</f>
        <v>ETIQUETA COUCHE 98X50X1</v>
      </c>
      <c r="D605" s="39">
        <f>IFERROR(__xludf.DUMMYFUNCTION("""COMPUTED_VALUE"""),1.0)</f>
        <v>1</v>
      </c>
      <c r="E605" s="34" t="str">
        <f>IFERROR(__xludf.DUMMYFUNCTION("""COMPUTED_VALUE"""),"Saída")</f>
        <v>Saída</v>
      </c>
      <c r="F605" s="34" t="str">
        <f>IFERROR(__xludf.DUMMYFUNCTION("""COMPUTED_VALUE"""),"Expedição:ex-escolas-exponenciais:")</f>
        <v>Expedição:ex-escolas-exponenciais:</v>
      </c>
      <c r="G605" s="39">
        <f t="array" ref="G605">XLOOKUP(B605,'Página9'!A:A,'Página9'!F:F,"")</f>
        <v>256</v>
      </c>
      <c r="H605" s="39">
        <f t="array" ref="H605">XLOOKUP(B605,'Página9'!A:A,'Página9'!C:C,"")</f>
        <v>20</v>
      </c>
      <c r="I605" s="35" t="str">
        <f t="array" ref="I605">XLOOKUP(B605,'Página9'!A:A,'Página9'!G:G,"")</f>
        <v>OK</v>
      </c>
      <c r="J605" s="25" t="str">
        <f t="shared" si="1"/>
        <v>EXPEDIÇÃO</v>
      </c>
      <c r="K605" s="25" t="str">
        <f>IFERROR(__xludf.DUMMYFUNCTION("""COMPUTED_VALUE"""),"Francisco Renato Da Silva De Oliveira Junior")</f>
        <v>Francisco Renato Da Silva De Oliveira Junior</v>
      </c>
    </row>
    <row r="606">
      <c r="A606" s="37">
        <f>IFERROR(__xludf.DUMMYFUNCTION("""COMPUTED_VALUE"""),46034.70460648148)</f>
        <v>46034.70461</v>
      </c>
      <c r="B606" s="42" t="str">
        <f>IFERROR(__xludf.DUMMYFUNCTION("""COMPUTED_VALUE"""),"MCC046UC0398")</f>
        <v>MCC046UC0398</v>
      </c>
      <c r="C606" s="31" t="str">
        <f>IFERROR(__xludf.DUMMYFUNCTION("""COMPUTED_VALUE"""),"GRAMPO 26/6 COBREADO CX.C/5000 BACCHI")</f>
        <v>GRAMPO 26/6 COBREADO CX.C/5000 BACCHI</v>
      </c>
      <c r="D606" s="39">
        <f>IFERROR(__xludf.DUMMYFUNCTION("""COMPUTED_VALUE"""),1.0)</f>
        <v>1</v>
      </c>
      <c r="E606" s="34" t="str">
        <f>IFERROR(__xludf.DUMMYFUNCTION("""COMPUTED_VALUE"""),"Saída")</f>
        <v>Saída</v>
      </c>
      <c r="F606" s="34" t="str">
        <f>IFERROR(__xludf.DUMMYFUNCTION("""COMPUTED_VALUE"""),"Expedição:ex-escolas-exponenciais:")</f>
        <v>Expedição:ex-escolas-exponenciais:</v>
      </c>
      <c r="G606" s="39">
        <f t="array" ref="G606">XLOOKUP(B606,'Página9'!A:A,'Página9'!F:F,"")</f>
        <v>-13</v>
      </c>
      <c r="H606" s="39">
        <f t="array" ref="H606">XLOOKUP(B606,'Página9'!A:A,'Página9'!C:C,"")</f>
        <v>3</v>
      </c>
      <c r="I606" s="35" t="str">
        <f t="array" ref="I606">XLOOKUP(B606,'Página9'!A:A,'Página9'!G:G,"")</f>
        <v>REPOR ESTOQUE</v>
      </c>
      <c r="J606" s="25" t="str">
        <f t="shared" si="1"/>
        <v>EXPEDIÇÃO</v>
      </c>
      <c r="K606" s="25" t="str">
        <f>IFERROR(__xludf.DUMMYFUNCTION("""COMPUTED_VALUE"""),"Gabriel De Sousa Freitas")</f>
        <v>Gabriel De Sousa Freitas</v>
      </c>
    </row>
    <row r="607">
      <c r="A607" s="37">
        <f>IFERROR(__xludf.DUMMYFUNCTION("""COMPUTED_VALUE"""),46034.70552083333)</f>
        <v>46034.70552</v>
      </c>
      <c r="B607" s="42" t="str">
        <f>IFERROR(__xludf.DUMMYFUNCTION("""COMPUTED_VALUE"""),"MCC015UC0045")</f>
        <v>MCC015UC0045</v>
      </c>
      <c r="C607" s="31" t="str">
        <f>IFERROR(__xludf.DUMMYFUNCTION("""COMPUTED_VALUE"""),"FITA ADESIVA 69MM X 100M")</f>
        <v>FITA ADESIVA 69MM X 100M</v>
      </c>
      <c r="D607" s="39">
        <f>IFERROR(__xludf.DUMMYFUNCTION("""COMPUTED_VALUE"""),8.0)</f>
        <v>8</v>
      </c>
      <c r="E607" s="34" t="str">
        <f>IFERROR(__xludf.DUMMYFUNCTION("""COMPUTED_VALUE"""),"Saída")</f>
        <v>Saída</v>
      </c>
      <c r="F607" s="34" t="str">
        <f>IFERROR(__xludf.DUMMYFUNCTION("""COMPUTED_VALUE"""),"Expedição:ex-escolas-exponenciais:")</f>
        <v>Expedição:ex-escolas-exponenciais:</v>
      </c>
      <c r="G607" s="39">
        <f t="array" ref="G607">XLOOKUP(B607,'Página9'!A:A,'Página9'!F:F,"")</f>
        <v>287</v>
      </c>
      <c r="H607" s="39">
        <f t="array" ref="H607">XLOOKUP(B607,'Página9'!A:A,'Página9'!C:C,"")</f>
        <v>20</v>
      </c>
      <c r="I607" s="35" t="str">
        <f t="array" ref="I607">XLOOKUP(B607,'Página9'!A:A,'Página9'!G:G,"")</f>
        <v>OK</v>
      </c>
      <c r="J607" s="25" t="str">
        <f t="shared" si="1"/>
        <v>EXPEDIÇÃO</v>
      </c>
      <c r="K607" s="25" t="str">
        <f>IFERROR(__xludf.DUMMYFUNCTION("""COMPUTED_VALUE"""),"Gabriel De Sousa Freitas")</f>
        <v>Gabriel De Sousa Freitas</v>
      </c>
    </row>
    <row r="608">
      <c r="A608" s="37">
        <f>IFERROR(__xludf.DUMMYFUNCTION("""COMPUTED_VALUE"""),46034.70689814815)</f>
        <v>46034.7069</v>
      </c>
      <c r="B608" s="42" t="str">
        <f>IFERROR(__xludf.DUMMYFUNCTION("""COMPUTED_VALUE"""),"MCC046UC0695")</f>
        <v>MCC046UC0695</v>
      </c>
      <c r="C608" s="31" t="str">
        <f>IFERROR(__xludf.DUMMYFUNCTION("""COMPUTED_VALUE"""),"ETIQUETA COUCHE 98X50X1")</f>
        <v>ETIQUETA COUCHE 98X50X1</v>
      </c>
      <c r="D608" s="39">
        <f>IFERROR(__xludf.DUMMYFUNCTION("""COMPUTED_VALUE"""),3.0)</f>
        <v>3</v>
      </c>
      <c r="E608" s="34" t="str">
        <f>IFERROR(__xludf.DUMMYFUNCTION("""COMPUTED_VALUE"""),"Saída")</f>
        <v>Saída</v>
      </c>
      <c r="F608" s="34" t="str">
        <f>IFERROR(__xludf.DUMMYFUNCTION("""COMPUTED_VALUE"""),"Expedição:ex-escolas-exponenciais:")</f>
        <v>Expedição:ex-escolas-exponenciais:</v>
      </c>
      <c r="G608" s="39">
        <f t="array" ref="G608">XLOOKUP(B608,'Página9'!A:A,'Página9'!F:F,"")</f>
        <v>256</v>
      </c>
      <c r="H608" s="39">
        <f t="array" ref="H608">XLOOKUP(B608,'Página9'!A:A,'Página9'!C:C,"")</f>
        <v>20</v>
      </c>
      <c r="I608" s="35" t="str">
        <f t="array" ref="I608">XLOOKUP(B608,'Página9'!A:A,'Página9'!G:G,"")</f>
        <v>OK</v>
      </c>
      <c r="J608" s="25" t="str">
        <f t="shared" si="1"/>
        <v>EXPEDIÇÃO</v>
      </c>
      <c r="K608" s="25" t="str">
        <f>IFERROR(__xludf.DUMMYFUNCTION("""COMPUTED_VALUE"""),"Gabriel De Sousa Freitas")</f>
        <v>Gabriel De Sousa Freitas</v>
      </c>
    </row>
    <row r="609">
      <c r="A609" s="37">
        <f>IFERROR(__xludf.DUMMYFUNCTION("""COMPUTED_VALUE"""),46034.72467592593)</f>
        <v>46034.72468</v>
      </c>
      <c r="B609" s="42" t="str">
        <f>IFERROR(__xludf.DUMMYFUNCTION("""COMPUTED_VALUE"""),"MCC046UC0638")</f>
        <v>MCC046UC0638</v>
      </c>
      <c r="C609" s="31" t="str">
        <f>IFERROR(__xludf.DUMMYFUNCTION("""COMPUTED_VALUE"""),"PILHA ALCALINA ELGIN PALITO AAA")</f>
        <v>PILHA ALCALINA ELGIN PALITO AAA</v>
      </c>
      <c r="D609" s="39">
        <f>IFERROR(__xludf.DUMMYFUNCTION("""COMPUTED_VALUE"""),8.0)</f>
        <v>8</v>
      </c>
      <c r="E609" s="34" t="str">
        <f>IFERROR(__xludf.DUMMYFUNCTION("""COMPUTED_VALUE"""),"Saída")</f>
        <v>Saída</v>
      </c>
      <c r="F609" s="34" t="str">
        <f>IFERROR(__xludf.DUMMYFUNCTION("""COMPUTED_VALUE"""),"Expedição:ex-escolas-exponenciais:")</f>
        <v>Expedição:ex-escolas-exponenciais:</v>
      </c>
      <c r="G609" s="39">
        <f t="array" ref="G609">XLOOKUP(B609,'Página9'!A:A,'Página9'!F:F,"")</f>
        <v>32</v>
      </c>
      <c r="H609" s="39">
        <f t="array" ref="H609">XLOOKUP(B609,'Página9'!A:A,'Página9'!C:C,"")</f>
        <v>4</v>
      </c>
      <c r="I609" s="35" t="str">
        <f t="array" ref="I609">XLOOKUP(B609,'Página9'!A:A,'Página9'!G:G,"")</f>
        <v>OK</v>
      </c>
      <c r="J609" s="25" t="str">
        <f t="shared" si="1"/>
        <v>EXPEDIÇÃO</v>
      </c>
      <c r="K609" s="25" t="str">
        <f>IFERROR(__xludf.DUMMYFUNCTION("""COMPUTED_VALUE"""),"Francisco Edson Oliveira Dos Santos Vieira")</f>
        <v>Francisco Edson Oliveira Dos Santos Vieira</v>
      </c>
    </row>
    <row r="610">
      <c r="A610" s="37">
        <f>IFERROR(__xludf.DUMMYFUNCTION("""COMPUTED_VALUE"""),46035.48768518519)</f>
        <v>46035.48769</v>
      </c>
      <c r="B610" s="42" t="str">
        <f>IFERROR(__xludf.DUMMYFUNCTION("""COMPUTED_VALUE"""),"MCC046UC0597")</f>
        <v>MCC046UC0597</v>
      </c>
      <c r="C610" s="31" t="str">
        <f>IFERROR(__xludf.DUMMYFUNCTION("""COMPUTED_VALUE"""),"ETIQUETA ADESIVA COUCHE ROSA - SAS 105X150MM")</f>
        <v>ETIQUETA ADESIVA COUCHE ROSA - SAS 105X150MM</v>
      </c>
      <c r="D610" s="39">
        <f>IFERROR(__xludf.DUMMYFUNCTION("""COMPUTED_VALUE"""),12.0)</f>
        <v>12</v>
      </c>
      <c r="E610" s="34" t="str">
        <f>IFERROR(__xludf.DUMMYFUNCTION("""COMPUTED_VALUE"""),"Saída")</f>
        <v>Saída</v>
      </c>
      <c r="F610" s="34" t="str">
        <f>IFERROR(__xludf.DUMMYFUNCTION("""COMPUTED_VALUE"""),"Expedição:ex-escolas-exponenciais:")</f>
        <v>Expedição:ex-escolas-exponenciais:</v>
      </c>
      <c r="G610" s="39">
        <f t="array" ref="G610">XLOOKUP(B610,'Página9'!A:A,'Página9'!F:F,"")</f>
        <v>64</v>
      </c>
      <c r="H610" s="39">
        <f t="array" ref="H610">XLOOKUP(B610,'Página9'!A:A,'Página9'!C:C,"")</f>
        <v>5</v>
      </c>
      <c r="I610" s="35" t="str">
        <f t="array" ref="I610">XLOOKUP(B610,'Página9'!A:A,'Página9'!G:G,"")</f>
        <v>OK</v>
      </c>
      <c r="J610" s="25" t="str">
        <f t="shared" si="1"/>
        <v>EXPEDIÇÃO</v>
      </c>
      <c r="K610" s="25" t="str">
        <f>IFERROR(__xludf.DUMMYFUNCTION("""COMPUTED_VALUE"""),"Silvana Da Silva Pereira")</f>
        <v>Silvana Da Silva Pereira</v>
      </c>
    </row>
    <row r="611">
      <c r="A611" s="37">
        <f>IFERROR(__xludf.DUMMYFUNCTION("""COMPUTED_VALUE"""),46035.57790509259)</f>
        <v>46035.57791</v>
      </c>
      <c r="B611" s="42" t="str">
        <f>IFERROR(__xludf.DUMMYFUNCTION("""COMPUTED_VALUE"""),"MCC046UC0599")</f>
        <v>MCC046UC0599</v>
      </c>
      <c r="C611" s="31" t="str">
        <f>IFERROR(__xludf.DUMMYFUNCTION("""COMPUTED_VALUE"""),"ETIQUETA ADESIVA COUCHE AMARELA  - 105X150MM SAS")</f>
        <v>ETIQUETA ADESIVA COUCHE AMARELA  - 105X150MM SAS</v>
      </c>
      <c r="D611" s="39">
        <f>IFERROR(__xludf.DUMMYFUNCTION("""COMPUTED_VALUE"""),3.0)</f>
        <v>3</v>
      </c>
      <c r="E611" s="34" t="str">
        <f>IFERROR(__xludf.DUMMYFUNCTION("""COMPUTED_VALUE"""),"Saída")</f>
        <v>Saída</v>
      </c>
      <c r="F611" s="34" t="str">
        <f>IFERROR(__xludf.DUMMYFUNCTION("""COMPUTED_VALUE"""),"CIQ :qualidade:")</f>
        <v>CIQ :qualidade:</v>
      </c>
      <c r="G611" s="39">
        <f t="array" ref="G611">XLOOKUP(B611,'Página9'!A:A,'Página9'!F:F,"")</f>
        <v>25</v>
      </c>
      <c r="H611" s="39">
        <f t="array" ref="H611">XLOOKUP(B611,'Página9'!A:A,'Página9'!C:C,"")</f>
        <v>5</v>
      </c>
      <c r="I611" s="35" t="str">
        <f t="array" ref="I611">XLOOKUP(B611,'Página9'!A:A,'Página9'!G:G,"")</f>
        <v>OK</v>
      </c>
      <c r="J611" s="25" t="str">
        <f t="shared" si="1"/>
        <v>CIQ</v>
      </c>
      <c r="K611" s="25" t="str">
        <f>IFERROR(__xludf.DUMMYFUNCTION("""COMPUTED_VALUE"""),"Cosme Marcio Barros Barbosa")</f>
        <v>Cosme Marcio Barros Barbosa</v>
      </c>
    </row>
    <row r="612">
      <c r="A612" s="37">
        <f>IFERROR(__xludf.DUMMYFUNCTION("""COMPUTED_VALUE"""),46035.57848379629)</f>
        <v>46035.57848</v>
      </c>
      <c r="B612" s="42" t="str">
        <f>IFERROR(__xludf.DUMMYFUNCTION("""COMPUTED_VALUE"""),"MCC049UC0516")</f>
        <v>MCC049UC0516</v>
      </c>
      <c r="C612" s="31" t="str">
        <f>IFERROR(__xludf.DUMMYFUNCTION("""COMPUTED_VALUE"""),"ETIQUETA ADESIVA COUCHE VERDE CLARO - 105X150MM")</f>
        <v>ETIQUETA ADESIVA COUCHE VERDE CLARO - 105X150MM</v>
      </c>
      <c r="D612" s="39">
        <f>IFERROR(__xludf.DUMMYFUNCTION("""COMPUTED_VALUE"""),3.0)</f>
        <v>3</v>
      </c>
      <c r="E612" s="34" t="str">
        <f>IFERROR(__xludf.DUMMYFUNCTION("""COMPUTED_VALUE"""),"Saída")</f>
        <v>Saída</v>
      </c>
      <c r="F612" s="34" t="str">
        <f>IFERROR(__xludf.DUMMYFUNCTION("""COMPUTED_VALUE"""),"Estoque:package:")</f>
        <v>Estoque:package:</v>
      </c>
      <c r="G612" s="39">
        <f t="array" ref="G612">XLOOKUP(B612,'Página9'!A:A,'Página9'!F:F,"")</f>
        <v>70</v>
      </c>
      <c r="H612" s="39">
        <f t="array" ref="H612">XLOOKUP(B612,'Página9'!A:A,'Página9'!C:C,"")</f>
        <v>5</v>
      </c>
      <c r="I612" s="35" t="str">
        <f t="array" ref="I612">XLOOKUP(B612,'Página9'!A:A,'Página9'!G:G,"")</f>
        <v>OK</v>
      </c>
      <c r="J612" s="25" t="str">
        <f t="shared" si="1"/>
        <v>ESTOQUE</v>
      </c>
      <c r="K612" s="25" t="str">
        <f>IFERROR(__xludf.DUMMYFUNCTION("""COMPUTED_VALUE"""),"Cosme Marcio Barros Barbosa")</f>
        <v>Cosme Marcio Barros Barbosa</v>
      </c>
    </row>
    <row r="613">
      <c r="A613" s="37">
        <f>IFERROR(__xludf.DUMMYFUNCTION("""COMPUTED_VALUE"""),46035.57907407408)</f>
        <v>46035.57907</v>
      </c>
      <c r="B613" s="42" t="str">
        <f>IFERROR(__xludf.DUMMYFUNCTION("""COMPUTED_VALUE"""),"MCC046UC0668")</f>
        <v>MCC046UC0668</v>
      </c>
      <c r="C613" s="31" t="str">
        <f>IFERROR(__xludf.DUMMYFUNCTION("""COMPUTED_VALUE"""),"ETIQUETA ADESIVA COUCHE CINZA 100X150X1")</f>
        <v>ETIQUETA ADESIVA COUCHE CINZA 100X150X1</v>
      </c>
      <c r="D613" s="39">
        <f>IFERROR(__xludf.DUMMYFUNCTION("""COMPUTED_VALUE"""),4.0)</f>
        <v>4</v>
      </c>
      <c r="E613" s="34" t="str">
        <f>IFERROR(__xludf.DUMMYFUNCTION("""COMPUTED_VALUE"""),"Saída")</f>
        <v>Saída</v>
      </c>
      <c r="F613" s="34" t="str">
        <f>IFERROR(__xludf.DUMMYFUNCTION("""COMPUTED_VALUE"""),"PMM:livro-voador:")</f>
        <v>PMM:livro-voador:</v>
      </c>
      <c r="G613" s="39">
        <f t="array" ref="G613">XLOOKUP(B613,'Página9'!A:A,'Página9'!F:F,"")</f>
        <v>104</v>
      </c>
      <c r="H613" s="39">
        <f t="array" ref="H613">XLOOKUP(B613,'Página9'!A:A,'Página9'!C:C,"")</f>
        <v>5</v>
      </c>
      <c r="I613" s="35" t="str">
        <f t="array" ref="I613">XLOOKUP(B613,'Página9'!A:A,'Página9'!G:G,"")</f>
        <v>OK</v>
      </c>
      <c r="J613" s="25" t="str">
        <f t="shared" si="1"/>
        <v>PMM</v>
      </c>
      <c r="K613" s="25" t="str">
        <f>IFERROR(__xludf.DUMMYFUNCTION("""COMPUTED_VALUE"""),"Cosme Marcio Barros Barbosa")</f>
        <v>Cosme Marcio Barros Barbosa</v>
      </c>
    </row>
    <row r="614">
      <c r="A614" s="29">
        <f>IFERROR(__xludf.DUMMYFUNCTION("""COMPUTED_VALUE"""),46036.50740740741)</f>
        <v>46036.50741</v>
      </c>
      <c r="B614" s="42" t="str">
        <f>IFERROR(__xludf.DUMMYFUNCTION("""COMPUTED_VALUE"""),"MCC015UC0008")</f>
        <v>MCC015UC0008</v>
      </c>
      <c r="C614" s="31" t="str">
        <f>IFERROR(__xludf.DUMMYFUNCTION("""COMPUTED_VALUE"""),"FILME STRETCH 500X25")</f>
        <v>FILME STRETCH 500X25</v>
      </c>
      <c r="D614" s="39">
        <f>IFERROR(__xludf.DUMMYFUNCTION("""COMPUTED_VALUE"""),6.0)</f>
        <v>6</v>
      </c>
      <c r="E614" s="34" t="str">
        <f>IFERROR(__xludf.DUMMYFUNCTION("""COMPUTED_VALUE"""),"Saída")</f>
        <v>Saída</v>
      </c>
      <c r="F614" s="34" t="str">
        <f>IFERROR(__xludf.DUMMYFUNCTION("""COMPUTED_VALUE"""),"PMM:livro-voador:")</f>
        <v>PMM:livro-voador:</v>
      </c>
      <c r="G614" s="39">
        <f t="array" ref="G614">XLOOKUP(B614,'Página9'!A:A,'Página9'!F:F,"")</f>
        <v>-158</v>
      </c>
      <c r="H614" s="39">
        <f t="array" ref="H614">XLOOKUP(B614,'Página9'!A:A,'Página9'!C:C,"")</f>
        <v>40</v>
      </c>
      <c r="I614" s="35" t="str">
        <f t="array" ref="I614">XLOOKUP(B614,'Página9'!A:A,'Página9'!G:G,"")</f>
        <v>REPOR ESTOQUE</v>
      </c>
      <c r="J614" s="25" t="str">
        <f t="shared" si="1"/>
        <v>PMM</v>
      </c>
      <c r="K614" s="25" t="str">
        <f>IFERROR(__xludf.DUMMYFUNCTION("""COMPUTED_VALUE"""),"Philipe Araujo Barroso")</f>
        <v>Philipe Araujo Barroso</v>
      </c>
    </row>
    <row r="615">
      <c r="A615" s="29">
        <f>IFERROR(__xludf.DUMMYFUNCTION("""COMPUTED_VALUE"""),46036.58988425926)</f>
        <v>46036.58988</v>
      </c>
      <c r="B615" s="42" t="str">
        <f>IFERROR(__xludf.DUMMYFUNCTION("""COMPUTED_VALUE"""),"MCC015UC0008")</f>
        <v>MCC015UC0008</v>
      </c>
      <c r="C615" s="31" t="str">
        <f>IFERROR(__xludf.DUMMYFUNCTION("""COMPUTED_VALUE"""),"FILME STRETCH 500X25")</f>
        <v>FILME STRETCH 500X25</v>
      </c>
      <c r="D615" s="39">
        <f>IFERROR(__xludf.DUMMYFUNCTION("""COMPUTED_VALUE"""),8.0)</f>
        <v>8</v>
      </c>
      <c r="E615" s="34" t="str">
        <f>IFERROR(__xludf.DUMMYFUNCTION("""COMPUTED_VALUE"""),"Saída")</f>
        <v>Saída</v>
      </c>
      <c r="F615" s="34" t="str">
        <f>IFERROR(__xludf.DUMMYFUNCTION("""COMPUTED_VALUE"""),"Recebimento:truck:")</f>
        <v>Recebimento:truck:</v>
      </c>
      <c r="G615" s="39">
        <f t="array" ref="G615">XLOOKUP(B615,'Página9'!A:A,'Página9'!F:F,"")</f>
        <v>-158</v>
      </c>
      <c r="H615" s="39">
        <f t="array" ref="H615">XLOOKUP(B615,'Página9'!A:A,'Página9'!C:C,"")</f>
        <v>40</v>
      </c>
      <c r="I615" s="35" t="str">
        <f t="array" ref="I615">XLOOKUP(B615,'Página9'!A:A,'Página9'!G:G,"")</f>
        <v>REPOR ESTOQUE</v>
      </c>
      <c r="J615" s="25" t="str">
        <f t="shared" si="1"/>
        <v>RECEBIMENTO</v>
      </c>
      <c r="K615" s="25" t="str">
        <f>IFERROR(__xludf.DUMMYFUNCTION("""COMPUTED_VALUE"""),"Rejane Fontes De Sousa")</f>
        <v>Rejane Fontes De Sousa</v>
      </c>
    </row>
    <row r="616">
      <c r="A616" s="29">
        <f>IFERROR(__xludf.DUMMYFUNCTION("""COMPUTED_VALUE"""),46036.746724537035)</f>
        <v>46036.74672</v>
      </c>
      <c r="B616" s="42" t="str">
        <f>IFERROR(__xludf.DUMMYFUNCTION("""COMPUTED_VALUE"""),"MCC015UC0008")</f>
        <v>MCC015UC0008</v>
      </c>
      <c r="C616" s="31" t="str">
        <f>IFERROR(__xludf.DUMMYFUNCTION("""COMPUTED_VALUE"""),"FILME STRETCH 500X25")</f>
        <v>FILME STRETCH 500X25</v>
      </c>
      <c r="D616" s="39">
        <f>IFERROR(__xludf.DUMMYFUNCTION("""COMPUTED_VALUE"""),12.0)</f>
        <v>12</v>
      </c>
      <c r="E616" s="34" t="str">
        <f>IFERROR(__xludf.DUMMYFUNCTION("""COMPUTED_VALUE"""),"Saída")</f>
        <v>Saída</v>
      </c>
      <c r="F616" s="34" t="str">
        <f>IFERROR(__xludf.DUMMYFUNCTION("""COMPUTED_VALUE"""),"Expedição:ex-escolas-exponenciais:")</f>
        <v>Expedição:ex-escolas-exponenciais:</v>
      </c>
      <c r="G616" s="39">
        <f t="array" ref="G616">XLOOKUP(B616,'Página9'!A:A,'Página9'!F:F,"")</f>
        <v>-158</v>
      </c>
      <c r="H616" s="39">
        <f t="array" ref="H616">XLOOKUP(B616,'Página9'!A:A,'Página9'!C:C,"")</f>
        <v>40</v>
      </c>
      <c r="I616" s="35" t="str">
        <f t="array" ref="I616">XLOOKUP(B616,'Página9'!A:A,'Página9'!G:G,"")</f>
        <v>REPOR ESTOQUE</v>
      </c>
      <c r="J616" s="25" t="str">
        <f t="shared" si="1"/>
        <v>EXPEDIÇÃO</v>
      </c>
      <c r="K616" s="25" t="str">
        <f>IFERROR(__xludf.DUMMYFUNCTION("""COMPUTED_VALUE"""),"Philipe Araujo Barroso")</f>
        <v>Philipe Araujo Barroso</v>
      </c>
    </row>
    <row r="617">
      <c r="A617" s="29">
        <f>IFERROR(__xludf.DUMMYFUNCTION("""COMPUTED_VALUE"""),46037.491793981484)</f>
        <v>46037.49179</v>
      </c>
      <c r="B617" s="42" t="str">
        <f>IFERROR(__xludf.DUMMYFUNCTION("""COMPUTED_VALUE"""),"MCC015UC0008")</f>
        <v>MCC015UC0008</v>
      </c>
      <c r="C617" s="31" t="str">
        <f>IFERROR(__xludf.DUMMYFUNCTION("""COMPUTED_VALUE"""),"FILME STRETCH 500X25")</f>
        <v>FILME STRETCH 500X25</v>
      </c>
      <c r="D617" s="39">
        <f>IFERROR(__xludf.DUMMYFUNCTION("""COMPUTED_VALUE"""),10.0)</f>
        <v>10</v>
      </c>
      <c r="E617" s="34" t="str">
        <f>IFERROR(__xludf.DUMMYFUNCTION("""COMPUTED_VALUE"""),"Saída")</f>
        <v>Saída</v>
      </c>
      <c r="F617" s="34" t="str">
        <f>IFERROR(__xludf.DUMMYFUNCTION("""COMPUTED_VALUE"""),"PMM:livro-voador:")</f>
        <v>PMM:livro-voador:</v>
      </c>
      <c r="G617" s="39">
        <f t="array" ref="G617">XLOOKUP(B617,'Página9'!A:A,'Página9'!F:F,"")</f>
        <v>-158</v>
      </c>
      <c r="H617" s="39">
        <f t="array" ref="H617">XLOOKUP(B617,'Página9'!A:A,'Página9'!C:C,"")</f>
        <v>40</v>
      </c>
      <c r="I617" s="35" t="str">
        <f t="array" ref="I617">XLOOKUP(B617,'Página9'!A:A,'Página9'!G:G,"")</f>
        <v>REPOR ESTOQUE</v>
      </c>
      <c r="J617" s="25" t="str">
        <f t="shared" si="1"/>
        <v>PMM</v>
      </c>
      <c r="K617" s="25" t="str">
        <f>IFERROR(__xludf.DUMMYFUNCTION("""COMPUTED_VALUE"""),"Philipe Araujo Barroso")</f>
        <v>Philipe Araujo Barroso</v>
      </c>
    </row>
    <row r="618">
      <c r="A618" s="29">
        <f>IFERROR(__xludf.DUMMYFUNCTION("""COMPUTED_VALUE"""),46037.495787037034)</f>
        <v>46037.49579</v>
      </c>
      <c r="B618" s="42" t="str">
        <f>IFERROR(__xludf.DUMMYFUNCTION("""COMPUTED_VALUE"""),"MCC015UC0008")</f>
        <v>MCC015UC0008</v>
      </c>
      <c r="C618" s="31" t="str">
        <f>IFERROR(__xludf.DUMMYFUNCTION("""COMPUTED_VALUE"""),"FILME STRETCH 500X25")</f>
        <v>FILME STRETCH 500X25</v>
      </c>
      <c r="D618" s="39">
        <f>IFERROR(__xludf.DUMMYFUNCTION("""COMPUTED_VALUE"""),10.0)</f>
        <v>10</v>
      </c>
      <c r="E618" s="34" t="str">
        <f>IFERROR(__xludf.DUMMYFUNCTION("""COMPUTED_VALUE"""),"Saída")</f>
        <v>Saída</v>
      </c>
      <c r="F618" s="34" t="str">
        <f>IFERROR(__xludf.DUMMYFUNCTION("""COMPUTED_VALUE"""),"PMM:livro-voador:")</f>
        <v>PMM:livro-voador:</v>
      </c>
      <c r="G618" s="39">
        <f t="array" ref="G618">XLOOKUP(B618,'Página9'!A:A,'Página9'!F:F,"")</f>
        <v>-158</v>
      </c>
      <c r="H618" s="39">
        <f t="array" ref="H618">XLOOKUP(B618,'Página9'!A:A,'Página9'!C:C,"")</f>
        <v>40</v>
      </c>
      <c r="I618" s="35" t="str">
        <f t="array" ref="I618">XLOOKUP(B618,'Página9'!A:A,'Página9'!G:G,"")</f>
        <v>REPOR ESTOQUE</v>
      </c>
      <c r="J618" s="25" t="str">
        <f t="shared" si="1"/>
        <v>PMM</v>
      </c>
      <c r="K618" s="25" t="str">
        <f>IFERROR(__xludf.DUMMYFUNCTION("""COMPUTED_VALUE"""),"Rejane Fontes De Sousa")</f>
        <v>Rejane Fontes De Sousa</v>
      </c>
    </row>
    <row r="619">
      <c r="A619" s="29">
        <f>IFERROR(__xludf.DUMMYFUNCTION("""COMPUTED_VALUE"""),46037.52935185185)</f>
        <v>46037.52935</v>
      </c>
      <c r="B619" s="42" t="str">
        <f>IFERROR(__xludf.DUMMYFUNCTION("""COMPUTED_VALUE"""),"MCC046UC0216")</f>
        <v>MCC046UC0216</v>
      </c>
      <c r="C619" s="31" t="str">
        <f>IFERROR(__xludf.DUMMYFUNCTION("""COMPUTED_VALUE"""),"CANETA ESFEROGRAFICA ECONOMIC PRETA BIC")</f>
        <v>CANETA ESFEROGRAFICA ECONOMIC PRETA BIC</v>
      </c>
      <c r="D619" s="39">
        <f>IFERROR(__xludf.DUMMYFUNCTION("""COMPUTED_VALUE"""),1.0)</f>
        <v>1</v>
      </c>
      <c r="E619" s="34" t="str">
        <f>IFERROR(__xludf.DUMMYFUNCTION("""COMPUTED_VALUE"""),"Saída")</f>
        <v>Saída</v>
      </c>
      <c r="F619" s="34" t="str">
        <f>IFERROR(__xludf.DUMMYFUNCTION("""COMPUTED_VALUE"""),"Recebimento:truck:")</f>
        <v>Recebimento:truck:</v>
      </c>
      <c r="G619" s="39">
        <f t="array" ref="G619">XLOOKUP(B619,'Página9'!A:A,'Página9'!F:F,"")</f>
        <v>89</v>
      </c>
      <c r="H619" s="39">
        <f t="array" ref="H619">XLOOKUP(B619,'Página9'!A:A,'Página9'!C:C,"")</f>
        <v>15</v>
      </c>
      <c r="I619" s="35" t="str">
        <f t="array" ref="I619">XLOOKUP(B619,'Página9'!A:A,'Página9'!G:G,"")</f>
        <v>OK</v>
      </c>
      <c r="J619" s="25" t="str">
        <f t="shared" si="1"/>
        <v>RECEBIMENTO</v>
      </c>
      <c r="K619" s="25" t="str">
        <f>IFERROR(__xludf.DUMMYFUNCTION("""COMPUTED_VALUE"""),"Francisco Samuel Trindade Nascimento")</f>
        <v>Francisco Samuel Trindade Nascimento</v>
      </c>
    </row>
    <row r="620">
      <c r="A620" s="29">
        <f>IFERROR(__xludf.DUMMYFUNCTION("""COMPUTED_VALUE"""),46037.69681712963)</f>
        <v>46037.69682</v>
      </c>
      <c r="B620" s="42" t="str">
        <f>IFERROR(__xludf.DUMMYFUNCTION("""COMPUTED_VALUE"""),"MCC049UC0603")</f>
        <v>MCC049UC0603</v>
      </c>
      <c r="C620" s="31" t="str">
        <f>IFERROR(__xludf.DUMMYFUNCTION("""COMPUTED_VALUE"""),"PLASTICO PLASTIF. A-4 220/307 C/100 UN PROLAM")</f>
        <v>PLASTICO PLASTIF. A-4 220/307 C/100 UN PROLAM</v>
      </c>
      <c r="D620" s="39">
        <f>IFERROR(__xludf.DUMMYFUNCTION("""COMPUTED_VALUE"""),1000.0)</f>
        <v>1000</v>
      </c>
      <c r="E620" s="34" t="str">
        <f>IFERROR(__xludf.DUMMYFUNCTION("""COMPUTED_VALUE"""),"Saída")</f>
        <v>Saída</v>
      </c>
      <c r="F620" s="34" t="str">
        <f>IFERROR(__xludf.DUMMYFUNCTION("""COMPUTED_VALUE"""),"Expedição:ex-escolas-exponenciais:")</f>
        <v>Expedição:ex-escolas-exponenciais:</v>
      </c>
      <c r="G620" s="39">
        <f t="array" ref="G620">XLOOKUP(B620,'Página9'!A:A,'Página9'!F:F,"")</f>
        <v>-504</v>
      </c>
      <c r="H620" s="39">
        <f t="array" ref="H620">XLOOKUP(B620,'Página9'!A:A,'Página9'!C:C,"")</f>
        <v>150</v>
      </c>
      <c r="I620" s="35" t="str">
        <f t="array" ref="I620">XLOOKUP(B620,'Página9'!A:A,'Página9'!G:G,"")</f>
        <v>REPOR ESTOQUE</v>
      </c>
      <c r="J620" s="25" t="str">
        <f t="shared" si="1"/>
        <v>EXPEDIÇÃO</v>
      </c>
      <c r="K620" s="25" t="str">
        <f>IFERROR(__xludf.DUMMYFUNCTION("""COMPUTED_VALUE"""),"Jackson Alves Sales")</f>
        <v>Jackson Alves Sales</v>
      </c>
    </row>
    <row r="621">
      <c r="A621" s="29">
        <f>IFERROR(__xludf.DUMMYFUNCTION("""COMPUTED_VALUE"""),46037.75119212963)</f>
        <v>46037.75119</v>
      </c>
      <c r="B621" s="42" t="str">
        <f>IFERROR(__xludf.DUMMYFUNCTION("""COMPUTED_VALUE"""),"MCC046UC0549")</f>
        <v>MCC046UC0549</v>
      </c>
      <c r="C621" s="31" t="str">
        <f>IFERROR(__xludf.DUMMYFUNCTION("""COMPUTED_VALUE"""),"PRANCHETA OFICIO MDF PRENDEDOR METAL ACRIMET 105")</f>
        <v>PRANCHETA OFICIO MDF PRENDEDOR METAL ACRIMET 105</v>
      </c>
      <c r="D621" s="39">
        <f>IFERROR(__xludf.DUMMYFUNCTION("""COMPUTED_VALUE"""),3.0)</f>
        <v>3</v>
      </c>
      <c r="E621" s="34" t="str">
        <f>IFERROR(__xludf.DUMMYFUNCTION("""COMPUTED_VALUE"""),"Saída")</f>
        <v>Saída</v>
      </c>
      <c r="F621" s="34" t="str">
        <f>IFERROR(__xludf.DUMMYFUNCTION("""COMPUTED_VALUE"""),"Recebimento:truck:")</f>
        <v>Recebimento:truck:</v>
      </c>
      <c r="G621" s="39">
        <f t="array" ref="G621">XLOOKUP(B621,'Página9'!A:A,'Página9'!F:F,"")</f>
        <v>-2</v>
      </c>
      <c r="H621" s="39">
        <f t="array" ref="H621">XLOOKUP(B621,'Página9'!A:A,'Página9'!C:C,"")</f>
        <v>5</v>
      </c>
      <c r="I621" s="35" t="str">
        <f t="array" ref="I621">XLOOKUP(B621,'Página9'!A:A,'Página9'!G:G,"")</f>
        <v>REPOR ESTOQUE</v>
      </c>
      <c r="J621" s="25" t="str">
        <f t="shared" si="1"/>
        <v>RECEBIMENTO</v>
      </c>
      <c r="K621" s="25" t="str">
        <f>IFERROR(__xludf.DUMMYFUNCTION("""COMPUTED_VALUE"""),"Allison Breno Da Costa Borges Soares")</f>
        <v>Allison Breno Da Costa Borges Soares</v>
      </c>
    </row>
    <row r="622">
      <c r="A622" s="29">
        <f>IFERROR(__xludf.DUMMYFUNCTION("""COMPUTED_VALUE"""),46038.60413194444)</f>
        <v>46038.60413</v>
      </c>
      <c r="B622" s="42" t="str">
        <f>IFERROR(__xludf.DUMMYFUNCTION("""COMPUTED_VALUE"""),"MCC015UC0008")</f>
        <v>MCC015UC0008</v>
      </c>
      <c r="C622" s="31" t="str">
        <f>IFERROR(__xludf.DUMMYFUNCTION("""COMPUTED_VALUE"""),"FILME STRETCH 500X25")</f>
        <v>FILME STRETCH 500X25</v>
      </c>
      <c r="D622" s="39">
        <f>IFERROR(__xludf.DUMMYFUNCTION("""COMPUTED_VALUE"""),1.0)</f>
        <v>1</v>
      </c>
      <c r="E622" s="34" t="str">
        <f>IFERROR(__xludf.DUMMYFUNCTION("""COMPUTED_VALUE"""),"Saída")</f>
        <v>Saída</v>
      </c>
      <c r="F622" s="34" t="str">
        <f>IFERROR(__xludf.DUMMYFUNCTION("""COMPUTED_VALUE"""),"Expedição:ex-escolas-exponenciais:")</f>
        <v>Expedição:ex-escolas-exponenciais:</v>
      </c>
      <c r="G622" s="39">
        <f t="array" ref="G622">XLOOKUP(B622,'Página9'!A:A,'Página9'!F:F,"")</f>
        <v>-158</v>
      </c>
      <c r="H622" s="39">
        <f t="array" ref="H622">XLOOKUP(B622,'Página9'!A:A,'Página9'!C:C,"")</f>
        <v>40</v>
      </c>
      <c r="I622" s="35" t="str">
        <f t="array" ref="I622">XLOOKUP(B622,'Página9'!A:A,'Página9'!G:G,"")</f>
        <v>REPOR ESTOQUE</v>
      </c>
      <c r="J622" s="25" t="str">
        <f t="shared" si="1"/>
        <v>EXPEDIÇÃO</v>
      </c>
      <c r="K622" s="25" t="str">
        <f>IFERROR(__xludf.DUMMYFUNCTION("""COMPUTED_VALUE"""),"Cosme Marcio Barros Barbosa")</f>
        <v>Cosme Marcio Barros Barbosa</v>
      </c>
    </row>
    <row r="623">
      <c r="A623" s="29">
        <f>IFERROR(__xludf.DUMMYFUNCTION("""COMPUTED_VALUE"""),46038.6697337963)</f>
        <v>46038.66973</v>
      </c>
      <c r="B623" s="42" t="str">
        <f>IFERROR(__xludf.DUMMYFUNCTION("""COMPUTED_VALUE"""),"MCC046UC0215")</f>
        <v>MCC046UC0215</v>
      </c>
      <c r="C623" s="31" t="str">
        <f>IFERROR(__xludf.DUMMYFUNCTION("""COMPUTED_VALUE"""),"CANETA ESFEROGRAFICA ECONOMIC AZUL BIC")</f>
        <v>CANETA ESFEROGRAFICA ECONOMIC AZUL BIC</v>
      </c>
      <c r="D623" s="39">
        <f>IFERROR(__xludf.DUMMYFUNCTION("""COMPUTED_VALUE"""),5.0)</f>
        <v>5</v>
      </c>
      <c r="E623" s="34" t="str">
        <f>IFERROR(__xludf.DUMMYFUNCTION("""COMPUTED_VALUE"""),"Saída")</f>
        <v>Saída</v>
      </c>
      <c r="F623" s="34" t="str">
        <f>IFERROR(__xludf.DUMMYFUNCTION("""COMPUTED_VALUE"""),"Expedição:ex-escolas-exponenciais:")</f>
        <v>Expedição:ex-escolas-exponenciais:</v>
      </c>
      <c r="G623" s="39">
        <f t="array" ref="G623">XLOOKUP(B623,'Página9'!A:A,'Página9'!F:F,"")</f>
        <v>-20</v>
      </c>
      <c r="H623" s="39">
        <f t="array" ref="H623">XLOOKUP(B623,'Página9'!A:A,'Página9'!C:C,"")</f>
        <v>15</v>
      </c>
      <c r="I623" s="35" t="str">
        <f t="array" ref="I623">XLOOKUP(B623,'Página9'!A:A,'Página9'!G:G,"")</f>
        <v>REPOR ESTOQUE</v>
      </c>
      <c r="J623" s="25" t="str">
        <f t="shared" si="1"/>
        <v>EXPEDIÇÃO</v>
      </c>
      <c r="K623" s="25" t="str">
        <f>IFERROR(__xludf.DUMMYFUNCTION("""COMPUTED_VALUE"""),"Philipe Araujo Barroso")</f>
        <v>Philipe Araujo Barroso</v>
      </c>
    </row>
    <row r="624">
      <c r="A624" s="29">
        <f>IFERROR(__xludf.DUMMYFUNCTION("""COMPUTED_VALUE"""),46038.71658564815)</f>
        <v>46038.71659</v>
      </c>
      <c r="B624" s="42" t="str">
        <f>IFERROR(__xludf.DUMMYFUNCTION("""COMPUTED_VALUE"""),"MCC046UC0596")</f>
        <v>MCC046UC0596</v>
      </c>
      <c r="C624" s="31" t="str">
        <f>IFERROR(__xludf.DUMMYFUNCTION("""COMPUTED_VALUE"""),"ETIQUETA ADESIVA COUCHE BRANCA   - 105X150MM SAS")</f>
        <v>ETIQUETA ADESIVA COUCHE BRANCA   - 105X150MM SAS</v>
      </c>
      <c r="D624" s="39">
        <f>IFERROR(__xludf.DUMMYFUNCTION("""COMPUTED_VALUE"""),10.0)</f>
        <v>10</v>
      </c>
      <c r="E624" s="34" t="str">
        <f>IFERROR(__xludf.DUMMYFUNCTION("""COMPUTED_VALUE"""),"Saída")</f>
        <v>Saída</v>
      </c>
      <c r="F624" s="34" t="str">
        <f>IFERROR(__xludf.DUMMYFUNCTION("""COMPUTED_VALUE"""),"PMM:livro-voador:")</f>
        <v>PMM:livro-voador:</v>
      </c>
      <c r="G624" s="39">
        <f t="array" ref="G624">XLOOKUP(B624,'Página9'!A:A,'Página9'!F:F,"")</f>
        <v>157</v>
      </c>
      <c r="H624" s="39">
        <f t="array" ref="H624">XLOOKUP(B624,'Página9'!A:A,'Página9'!C:C,"")</f>
        <v>20</v>
      </c>
      <c r="I624" s="35" t="str">
        <f t="array" ref="I624">XLOOKUP(B624,'Página9'!A:A,'Página9'!G:G,"")</f>
        <v>OK</v>
      </c>
      <c r="J624" s="25" t="str">
        <f t="shared" si="1"/>
        <v>PMM</v>
      </c>
      <c r="K624" s="25" t="str">
        <f>IFERROR(__xludf.DUMMYFUNCTION("""COMPUTED_VALUE"""),"Ana Virginia De Castro Costa")</f>
        <v>Ana Virginia De Castro Costa</v>
      </c>
    </row>
    <row r="625">
      <c r="A625" s="29">
        <f>IFERROR(__xludf.DUMMYFUNCTION("""COMPUTED_VALUE"""),46041.51096064815)</f>
        <v>46041.51096</v>
      </c>
      <c r="B625" s="42" t="str">
        <f>IFERROR(__xludf.DUMMYFUNCTION("""COMPUTED_VALUE"""),"MCC015UC0008")</f>
        <v>MCC015UC0008</v>
      </c>
      <c r="C625" s="31" t="str">
        <f>IFERROR(__xludf.DUMMYFUNCTION("""COMPUTED_VALUE"""),"FILME STRETCH 500X25")</f>
        <v>FILME STRETCH 500X25</v>
      </c>
      <c r="D625" s="39">
        <f>IFERROR(__xludf.DUMMYFUNCTION("""COMPUTED_VALUE"""),5.0)</f>
        <v>5</v>
      </c>
      <c r="E625" s="34" t="str">
        <f>IFERROR(__xludf.DUMMYFUNCTION("""COMPUTED_VALUE"""),"Saída")</f>
        <v>Saída</v>
      </c>
      <c r="F625" s="34" t="str">
        <f>IFERROR(__xludf.DUMMYFUNCTION("""COMPUTED_VALUE"""),"Expedição:ex-escolas-exponenciais:")</f>
        <v>Expedição:ex-escolas-exponenciais:</v>
      </c>
      <c r="G625" s="39">
        <f t="array" ref="G625">XLOOKUP(B625,'Página9'!A:A,'Página9'!F:F,"")</f>
        <v>-158</v>
      </c>
      <c r="H625" s="39">
        <f t="array" ref="H625">XLOOKUP(B625,'Página9'!A:A,'Página9'!C:C,"")</f>
        <v>40</v>
      </c>
      <c r="I625" s="35" t="str">
        <f t="array" ref="I625">XLOOKUP(B625,'Página9'!A:A,'Página9'!G:G,"")</f>
        <v>REPOR ESTOQUE</v>
      </c>
      <c r="J625" s="25" t="str">
        <f t="shared" si="1"/>
        <v>EXPEDIÇÃO</v>
      </c>
      <c r="K625" s="25" t="str">
        <f>IFERROR(__xludf.DUMMYFUNCTION("""COMPUTED_VALUE"""),"Philipe Araujo Barroso")</f>
        <v>Philipe Araujo Barroso</v>
      </c>
    </row>
    <row r="626">
      <c r="A626" s="29">
        <f>IFERROR(__xludf.DUMMYFUNCTION("""COMPUTED_VALUE"""),46041.71050925926)</f>
        <v>46041.71051</v>
      </c>
      <c r="B626" s="42" t="str">
        <f>IFERROR(__xludf.DUMMYFUNCTION("""COMPUTED_VALUE"""),"MCC049UC0600")</f>
        <v>MCC049UC0600</v>
      </c>
      <c r="C626" s="31" t="str">
        <f>IFERROR(__xludf.DUMMYFUNCTION("""COMPUTED_VALUE"""),"FITA ADESIVA P/ CACHORRO PERSONALIZADA")</f>
        <v>FITA ADESIVA P/ CACHORRO PERSONALIZADA</v>
      </c>
      <c r="D626" s="39">
        <f>IFERROR(__xludf.DUMMYFUNCTION("""COMPUTED_VALUE"""),24.0)</f>
        <v>24</v>
      </c>
      <c r="E626" s="34" t="str">
        <f>IFERROR(__xludf.DUMMYFUNCTION("""COMPUTED_VALUE"""),"Saída")</f>
        <v>Saída</v>
      </c>
      <c r="F626" s="34" t="str">
        <f>IFERROR(__xludf.DUMMYFUNCTION("""COMPUTED_VALUE"""),"Expedição:ex-escolas-exponenciais:")</f>
        <v>Expedição:ex-escolas-exponenciais:</v>
      </c>
      <c r="G626" s="39">
        <f t="array" ref="G626">XLOOKUP(B626,'Página9'!A:A,'Página9'!F:F,"")</f>
        <v>156</v>
      </c>
      <c r="H626" s="39">
        <f t="array" ref="H626">XLOOKUP(B626,'Página9'!A:A,'Página9'!C:C,"")</f>
        <v>10</v>
      </c>
      <c r="I626" s="35" t="str">
        <f t="array" ref="I626">XLOOKUP(B626,'Página9'!A:A,'Página9'!G:G,"")</f>
        <v>OK</v>
      </c>
      <c r="J626" s="25" t="str">
        <f t="shared" si="1"/>
        <v>EXPEDIÇÃO</v>
      </c>
      <c r="K626" s="25" t="str">
        <f>IFERROR(__xludf.DUMMYFUNCTION("""COMPUTED_VALUE"""),"Silvana Da Silva Pereira")</f>
        <v>Silvana Da Silva Pereira</v>
      </c>
    </row>
    <row r="627">
      <c r="A627" s="29">
        <f>IFERROR(__xludf.DUMMYFUNCTION("""COMPUTED_VALUE"""),46041.72537037037)</f>
        <v>46041.72537</v>
      </c>
      <c r="B627" s="42" t="str">
        <f>IFERROR(__xludf.DUMMYFUNCTION("""COMPUTED_VALUE"""),"MCC015UC0008")</f>
        <v>MCC015UC0008</v>
      </c>
      <c r="C627" s="31" t="str">
        <f>IFERROR(__xludf.DUMMYFUNCTION("""COMPUTED_VALUE"""),"FILME STRETCH 500X25")</f>
        <v>FILME STRETCH 500X25</v>
      </c>
      <c r="D627" s="39">
        <f>IFERROR(__xludf.DUMMYFUNCTION("""COMPUTED_VALUE"""),10.0)</f>
        <v>10</v>
      </c>
      <c r="E627" s="34" t="str">
        <f>IFERROR(__xludf.DUMMYFUNCTION("""COMPUTED_VALUE"""),"Saída")</f>
        <v>Saída</v>
      </c>
      <c r="F627" s="34" t="str">
        <f>IFERROR(__xludf.DUMMYFUNCTION("""COMPUTED_VALUE"""),"Expedição:ex-escolas-exponenciais:")</f>
        <v>Expedição:ex-escolas-exponenciais:</v>
      </c>
      <c r="G627" s="39">
        <f t="array" ref="G627">XLOOKUP(B627,'Página9'!A:A,'Página9'!F:F,"")</f>
        <v>-158</v>
      </c>
      <c r="H627" s="39">
        <f t="array" ref="H627">XLOOKUP(B627,'Página9'!A:A,'Página9'!C:C,"")</f>
        <v>40</v>
      </c>
      <c r="I627" s="35" t="str">
        <f t="array" ref="I627">XLOOKUP(B627,'Página9'!A:A,'Página9'!G:G,"")</f>
        <v>REPOR ESTOQUE</v>
      </c>
      <c r="J627" s="25" t="str">
        <f t="shared" si="1"/>
        <v>EXPEDIÇÃO</v>
      </c>
      <c r="K627" s="25" t="str">
        <f>IFERROR(__xludf.DUMMYFUNCTION("""COMPUTED_VALUE"""),"Philipe Araujo Barroso")</f>
        <v>Philipe Araujo Barroso</v>
      </c>
    </row>
    <row r="628">
      <c r="A628" s="29">
        <f>IFERROR(__xludf.DUMMYFUNCTION("""COMPUTED_VALUE"""),46042.49736111111)</f>
        <v>46042.49736</v>
      </c>
      <c r="B628" s="42" t="str">
        <f>IFERROR(__xludf.DUMMYFUNCTION("""COMPUTED_VALUE"""),"MCC015UC0008")</f>
        <v>MCC015UC0008</v>
      </c>
      <c r="C628" s="31" t="str">
        <f>IFERROR(__xludf.DUMMYFUNCTION("""COMPUTED_VALUE"""),"FILME STRETCH 500X25")</f>
        <v>FILME STRETCH 500X25</v>
      </c>
      <c r="D628" s="39">
        <f>IFERROR(__xludf.DUMMYFUNCTION("""COMPUTED_VALUE"""),50.0)</f>
        <v>50</v>
      </c>
      <c r="E628" s="34" t="str">
        <f>IFERROR(__xludf.DUMMYFUNCTION("""COMPUTED_VALUE"""),"Saída")</f>
        <v>Saída</v>
      </c>
      <c r="F628" s="34" t="str">
        <f>IFERROR(__xludf.DUMMYFUNCTION("""COMPUTED_VALUE"""),"Expedição:ex-escolas-exponenciais:")</f>
        <v>Expedição:ex-escolas-exponenciais:</v>
      </c>
      <c r="G628" s="39">
        <f t="array" ref="G628">XLOOKUP(B628,'Página9'!A:A,'Página9'!F:F,"")</f>
        <v>-158</v>
      </c>
      <c r="H628" s="39">
        <f t="array" ref="H628">XLOOKUP(B628,'Página9'!A:A,'Página9'!C:C,"")</f>
        <v>40</v>
      </c>
      <c r="I628" s="35" t="str">
        <f t="array" ref="I628">XLOOKUP(B628,'Página9'!A:A,'Página9'!G:G,"")</f>
        <v>REPOR ESTOQUE</v>
      </c>
      <c r="J628" s="25" t="str">
        <f t="shared" si="1"/>
        <v>EXPEDIÇÃO</v>
      </c>
      <c r="K628" s="25" t="str">
        <f>IFERROR(__xludf.DUMMYFUNCTION("""COMPUTED_VALUE"""),"Allison Breno Da Costa Borges Soares")</f>
        <v>Allison Breno Da Costa Borges Soares</v>
      </c>
    </row>
    <row r="629">
      <c r="A629" s="29">
        <f>IFERROR(__xludf.DUMMYFUNCTION("""COMPUTED_VALUE"""),46042.497777777775)</f>
        <v>46042.49778</v>
      </c>
      <c r="B629" s="42" t="str">
        <f>IFERROR(__xludf.DUMMYFUNCTION("""COMPUTED_VALUE"""),"MCC015UC0045")</f>
        <v>MCC015UC0045</v>
      </c>
      <c r="C629" s="31" t="str">
        <f>IFERROR(__xludf.DUMMYFUNCTION("""COMPUTED_VALUE"""),"FITA ADESIVA 69MM X 100M")</f>
        <v>FITA ADESIVA 69MM X 100M</v>
      </c>
      <c r="D629" s="39">
        <f>IFERROR(__xludf.DUMMYFUNCTION("""COMPUTED_VALUE"""),10.0)</f>
        <v>10</v>
      </c>
      <c r="E629" s="34" t="str">
        <f>IFERROR(__xludf.DUMMYFUNCTION("""COMPUTED_VALUE"""),"Saída")</f>
        <v>Saída</v>
      </c>
      <c r="F629" s="34" t="str">
        <f>IFERROR(__xludf.DUMMYFUNCTION("""COMPUTED_VALUE"""),"Expedição:ex-escolas-exponenciais:")</f>
        <v>Expedição:ex-escolas-exponenciais:</v>
      </c>
      <c r="G629" s="39">
        <f t="array" ref="G629">XLOOKUP(B629,'Página9'!A:A,'Página9'!F:F,"")</f>
        <v>287</v>
      </c>
      <c r="H629" s="39">
        <f t="array" ref="H629">XLOOKUP(B629,'Página9'!A:A,'Página9'!C:C,"")</f>
        <v>20</v>
      </c>
      <c r="I629" s="35" t="str">
        <f t="array" ref="I629">XLOOKUP(B629,'Página9'!A:A,'Página9'!G:G,"")</f>
        <v>OK</v>
      </c>
      <c r="J629" s="25" t="str">
        <f t="shared" si="1"/>
        <v>EXPEDIÇÃO</v>
      </c>
      <c r="K629" s="25" t="str">
        <f>IFERROR(__xludf.DUMMYFUNCTION("""COMPUTED_VALUE"""),"Allison Breno Da Costa Borges Soares")</f>
        <v>Allison Breno Da Costa Borges Soares</v>
      </c>
    </row>
    <row r="630">
      <c r="A630" s="29">
        <f>IFERROR(__xludf.DUMMYFUNCTION("""COMPUTED_VALUE"""),46042.498819444445)</f>
        <v>46042.49882</v>
      </c>
      <c r="B630" s="42" t="str">
        <f>IFERROR(__xludf.DUMMYFUNCTION("""COMPUTED_VALUE"""),"MCC015UC0045")</f>
        <v>MCC015UC0045</v>
      </c>
      <c r="C630" s="31" t="str">
        <f>IFERROR(__xludf.DUMMYFUNCTION("""COMPUTED_VALUE"""),"FITA ADESIVA 69MM X 100M")</f>
        <v>FITA ADESIVA 69MM X 100M</v>
      </c>
      <c r="D630" s="39">
        <f>IFERROR(__xludf.DUMMYFUNCTION("""COMPUTED_VALUE"""),2.0)</f>
        <v>2</v>
      </c>
      <c r="E630" s="34" t="str">
        <f>IFERROR(__xludf.DUMMYFUNCTION("""COMPUTED_VALUE"""),"Saída")</f>
        <v>Saída</v>
      </c>
      <c r="F630" s="34" t="str">
        <f>IFERROR(__xludf.DUMMYFUNCTION("""COMPUTED_VALUE"""),"Expedição:ex-escolas-exponenciais:")</f>
        <v>Expedição:ex-escolas-exponenciais:</v>
      </c>
      <c r="G630" s="39">
        <f t="array" ref="G630">XLOOKUP(B630,'Página9'!A:A,'Página9'!F:F,"")</f>
        <v>287</v>
      </c>
      <c r="H630" s="39">
        <f t="array" ref="H630">XLOOKUP(B630,'Página9'!A:A,'Página9'!C:C,"")</f>
        <v>20</v>
      </c>
      <c r="I630" s="35" t="str">
        <f t="array" ref="I630">XLOOKUP(B630,'Página9'!A:A,'Página9'!G:G,"")</f>
        <v>OK</v>
      </c>
      <c r="J630" s="25" t="str">
        <f t="shared" si="1"/>
        <v>EXPEDIÇÃO</v>
      </c>
      <c r="K630" s="25" t="str">
        <f>IFERROR(__xludf.DUMMYFUNCTION("""COMPUTED_VALUE"""),"Allison Breno Da Costa Borges Soares")</f>
        <v>Allison Breno Da Costa Borges Soares</v>
      </c>
    </row>
    <row r="631">
      <c r="A631" s="29">
        <f>IFERROR(__xludf.DUMMYFUNCTION("""COMPUTED_VALUE"""),46042.56994212963)</f>
        <v>46042.56994</v>
      </c>
      <c r="B631" s="42" t="str">
        <f>IFERROR(__xludf.DUMMYFUNCTION("""COMPUTED_VALUE"""),"MCC046UC0082")</f>
        <v>MCC046UC0082</v>
      </c>
      <c r="C631" s="31" t="str">
        <f>IFERROR(__xludf.DUMMYFUNCTION("""COMPUTED_VALUE"""),"PAPEL SULFITE A4 75G 500 FOLHAS")</f>
        <v>PAPEL SULFITE A4 75G 500 FOLHAS</v>
      </c>
      <c r="D631" s="39">
        <f>IFERROR(__xludf.DUMMYFUNCTION("""COMPUTED_VALUE"""),1.0)</f>
        <v>1</v>
      </c>
      <c r="E631" s="34" t="str">
        <f>IFERROR(__xludf.DUMMYFUNCTION("""COMPUTED_VALUE"""),"Saída")</f>
        <v>Saída</v>
      </c>
      <c r="F631" s="34" t="str">
        <f>IFERROR(__xludf.DUMMYFUNCTION("""COMPUTED_VALUE"""),"Expedição")</f>
        <v>Expedição</v>
      </c>
      <c r="G631" s="39">
        <f t="array" ref="G631">XLOOKUP(B631,'Página9'!A:A,'Página9'!F:F,"")</f>
        <v>163</v>
      </c>
      <c r="H631" s="39">
        <f t="array" ref="H631">XLOOKUP(B631,'Página9'!A:A,'Página9'!C:C,"")</f>
        <v>10</v>
      </c>
      <c r="I631" s="35" t="str">
        <f t="array" ref="I631">XLOOKUP(B631,'Página9'!A:A,'Página9'!G:G,"")</f>
        <v>OK</v>
      </c>
      <c r="J631" s="25" t="str">
        <f t="shared" si="1"/>
        <v/>
      </c>
      <c r="K631" s="25" t="str">
        <f>IFERROR(__xludf.DUMMYFUNCTION("""COMPUTED_VALUE"""),"Suellen Aguiar Da Silva")</f>
        <v>Suellen Aguiar Da Silva</v>
      </c>
    </row>
    <row r="632">
      <c r="A632" s="29">
        <f>IFERROR(__xludf.DUMMYFUNCTION("""COMPUTED_VALUE"""),46042.5703587963)</f>
        <v>46042.57036</v>
      </c>
      <c r="B632" s="42" t="str">
        <f>IFERROR(__xludf.DUMMYFUNCTION("""COMPUTED_VALUE"""),"MCC046UC0687")</f>
        <v>MCC046UC0687</v>
      </c>
      <c r="C632" s="31" t="str">
        <f>IFERROR(__xludf.DUMMYFUNCTION("""COMPUTED_VALUE"""),"ETIQUETA COUCHE - 100X100X 1")</f>
        <v>ETIQUETA COUCHE - 100X100X 1</v>
      </c>
      <c r="D632" s="39">
        <f>IFERROR(__xludf.DUMMYFUNCTION("""COMPUTED_VALUE"""),1.0)</f>
        <v>1</v>
      </c>
      <c r="E632" s="34" t="str">
        <f>IFERROR(__xludf.DUMMYFUNCTION("""COMPUTED_VALUE"""),"Saída")</f>
        <v>Saída</v>
      </c>
      <c r="F632" s="34" t="str">
        <f>IFERROR(__xludf.DUMMYFUNCTION("""COMPUTED_VALUE"""),"Expedição")</f>
        <v>Expedição</v>
      </c>
      <c r="G632" s="39">
        <f t="array" ref="G632">XLOOKUP(B632,'Página9'!A:A,'Página9'!F:F,"")</f>
        <v>335</v>
      </c>
      <c r="H632" s="39">
        <f t="array" ref="H632">XLOOKUP(B632,'Página9'!A:A,'Página9'!C:C,"")</f>
        <v>20</v>
      </c>
      <c r="I632" s="35" t="str">
        <f t="array" ref="I632">XLOOKUP(B632,'Página9'!A:A,'Página9'!G:G,"")</f>
        <v>OK</v>
      </c>
      <c r="J632" s="25" t="str">
        <f t="shared" si="1"/>
        <v/>
      </c>
      <c r="K632" s="25" t="str">
        <f>IFERROR(__xludf.DUMMYFUNCTION("""COMPUTED_VALUE"""),"Suellen Aguiar Da Silva")</f>
        <v>Suellen Aguiar Da Silva</v>
      </c>
    </row>
    <row r="633">
      <c r="A633" s="29">
        <f>IFERROR(__xludf.DUMMYFUNCTION("""COMPUTED_VALUE"""),46043.48318287037)</f>
        <v>46043.48318</v>
      </c>
      <c r="B633" s="42" t="str">
        <f>IFERROR(__xludf.DUMMYFUNCTION("""COMPUTED_VALUE"""),"MCC046UC0216")</f>
        <v>MCC046UC0216</v>
      </c>
      <c r="C633" s="31" t="str">
        <f>IFERROR(__xludf.DUMMYFUNCTION("""COMPUTED_VALUE"""),"CANETA ESFEROGRAFICA ECONOMIC PRETA BIC")</f>
        <v>CANETA ESFEROGRAFICA ECONOMIC PRETA BIC</v>
      </c>
      <c r="D633" s="39">
        <f>IFERROR(__xludf.DUMMYFUNCTION("""COMPUTED_VALUE"""),1.0)</f>
        <v>1</v>
      </c>
      <c r="E633" s="34" t="str">
        <f>IFERROR(__xludf.DUMMYFUNCTION("""COMPUTED_VALUE"""),"Saída")</f>
        <v>Saída</v>
      </c>
      <c r="F633" s="34" t="str">
        <f>IFERROR(__xludf.DUMMYFUNCTION("""COMPUTED_VALUE"""),"Expedição")</f>
        <v>Expedição</v>
      </c>
      <c r="G633" s="39">
        <f t="array" ref="G633">XLOOKUP(B633,'Página9'!A:A,'Página9'!F:F,"")</f>
        <v>89</v>
      </c>
      <c r="H633" s="39">
        <f t="array" ref="H633">XLOOKUP(B633,'Página9'!A:A,'Página9'!C:C,"")</f>
        <v>15</v>
      </c>
      <c r="I633" s="35" t="str">
        <f t="array" ref="I633">XLOOKUP(B633,'Página9'!A:A,'Página9'!G:G,"")</f>
        <v>OK</v>
      </c>
      <c r="J633" s="25" t="str">
        <f t="shared" si="1"/>
        <v/>
      </c>
      <c r="K633" s="25" t="str">
        <f>IFERROR(__xludf.DUMMYFUNCTION("""COMPUTED_VALUE"""),"Cosme Marcio Barros Barbosa")</f>
        <v>Cosme Marcio Barros Barbosa</v>
      </c>
    </row>
    <row r="634">
      <c r="A634" s="29">
        <f>IFERROR(__xludf.DUMMYFUNCTION("""COMPUTED_VALUE"""),46043.48358796296)</f>
        <v>46043.48359</v>
      </c>
      <c r="B634" s="42" t="str">
        <f>IFERROR(__xludf.DUMMYFUNCTION("""COMPUTED_VALUE"""),"MCC046UC0093")</f>
        <v>MCC046UC0093</v>
      </c>
      <c r="C634" s="31" t="str">
        <f>IFERROR(__xludf.DUMMYFUNCTION("""COMPUTED_VALUE"""),"REGUA ACRILICA 30CM")</f>
        <v>REGUA ACRILICA 30CM</v>
      </c>
      <c r="D634" s="39">
        <f>IFERROR(__xludf.DUMMYFUNCTION("""COMPUTED_VALUE"""),1.0)</f>
        <v>1</v>
      </c>
      <c r="E634" s="34" t="str">
        <f>IFERROR(__xludf.DUMMYFUNCTION("""COMPUTED_VALUE"""),"Saída")</f>
        <v>Saída</v>
      </c>
      <c r="F634" s="34" t="str">
        <f>IFERROR(__xludf.DUMMYFUNCTION("""COMPUTED_VALUE"""),"CIQ")</f>
        <v>CIQ</v>
      </c>
      <c r="G634" s="39">
        <f t="array" ref="G634">XLOOKUP(B634,'Página9'!A:A,'Página9'!F:F,"")</f>
        <v>16</v>
      </c>
      <c r="H634" s="39">
        <f t="array" ref="H634">XLOOKUP(B634,'Página9'!A:A,'Página9'!C:C,"")</f>
        <v>5</v>
      </c>
      <c r="I634" s="35" t="str">
        <f t="array" ref="I634">XLOOKUP(B634,'Página9'!A:A,'Página9'!G:G,"")</f>
        <v>OK</v>
      </c>
      <c r="J634" s="25" t="str">
        <f t="shared" si="1"/>
        <v/>
      </c>
      <c r="K634" s="25" t="str">
        <f>IFERROR(__xludf.DUMMYFUNCTION("""COMPUTED_VALUE"""),"Cosme Marcio Barros Barbosa")</f>
        <v>Cosme Marcio Barros Barbosa</v>
      </c>
    </row>
    <row r="635">
      <c r="A635" s="29">
        <f>IFERROR(__xludf.DUMMYFUNCTION("""COMPUTED_VALUE"""),46043.525092592594)</f>
        <v>46043.52509</v>
      </c>
      <c r="B635" s="42" t="str">
        <f>IFERROR(__xludf.DUMMYFUNCTION("""COMPUTED_VALUE"""),"MCC046UC0210")</f>
        <v>MCC046UC0210</v>
      </c>
      <c r="C635" s="31" t="str">
        <f>IFERROR(__xludf.DUMMYFUNCTION("""COMPUTED_VALUE"""),"CALCULADORA MESA 12 DIGITOS ZT 712 ZETA")</f>
        <v>CALCULADORA MESA 12 DIGITOS ZT 712 ZETA</v>
      </c>
      <c r="D635" s="39">
        <f>IFERROR(__xludf.DUMMYFUNCTION("""COMPUTED_VALUE"""),7.0)</f>
        <v>7</v>
      </c>
      <c r="E635" s="34" t="str">
        <f>IFERROR(__xludf.DUMMYFUNCTION("""COMPUTED_VALUE"""),"Saída")</f>
        <v>Saída</v>
      </c>
      <c r="F635" s="34" t="str">
        <f>IFERROR(__xludf.DUMMYFUNCTION("""COMPUTED_VALUE"""),"CIQ")</f>
        <v>CIQ</v>
      </c>
      <c r="G635" s="39">
        <f t="array" ref="G635">XLOOKUP(B635,'Página9'!A:A,'Página9'!F:F,"")</f>
        <v>2</v>
      </c>
      <c r="H635" s="39">
        <f t="array" ref="H635">XLOOKUP(B635,'Página9'!A:A,'Página9'!C:C,"")</f>
        <v>1</v>
      </c>
      <c r="I635" s="35" t="str">
        <f t="array" ref="I635">XLOOKUP(B635,'Página9'!A:A,'Página9'!G:G,"")</f>
        <v>OK</v>
      </c>
      <c r="J635" s="25" t="str">
        <f t="shared" si="1"/>
        <v/>
      </c>
      <c r="K635" s="25" t="str">
        <f>IFERROR(__xludf.DUMMYFUNCTION("""COMPUTED_VALUE"""),"Allison Breno Da Costa Borges Soares")</f>
        <v>Allison Breno Da Costa Borges Soares</v>
      </c>
    </row>
    <row r="636">
      <c r="A636" s="29">
        <f>IFERROR(__xludf.DUMMYFUNCTION("""COMPUTED_VALUE"""),46043.58702546296)</f>
        <v>46043.58703</v>
      </c>
      <c r="B636" s="42" t="str">
        <f>IFERROR(__xludf.DUMMYFUNCTION("""COMPUTED_VALUE"""),"MCC015UC0008")</f>
        <v>MCC015UC0008</v>
      </c>
      <c r="C636" s="31" t="str">
        <f>IFERROR(__xludf.DUMMYFUNCTION("""COMPUTED_VALUE"""),"FILME STRETCH 500X25")</f>
        <v>FILME STRETCH 500X25</v>
      </c>
      <c r="D636" s="39">
        <f>IFERROR(__xludf.DUMMYFUNCTION("""COMPUTED_VALUE"""),4.0)</f>
        <v>4</v>
      </c>
      <c r="E636" s="34" t="str">
        <f>IFERROR(__xludf.DUMMYFUNCTION("""COMPUTED_VALUE"""),"Saída")</f>
        <v>Saída</v>
      </c>
      <c r="F636" s="34" t="str">
        <f>IFERROR(__xludf.DUMMYFUNCTION("""COMPUTED_VALUE"""),"Recebimento")</f>
        <v>Recebimento</v>
      </c>
      <c r="G636" s="39">
        <f t="array" ref="G636">XLOOKUP(B636,'Página9'!A:A,'Página9'!F:F,"")</f>
        <v>-158</v>
      </c>
      <c r="H636" s="39">
        <f t="array" ref="H636">XLOOKUP(B636,'Página9'!A:A,'Página9'!C:C,"")</f>
        <v>40</v>
      </c>
      <c r="I636" s="35" t="str">
        <f t="array" ref="I636">XLOOKUP(B636,'Página9'!A:A,'Página9'!G:G,"")</f>
        <v>REPOR ESTOQUE</v>
      </c>
      <c r="J636" s="25" t="str">
        <f t="shared" si="1"/>
        <v/>
      </c>
      <c r="K636" s="25" t="str">
        <f>IFERROR(__xludf.DUMMYFUNCTION("""COMPUTED_VALUE"""),"Jose Antoniel Silva Mesquita")</f>
        <v>Jose Antoniel Silva Mesquita</v>
      </c>
    </row>
    <row r="637">
      <c r="A637" s="29">
        <f>IFERROR(__xludf.DUMMYFUNCTION("""COMPUTED_VALUE"""),46043.58758101852)</f>
        <v>46043.58758</v>
      </c>
      <c r="B637" s="42" t="str">
        <f>IFERROR(__xludf.DUMMYFUNCTION("""COMPUTED_VALUE"""),"MCC046UC0597")</f>
        <v>MCC046UC0597</v>
      </c>
      <c r="C637" s="31" t="str">
        <f>IFERROR(__xludf.DUMMYFUNCTION("""COMPUTED_VALUE"""),"ETIQUETA ADESIVA COUCHE ROSA - SAS 105X150MM")</f>
        <v>ETIQUETA ADESIVA COUCHE ROSA - SAS 105X150MM</v>
      </c>
      <c r="D637" s="39">
        <f>IFERROR(__xludf.DUMMYFUNCTION("""COMPUTED_VALUE"""),2.0)</f>
        <v>2</v>
      </c>
      <c r="E637" s="34" t="str">
        <f>IFERROR(__xludf.DUMMYFUNCTION("""COMPUTED_VALUE"""),"Saída")</f>
        <v>Saída</v>
      </c>
      <c r="F637" s="34" t="str">
        <f>IFERROR(__xludf.DUMMYFUNCTION("""COMPUTED_VALUE"""),"Expedição")</f>
        <v>Expedição</v>
      </c>
      <c r="G637" s="39">
        <f t="array" ref="G637">XLOOKUP(B637,'Página9'!A:A,'Página9'!F:F,"")</f>
        <v>64</v>
      </c>
      <c r="H637" s="39">
        <f t="array" ref="H637">XLOOKUP(B637,'Página9'!A:A,'Página9'!C:C,"")</f>
        <v>5</v>
      </c>
      <c r="I637" s="35" t="str">
        <f t="array" ref="I637">XLOOKUP(B637,'Página9'!A:A,'Página9'!G:G,"")</f>
        <v>OK</v>
      </c>
      <c r="J637" s="25" t="str">
        <f t="shared" si="1"/>
        <v/>
      </c>
      <c r="K637" s="25" t="str">
        <f>IFERROR(__xludf.DUMMYFUNCTION("""COMPUTED_VALUE"""),"Jose Antoniel Silva Mesquita")</f>
        <v>Jose Antoniel Silva Mesquita</v>
      </c>
    </row>
    <row r="638">
      <c r="A638" s="29">
        <f>IFERROR(__xludf.DUMMYFUNCTION("""COMPUTED_VALUE"""),46043.58820601852)</f>
        <v>46043.58821</v>
      </c>
      <c r="B638" s="42" t="str">
        <f>IFERROR(__xludf.DUMMYFUNCTION("""COMPUTED_VALUE"""),"MCC046UC0598")</f>
        <v>MCC046UC0598</v>
      </c>
      <c r="C638" s="31" t="str">
        <f>IFERROR(__xludf.DUMMYFUNCTION("""COMPUTED_VALUE"""),"ETIQUETA ADESIVA COUCHE AZUL - 105X150MM SAS")</f>
        <v>ETIQUETA ADESIVA COUCHE AZUL - 105X150MM SAS</v>
      </c>
      <c r="D638" s="39">
        <f>IFERROR(__xludf.DUMMYFUNCTION("""COMPUTED_VALUE"""),1.0)</f>
        <v>1</v>
      </c>
      <c r="E638" s="34" t="str">
        <f>IFERROR(__xludf.DUMMYFUNCTION("""COMPUTED_VALUE"""),"Saída")</f>
        <v>Saída</v>
      </c>
      <c r="F638" s="34" t="str">
        <f>IFERROR(__xludf.DUMMYFUNCTION("""COMPUTED_VALUE"""),"PMM")</f>
        <v>PMM</v>
      </c>
      <c r="G638" s="39">
        <f t="array" ref="G638">XLOOKUP(B638,'Página9'!A:A,'Página9'!F:F,"")</f>
        <v>40</v>
      </c>
      <c r="H638" s="39">
        <f t="array" ref="H638">XLOOKUP(B638,'Página9'!A:A,'Página9'!C:C,"")</f>
        <v>5</v>
      </c>
      <c r="I638" s="35" t="str">
        <f t="array" ref="I638">XLOOKUP(B638,'Página9'!A:A,'Página9'!G:G,"")</f>
        <v>OK</v>
      </c>
      <c r="J638" s="25" t="str">
        <f t="shared" si="1"/>
        <v/>
      </c>
      <c r="K638" s="25" t="str">
        <f>IFERROR(__xludf.DUMMYFUNCTION("""COMPUTED_VALUE"""),"Jose Antoniel Silva Mesquita")</f>
        <v>Jose Antoniel Silva Mesquita</v>
      </c>
    </row>
    <row r="639">
      <c r="A639" s="29">
        <f>IFERROR(__xludf.DUMMYFUNCTION("""COMPUTED_VALUE"""),46043.60936342592)</f>
        <v>46043.60936</v>
      </c>
      <c r="B639" s="42" t="str">
        <f>IFERROR(__xludf.DUMMYFUNCTION("""COMPUTED_VALUE"""),"MCC046UC0215")</f>
        <v>MCC046UC0215</v>
      </c>
      <c r="C639" s="31" t="str">
        <f>IFERROR(__xludf.DUMMYFUNCTION("""COMPUTED_VALUE"""),"CANETA ESFEROGRAFICA ECONOMIC AZUL BIC")</f>
        <v>CANETA ESFEROGRAFICA ECONOMIC AZUL BIC</v>
      </c>
      <c r="D639" s="39">
        <f>IFERROR(__xludf.DUMMYFUNCTION("""COMPUTED_VALUE"""),2.0)</f>
        <v>2</v>
      </c>
      <c r="E639" s="34" t="str">
        <f>IFERROR(__xludf.DUMMYFUNCTION("""COMPUTED_VALUE"""),"Saída")</f>
        <v>Saída</v>
      </c>
      <c r="F639" s="34" t="str">
        <f>IFERROR(__xludf.DUMMYFUNCTION("""COMPUTED_VALUE"""),"Expedição")</f>
        <v>Expedição</v>
      </c>
      <c r="G639" s="39">
        <f t="array" ref="G639">XLOOKUP(B639,'Página9'!A:A,'Página9'!F:F,"")</f>
        <v>-20</v>
      </c>
      <c r="H639" s="39">
        <f t="array" ref="H639">XLOOKUP(B639,'Página9'!A:A,'Página9'!C:C,"")</f>
        <v>15</v>
      </c>
      <c r="I639" s="35" t="str">
        <f t="array" ref="I639">XLOOKUP(B639,'Página9'!A:A,'Página9'!G:G,"")</f>
        <v>REPOR ESTOQUE</v>
      </c>
      <c r="J639" s="25" t="str">
        <f t="shared" si="1"/>
        <v/>
      </c>
      <c r="K639" s="25" t="str">
        <f>IFERROR(__xludf.DUMMYFUNCTION("""COMPUTED_VALUE"""),"Jose Antoniel Silva Mesquita")</f>
        <v>Jose Antoniel Silva Mesquita</v>
      </c>
    </row>
    <row r="640">
      <c r="A640" s="29">
        <f>IFERROR(__xludf.DUMMYFUNCTION("""COMPUTED_VALUE"""),46043.70798611111)</f>
        <v>46043.70799</v>
      </c>
      <c r="B640" s="42" t="str">
        <f>IFERROR(__xludf.DUMMYFUNCTION("""COMPUTED_VALUE"""),"MCC046UC0215")</f>
        <v>MCC046UC0215</v>
      </c>
      <c r="C640" s="31" t="str">
        <f>IFERROR(__xludf.DUMMYFUNCTION("""COMPUTED_VALUE"""),"CANETA ESFEROGRAFICA ECONOMIC AZUL BIC")</f>
        <v>CANETA ESFEROGRAFICA ECONOMIC AZUL BIC</v>
      </c>
      <c r="D640" s="39">
        <f>IFERROR(__xludf.DUMMYFUNCTION("""COMPUTED_VALUE"""),2.0)</f>
        <v>2</v>
      </c>
      <c r="E640" s="34" t="str">
        <f>IFERROR(__xludf.DUMMYFUNCTION("""COMPUTED_VALUE"""),"Saída")</f>
        <v>Saída</v>
      </c>
      <c r="F640" s="34" t="str">
        <f>IFERROR(__xludf.DUMMYFUNCTION("""COMPUTED_VALUE"""),"Estoque")</f>
        <v>Estoque</v>
      </c>
      <c r="G640" s="39">
        <f t="array" ref="G640">XLOOKUP(B640,'Página9'!A:A,'Página9'!F:F,"")</f>
        <v>-20</v>
      </c>
      <c r="H640" s="39">
        <f t="array" ref="H640">XLOOKUP(B640,'Página9'!A:A,'Página9'!C:C,"")</f>
        <v>15</v>
      </c>
      <c r="I640" s="35" t="str">
        <f t="array" ref="I640">XLOOKUP(B640,'Página9'!A:A,'Página9'!G:G,"")</f>
        <v>REPOR ESTOQUE</v>
      </c>
      <c r="J640" s="25" t="str">
        <f t="shared" si="1"/>
        <v/>
      </c>
      <c r="K640" s="25" t="str">
        <f>IFERROR(__xludf.DUMMYFUNCTION("""COMPUTED_VALUE"""),"Jackson Alves Sales")</f>
        <v>Jackson Alves Sales</v>
      </c>
    </row>
    <row r="641">
      <c r="A641" s="29">
        <f>IFERROR(__xludf.DUMMYFUNCTION("""COMPUTED_VALUE"""),46043.738391203704)</f>
        <v>46043.73839</v>
      </c>
      <c r="B641" s="42" t="str">
        <f>IFERROR(__xludf.DUMMYFUNCTION("""COMPUTED_VALUE"""),"MCC046UC0695")</f>
        <v>MCC046UC0695</v>
      </c>
      <c r="C641" s="31" t="str">
        <f>IFERROR(__xludf.DUMMYFUNCTION("""COMPUTED_VALUE"""),"ETIQUETA COUCHE 98X50X1")</f>
        <v>ETIQUETA COUCHE 98X50X1</v>
      </c>
      <c r="D641" s="39">
        <f>IFERROR(__xludf.DUMMYFUNCTION("""COMPUTED_VALUE"""),6.0)</f>
        <v>6</v>
      </c>
      <c r="E641" s="34" t="str">
        <f>IFERROR(__xludf.DUMMYFUNCTION("""COMPUTED_VALUE"""),"Saída")</f>
        <v>Saída</v>
      </c>
      <c r="F641" s="34" t="str">
        <f>IFERROR(__xludf.DUMMYFUNCTION("""COMPUTED_VALUE"""),"PMM:livro-voador:")</f>
        <v>PMM:livro-voador:</v>
      </c>
      <c r="G641" s="39">
        <f t="array" ref="G641">XLOOKUP(B641,'Página9'!A:A,'Página9'!F:F,"")</f>
        <v>256</v>
      </c>
      <c r="H641" s="39">
        <f t="array" ref="H641">XLOOKUP(B641,'Página9'!A:A,'Página9'!C:C,"")</f>
        <v>20</v>
      </c>
      <c r="I641" s="35" t="str">
        <f t="array" ref="I641">XLOOKUP(B641,'Página9'!A:A,'Página9'!G:G,"")</f>
        <v>OK</v>
      </c>
      <c r="J641" s="25" t="str">
        <f t="shared" si="1"/>
        <v>PMM</v>
      </c>
      <c r="K641" s="25" t="str">
        <f>IFERROR(__xludf.DUMMYFUNCTION("""COMPUTED_VALUE"""),"Jose Antoniel Silva Mesquita")</f>
        <v>Jose Antoniel Silva Mesquita</v>
      </c>
    </row>
    <row r="642">
      <c r="A642" s="29">
        <f>IFERROR(__xludf.DUMMYFUNCTION("""COMPUTED_VALUE"""),46043.79384259259)</f>
        <v>46043.79384</v>
      </c>
      <c r="B642" s="42" t="str">
        <f>IFERROR(__xludf.DUMMYFUNCTION("""COMPUTED_VALUE"""),"MCC046UC0638")</f>
        <v>MCC046UC0638</v>
      </c>
      <c r="C642" s="31" t="str">
        <f>IFERROR(__xludf.DUMMYFUNCTION("""COMPUTED_VALUE"""),"PILHA ALCALINA ELGIN PALITO AAA")</f>
        <v>PILHA ALCALINA ELGIN PALITO AAA</v>
      </c>
      <c r="D642" s="39">
        <f>IFERROR(__xludf.DUMMYFUNCTION("""COMPUTED_VALUE"""),1.0)</f>
        <v>1</v>
      </c>
      <c r="E642" s="34" t="str">
        <f>IFERROR(__xludf.DUMMYFUNCTION("""COMPUTED_VALUE"""),"Saída")</f>
        <v>Saída</v>
      </c>
      <c r="F642" s="34" t="str">
        <f>IFERROR(__xludf.DUMMYFUNCTION("""COMPUTED_VALUE"""),"PMM:livro-voador:")</f>
        <v>PMM:livro-voador:</v>
      </c>
      <c r="G642" s="39">
        <f t="array" ref="G642">XLOOKUP(B642,'Página9'!A:A,'Página9'!F:F,"")</f>
        <v>32</v>
      </c>
      <c r="H642" s="39">
        <f t="array" ref="H642">XLOOKUP(B642,'Página9'!A:A,'Página9'!C:C,"")</f>
        <v>4</v>
      </c>
      <c r="I642" s="35" t="str">
        <f t="array" ref="I642">XLOOKUP(B642,'Página9'!A:A,'Página9'!G:G,"")</f>
        <v>OK</v>
      </c>
      <c r="J642" s="25" t="str">
        <f t="shared" si="1"/>
        <v>PMM</v>
      </c>
      <c r="K642" s="25" t="str">
        <f>IFERROR(__xludf.DUMMYFUNCTION("""COMPUTED_VALUE"""),"Gabriel De Sousa Freitas")</f>
        <v>Gabriel De Sousa Freitas</v>
      </c>
    </row>
    <row r="643">
      <c r="A643" s="29">
        <f>IFERROR(__xludf.DUMMYFUNCTION("""COMPUTED_VALUE"""),46044.59416666667)</f>
        <v>46044.59417</v>
      </c>
      <c r="B643" s="42" t="str">
        <f>IFERROR(__xludf.DUMMYFUNCTION("""COMPUTED_VALUE"""),"MCC015UC0045")</f>
        <v>MCC015UC0045</v>
      </c>
      <c r="C643" s="31" t="str">
        <f>IFERROR(__xludf.DUMMYFUNCTION("""COMPUTED_VALUE"""),"FITA ADESIVA 69MM X 100M")</f>
        <v>FITA ADESIVA 69MM X 100M</v>
      </c>
      <c r="D643" s="39">
        <f>IFERROR(__xludf.DUMMYFUNCTION("""COMPUTED_VALUE"""),20.0)</f>
        <v>20</v>
      </c>
      <c r="E643" s="34" t="str">
        <f>IFERROR(__xludf.DUMMYFUNCTION("""COMPUTED_VALUE"""),"Saída")</f>
        <v>Saída</v>
      </c>
      <c r="F643" s="34" t="str">
        <f>IFERROR(__xludf.DUMMYFUNCTION("""COMPUTED_VALUE"""),"Recebimento:truck:")</f>
        <v>Recebimento:truck:</v>
      </c>
      <c r="G643" s="39">
        <f t="array" ref="G643">XLOOKUP(B643,'Página9'!A:A,'Página9'!F:F,"")</f>
        <v>287</v>
      </c>
      <c r="H643" s="39">
        <f t="array" ref="H643">XLOOKUP(B643,'Página9'!A:A,'Página9'!C:C,"")</f>
        <v>20</v>
      </c>
      <c r="I643" s="35" t="str">
        <f t="array" ref="I643">XLOOKUP(B643,'Página9'!A:A,'Página9'!G:G,"")</f>
        <v>OK</v>
      </c>
      <c r="J643" s="25" t="str">
        <f t="shared" si="1"/>
        <v>RECEBIMENTO</v>
      </c>
      <c r="K643" s="25" t="str">
        <f>IFERROR(__xludf.DUMMYFUNCTION("""COMPUTED_VALUE"""),"Ana Virginia De Castro Costa")</f>
        <v>Ana Virginia De Castro Costa</v>
      </c>
    </row>
    <row r="644">
      <c r="A644" s="29">
        <f>IFERROR(__xludf.DUMMYFUNCTION("""COMPUTED_VALUE"""),46044.60824074074)</f>
        <v>46044.60824</v>
      </c>
      <c r="B644" s="42" t="str">
        <f>IFERROR(__xludf.DUMMYFUNCTION("""COMPUTED_VALUE"""),"MCC015UC0045")</f>
        <v>MCC015UC0045</v>
      </c>
      <c r="C644" s="31" t="str">
        <f>IFERROR(__xludf.DUMMYFUNCTION("""COMPUTED_VALUE"""),"FITA ADESIVA 69MM X 100M")</f>
        <v>FITA ADESIVA 69MM X 100M</v>
      </c>
      <c r="D644" s="39">
        <f>IFERROR(__xludf.DUMMYFUNCTION("""COMPUTED_VALUE"""),4.0)</f>
        <v>4</v>
      </c>
      <c r="E644" s="34" t="str">
        <f>IFERROR(__xludf.DUMMYFUNCTION("""COMPUTED_VALUE"""),"Saída")</f>
        <v>Saída</v>
      </c>
      <c r="F644" s="34" t="str">
        <f>IFERROR(__xludf.DUMMYFUNCTION("""COMPUTED_VALUE"""),"Recebimento:truck:")</f>
        <v>Recebimento:truck:</v>
      </c>
      <c r="G644" s="39">
        <f t="array" ref="G644">XLOOKUP(B644,'Página9'!A:A,'Página9'!F:F,"")</f>
        <v>287</v>
      </c>
      <c r="H644" s="39">
        <f t="array" ref="H644">XLOOKUP(B644,'Página9'!A:A,'Página9'!C:C,"")</f>
        <v>20</v>
      </c>
      <c r="I644" s="35" t="str">
        <f t="array" ref="I644">XLOOKUP(B644,'Página9'!A:A,'Página9'!G:G,"")</f>
        <v>OK</v>
      </c>
      <c r="J644" s="25" t="str">
        <f t="shared" si="1"/>
        <v>RECEBIMENTO</v>
      </c>
      <c r="K644" s="25" t="str">
        <f>IFERROR(__xludf.DUMMYFUNCTION("""COMPUTED_VALUE"""),"Ana Virginia De Castro Costa")</f>
        <v>Ana Virginia De Castro Costa</v>
      </c>
    </row>
    <row r="645">
      <c r="A645" s="29">
        <f>IFERROR(__xludf.DUMMYFUNCTION("""COMPUTED_VALUE"""),46044.72023148148)</f>
        <v>46044.72023</v>
      </c>
      <c r="B645" s="42" t="str">
        <f>IFERROR(__xludf.DUMMYFUNCTION("""COMPUTED_VALUE"""),"MCC046UC0658")</f>
        <v>MCC046UC0658</v>
      </c>
      <c r="C645" s="31" t="str">
        <f>IFERROR(__xludf.DUMMYFUNCTION("""COMPUTED_VALUE"""),"ETIQUETA ADESIVA COUCHE LARANJA 100X150X1")</f>
        <v>ETIQUETA ADESIVA COUCHE LARANJA 100X150X1</v>
      </c>
      <c r="D645" s="39">
        <f>IFERROR(__xludf.DUMMYFUNCTION("""COMPUTED_VALUE"""),10.0)</f>
        <v>10</v>
      </c>
      <c r="E645" s="34" t="str">
        <f>IFERROR(__xludf.DUMMYFUNCTION("""COMPUTED_VALUE"""),"Saída")</f>
        <v>Saída</v>
      </c>
      <c r="F645" s="34" t="str">
        <f>IFERROR(__xludf.DUMMYFUNCTION("""COMPUTED_VALUE"""),"Expedição:ex-escolas-exponenciais:")</f>
        <v>Expedição:ex-escolas-exponenciais:</v>
      </c>
      <c r="G645" s="39">
        <f t="array" ref="G645">XLOOKUP(B645,'Página9'!A:A,'Página9'!F:F,"")</f>
        <v>32</v>
      </c>
      <c r="H645" s="39">
        <f t="array" ref="H645">XLOOKUP(B645,'Página9'!A:A,'Página9'!C:C,"")</f>
        <v>5</v>
      </c>
      <c r="I645" s="35" t="str">
        <f t="array" ref="I645">XLOOKUP(B645,'Página9'!A:A,'Página9'!G:G,"")</f>
        <v>OK</v>
      </c>
      <c r="J645" s="25" t="str">
        <f t="shared" si="1"/>
        <v>EXPEDIÇÃO</v>
      </c>
      <c r="K645" s="25" t="str">
        <f>IFERROR(__xludf.DUMMYFUNCTION("""COMPUTED_VALUE"""),"Rejane Fontes De Sousa")</f>
        <v>Rejane Fontes De Sousa</v>
      </c>
    </row>
    <row r="646">
      <c r="A646" s="29">
        <f>IFERROR(__xludf.DUMMYFUNCTION("""COMPUTED_VALUE"""),46045.55111111111)</f>
        <v>46045.55111</v>
      </c>
      <c r="B646" s="42" t="str">
        <f>IFERROR(__xludf.DUMMYFUNCTION("""COMPUTED_VALUE"""),"MCC046UC0639")</f>
        <v>MCC046UC0639</v>
      </c>
      <c r="C646" s="31" t="str">
        <f>IFERROR(__xludf.DUMMYFUNCTION("""COMPUTED_VALUE"""),"PILHA ALCALINA ELGIN PEQ.AA")</f>
        <v>PILHA ALCALINA ELGIN PEQ.AA</v>
      </c>
      <c r="D646" s="39">
        <f>IFERROR(__xludf.DUMMYFUNCTION("""COMPUTED_VALUE"""),1.0)</f>
        <v>1</v>
      </c>
      <c r="E646" s="34" t="str">
        <f>IFERROR(__xludf.DUMMYFUNCTION("""COMPUTED_VALUE"""),"Saída")</f>
        <v>Saída</v>
      </c>
      <c r="F646" s="34" t="str">
        <f>IFERROR(__xludf.DUMMYFUNCTION("""COMPUTED_VALUE"""),"Expedição:ex-escolas-exponenciais:")</f>
        <v>Expedição:ex-escolas-exponenciais:</v>
      </c>
      <c r="G646" s="39">
        <f t="array" ref="G646">XLOOKUP(B646,'Página9'!A:A,'Página9'!F:F,"")</f>
        <v>-5</v>
      </c>
      <c r="H646" s="39">
        <f t="array" ref="H646">XLOOKUP(B646,'Página9'!A:A,'Página9'!C:C,"")</f>
        <v>4</v>
      </c>
      <c r="I646" s="35" t="str">
        <f t="array" ref="I646">XLOOKUP(B646,'Página9'!A:A,'Página9'!G:G,"")</f>
        <v>REPOR ESTOQUE</v>
      </c>
      <c r="J646" s="25" t="str">
        <f t="shared" si="1"/>
        <v>EXPEDIÇÃO</v>
      </c>
      <c r="K646" s="25" t="str">
        <f>IFERROR(__xludf.DUMMYFUNCTION("""COMPUTED_VALUE"""),"Jackson Alves Sales")</f>
        <v>Jackson Alves Sales</v>
      </c>
    </row>
    <row r="647">
      <c r="A647" s="29">
        <f>IFERROR(__xludf.DUMMYFUNCTION("""COMPUTED_VALUE"""),46045.76464120371)</f>
        <v>46045.76464</v>
      </c>
      <c r="B647" s="42" t="str">
        <f>IFERROR(__xludf.DUMMYFUNCTION("""COMPUTED_VALUE"""),"MCC046UC0215")</f>
        <v>MCC046UC0215</v>
      </c>
      <c r="C647" s="31" t="str">
        <f>IFERROR(__xludf.DUMMYFUNCTION("""COMPUTED_VALUE"""),"CANETA ESFEROGRAFICA ECONOMIC AZUL BIC")</f>
        <v>CANETA ESFEROGRAFICA ECONOMIC AZUL BIC</v>
      </c>
      <c r="D647" s="39">
        <f>IFERROR(__xludf.DUMMYFUNCTION("""COMPUTED_VALUE"""),2.0)</f>
        <v>2</v>
      </c>
      <c r="E647" s="34" t="str">
        <f>IFERROR(__xludf.DUMMYFUNCTION("""COMPUTED_VALUE"""),"Saída")</f>
        <v>Saída</v>
      </c>
      <c r="F647" s="34" t="str">
        <f>IFERROR(__xludf.DUMMYFUNCTION("""COMPUTED_VALUE"""),"Expedição:ex-escolas-exponenciais:")</f>
        <v>Expedição:ex-escolas-exponenciais:</v>
      </c>
      <c r="G647" s="39">
        <f t="array" ref="G647">XLOOKUP(B647,'Página9'!A:A,'Página9'!F:F,"")</f>
        <v>-20</v>
      </c>
      <c r="H647" s="39">
        <f t="array" ref="H647">XLOOKUP(B647,'Página9'!A:A,'Página9'!C:C,"")</f>
        <v>15</v>
      </c>
      <c r="I647" s="35" t="str">
        <f t="array" ref="I647">XLOOKUP(B647,'Página9'!A:A,'Página9'!G:G,"")</f>
        <v>REPOR ESTOQUE</v>
      </c>
      <c r="J647" s="25" t="str">
        <f t="shared" si="1"/>
        <v>EXPEDIÇÃO</v>
      </c>
      <c r="K647" s="25" t="str">
        <f>IFERROR(__xludf.DUMMYFUNCTION("""COMPUTED_VALUE"""),"Jamile Ribeiro da Silva")</f>
        <v>Jamile Ribeiro da Silva</v>
      </c>
    </row>
    <row r="648">
      <c r="A648" s="29">
        <f>IFERROR(__xludf.DUMMYFUNCTION("""COMPUTED_VALUE"""),46048.56863425926)</f>
        <v>46048.56863</v>
      </c>
      <c r="B648" s="42" t="str">
        <f>IFERROR(__xludf.DUMMYFUNCTION("""COMPUTED_VALUE"""),"MCC015UC0008")</f>
        <v>MCC015UC0008</v>
      </c>
      <c r="C648" s="31" t="str">
        <f>IFERROR(__xludf.DUMMYFUNCTION("""COMPUTED_VALUE"""),"FILME STRETCH 500X25")</f>
        <v>FILME STRETCH 500X25</v>
      </c>
      <c r="D648" s="39">
        <f>IFERROR(__xludf.DUMMYFUNCTION("""COMPUTED_VALUE"""),10.0)</f>
        <v>10</v>
      </c>
      <c r="E648" s="34" t="str">
        <f>IFERROR(__xludf.DUMMYFUNCTION("""COMPUTED_VALUE"""),"Saída")</f>
        <v>Saída</v>
      </c>
      <c r="F648" s="34" t="str">
        <f>IFERROR(__xludf.DUMMYFUNCTION("""COMPUTED_VALUE"""),"Expedição:ex-escolas-exponenciais:")</f>
        <v>Expedição:ex-escolas-exponenciais:</v>
      </c>
      <c r="G648" s="39">
        <f t="array" ref="G648">XLOOKUP(B648,'Página9'!A:A,'Página9'!F:F,"")</f>
        <v>-158</v>
      </c>
      <c r="H648" s="39">
        <f t="array" ref="H648">XLOOKUP(B648,'Página9'!A:A,'Página9'!C:C,"")</f>
        <v>40</v>
      </c>
      <c r="I648" s="35" t="str">
        <f t="array" ref="I648">XLOOKUP(B648,'Página9'!A:A,'Página9'!G:G,"")</f>
        <v>REPOR ESTOQUE</v>
      </c>
      <c r="J648" s="25" t="str">
        <f t="shared" si="1"/>
        <v>EXPEDIÇÃO</v>
      </c>
      <c r="K648" s="25" t="str">
        <f>IFERROR(__xludf.DUMMYFUNCTION("""COMPUTED_VALUE"""),"Jackson Alves Sales")</f>
        <v>Jackson Alves Sales</v>
      </c>
    </row>
    <row r="649">
      <c r="A649" s="29">
        <f>IFERROR(__xludf.DUMMYFUNCTION("""COMPUTED_VALUE"""),46048.569074074076)</f>
        <v>46048.56907</v>
      </c>
      <c r="B649" s="42" t="str">
        <f>IFERROR(__xludf.DUMMYFUNCTION("""COMPUTED_VALUE"""),"MCC049UC0610")</f>
        <v>MCC049UC0610</v>
      </c>
      <c r="C649" s="31" t="str">
        <f>IFERROR(__xludf.DUMMYFUNCTION("""COMPUTED_VALUE"""),"GRAMPO PISTOLA ROCAMA 106/8 CX 5.000 UN")</f>
        <v>GRAMPO PISTOLA ROCAMA 106/8 CX 5.000 UN</v>
      </c>
      <c r="D649" s="39">
        <f>IFERROR(__xludf.DUMMYFUNCTION("""COMPUTED_VALUE"""),1.0)</f>
        <v>1</v>
      </c>
      <c r="E649" s="34" t="str">
        <f>IFERROR(__xludf.DUMMYFUNCTION("""COMPUTED_VALUE"""),"Saída")</f>
        <v>Saída</v>
      </c>
      <c r="F649" s="34" t="str">
        <f>IFERROR(__xludf.DUMMYFUNCTION("""COMPUTED_VALUE"""),"Estoque:package:")</f>
        <v>Estoque:package:</v>
      </c>
      <c r="G649" s="39">
        <f t="array" ref="G649">XLOOKUP(B649,'Página9'!A:A,'Página9'!F:F,"")</f>
        <v>-14</v>
      </c>
      <c r="H649" s="39">
        <f t="array" ref="H649">XLOOKUP(B649,'Página9'!A:A,'Página9'!C:C,"")</f>
        <v>1</v>
      </c>
      <c r="I649" s="35" t="str">
        <f t="array" ref="I649">XLOOKUP(B649,'Página9'!A:A,'Página9'!G:G,"")</f>
        <v>REPOR ESTOQUE</v>
      </c>
      <c r="J649" s="25" t="str">
        <f t="shared" si="1"/>
        <v>ESTOQUE</v>
      </c>
      <c r="K649" s="25" t="str">
        <f>IFERROR(__xludf.DUMMYFUNCTION("""COMPUTED_VALUE"""),"Jackson Alves Sales")</f>
        <v>Jackson Alves Sales</v>
      </c>
    </row>
    <row r="650">
      <c r="A650" s="29">
        <f>IFERROR(__xludf.DUMMYFUNCTION("""COMPUTED_VALUE"""),46048.77134259259)</f>
        <v>46048.77134</v>
      </c>
      <c r="B650" s="42" t="str">
        <f>IFERROR(__xludf.DUMMYFUNCTION("""COMPUTED_VALUE"""),"MCC046UC0215")</f>
        <v>MCC046UC0215</v>
      </c>
      <c r="C650" s="31" t="str">
        <f>IFERROR(__xludf.DUMMYFUNCTION("""COMPUTED_VALUE"""),"CANETA ESFEROGRAFICA ECONOMIC AZUL BIC")</f>
        <v>CANETA ESFEROGRAFICA ECONOMIC AZUL BIC</v>
      </c>
      <c r="D650" s="39">
        <f>IFERROR(__xludf.DUMMYFUNCTION("""COMPUTED_VALUE"""),2.0)</f>
        <v>2</v>
      </c>
      <c r="E650" s="34" t="str">
        <f>IFERROR(__xludf.DUMMYFUNCTION("""COMPUTED_VALUE"""),"Saída")</f>
        <v>Saída</v>
      </c>
      <c r="F650" s="34"/>
      <c r="G650" s="39">
        <f t="array" ref="G650">XLOOKUP(B650,'Página9'!A:A,'Página9'!F:F,"")</f>
        <v>-20</v>
      </c>
      <c r="H650" s="39">
        <f t="array" ref="H650">XLOOKUP(B650,'Página9'!A:A,'Página9'!C:C,"")</f>
        <v>15</v>
      </c>
      <c r="I650" s="35" t="str">
        <f t="array" ref="I650">XLOOKUP(B650,'Página9'!A:A,'Página9'!G:G,"")</f>
        <v>REPOR ESTOQUE</v>
      </c>
      <c r="J650" s="25" t="str">
        <f t="shared" si="1"/>
        <v/>
      </c>
      <c r="K650" s="25" t="str">
        <f>IFERROR(__xludf.DUMMYFUNCTION("""COMPUTED_VALUE"""),"Allison Breno Da Costa Borges Soares")</f>
        <v>Allison Breno Da Costa Borges Soares</v>
      </c>
    </row>
    <row r="651">
      <c r="A651" s="29">
        <f>IFERROR(__xludf.DUMMYFUNCTION("""COMPUTED_VALUE"""),46048.77171296296)</f>
        <v>46048.77171</v>
      </c>
      <c r="B651" s="42" t="str">
        <f>IFERROR(__xludf.DUMMYFUNCTION("""COMPUTED_VALUE"""),"MCC046UC0540")</f>
        <v>MCC046UC0540</v>
      </c>
      <c r="C651" s="31" t="str">
        <f>IFERROR(__xludf.DUMMYFUNCTION("""COMPUTED_VALUE"""),"POST-IT 653 C/4 BL 38X50MM VERDE/ROSA 100FLS 3M")</f>
        <v>POST-IT 653 C/4 BL 38X50MM VERDE/ROSA 100FLS 3M</v>
      </c>
      <c r="D651" s="39">
        <f>IFERROR(__xludf.DUMMYFUNCTION("""COMPUTED_VALUE"""),1.0)</f>
        <v>1</v>
      </c>
      <c r="E651" s="34" t="str">
        <f>IFERROR(__xludf.DUMMYFUNCTION("""COMPUTED_VALUE"""),"Saída")</f>
        <v>Saída</v>
      </c>
      <c r="F651" s="34"/>
      <c r="G651" s="39">
        <f t="array" ref="G651">XLOOKUP(B651,'Página9'!A:A,'Página9'!F:F,"")</f>
        <v>0</v>
      </c>
      <c r="H651" s="39">
        <f t="array" ref="H651">XLOOKUP(B651,'Página9'!A:A,'Página9'!C:C,"")</f>
        <v>3</v>
      </c>
      <c r="I651" s="35" t="str">
        <f t="array" ref="I651">XLOOKUP(B651,'Página9'!A:A,'Página9'!G:G,"")</f>
        <v>REPOR ESTOQUE</v>
      </c>
      <c r="J651" s="25" t="str">
        <f t="shared" si="1"/>
        <v/>
      </c>
      <c r="K651" s="25" t="str">
        <f>IFERROR(__xludf.DUMMYFUNCTION("""COMPUTED_VALUE"""),"Allison Breno Da Costa Borges Soares")</f>
        <v>Allison Breno Da Costa Borges Soares</v>
      </c>
    </row>
    <row r="652">
      <c r="A652" s="29">
        <f>IFERROR(__xludf.DUMMYFUNCTION("""COMPUTED_VALUE"""),46049.49681712963)</f>
        <v>46049.49682</v>
      </c>
      <c r="B652" s="42" t="str">
        <f>IFERROR(__xludf.DUMMYFUNCTION("""COMPUTED_VALUE"""),"MCC015UC0033")</f>
        <v>MCC015UC0033</v>
      </c>
      <c r="C652" s="31" t="str">
        <f>IFERROR(__xludf.DUMMYFUNCTION("""COMPUTED_VALUE"""),"FITA DE ARQUEAR PET VERDE 16MM X 0,8MM C/ 13KG")</f>
        <v>FITA DE ARQUEAR PET VERDE 16MM X 0,8MM C/ 13KG</v>
      </c>
      <c r="D652" s="39">
        <f>IFERROR(__xludf.DUMMYFUNCTION("""COMPUTED_VALUE"""),1.0)</f>
        <v>1</v>
      </c>
      <c r="E652" s="34" t="str">
        <f>IFERROR(__xludf.DUMMYFUNCTION("""COMPUTED_VALUE"""),"Saída")</f>
        <v>Saída</v>
      </c>
      <c r="F652" s="34"/>
      <c r="G652" s="39">
        <f t="array" ref="G652">XLOOKUP(B652,'Página9'!A:A,'Página9'!F:F,"")</f>
        <v>4</v>
      </c>
      <c r="H652" s="39">
        <f t="array" ref="H652">XLOOKUP(B652,'Página9'!A:A,'Página9'!C:C,"")</f>
        <v>3</v>
      </c>
      <c r="I652" s="35" t="str">
        <f t="array" ref="I652">XLOOKUP(B652,'Página9'!A:A,'Página9'!G:G,"")</f>
        <v>OK</v>
      </c>
      <c r="J652" s="25" t="str">
        <f t="shared" si="1"/>
        <v/>
      </c>
      <c r="K652" s="25" t="str">
        <f>IFERROR(__xludf.DUMMYFUNCTION("""COMPUTED_VALUE"""),"Jose Edervanio Lima Mateus")</f>
        <v>Jose Edervanio Lima Mateus</v>
      </c>
    </row>
    <row r="653">
      <c r="A653" s="29">
        <f>IFERROR(__xludf.DUMMYFUNCTION("""COMPUTED_VALUE"""),46049.49798611111)</f>
        <v>46049.49799</v>
      </c>
      <c r="B653" s="42" t="str">
        <f>IFERROR(__xludf.DUMMYFUNCTION("""COMPUTED_VALUE"""),"MCC015UC0008")</f>
        <v>MCC015UC0008</v>
      </c>
      <c r="C653" s="31" t="str">
        <f>IFERROR(__xludf.DUMMYFUNCTION("""COMPUTED_VALUE"""),"FILME STRETCH 500X25")</f>
        <v>FILME STRETCH 500X25</v>
      </c>
      <c r="D653" s="39">
        <f>IFERROR(__xludf.DUMMYFUNCTION("""COMPUTED_VALUE"""),4.0)</f>
        <v>4</v>
      </c>
      <c r="E653" s="34" t="str">
        <f>IFERROR(__xludf.DUMMYFUNCTION("""COMPUTED_VALUE"""),"Saída")</f>
        <v>Saída</v>
      </c>
      <c r="F653" s="34"/>
      <c r="G653" s="39">
        <f t="array" ref="G653">XLOOKUP(B653,'Página9'!A:A,'Página9'!F:F,"")</f>
        <v>-158</v>
      </c>
      <c r="H653" s="39">
        <f t="array" ref="H653">XLOOKUP(B653,'Página9'!A:A,'Página9'!C:C,"")</f>
        <v>40</v>
      </c>
      <c r="I653" s="35" t="str">
        <f t="array" ref="I653">XLOOKUP(B653,'Página9'!A:A,'Página9'!G:G,"")</f>
        <v>REPOR ESTOQUE</v>
      </c>
      <c r="J653" s="25" t="str">
        <f t="shared" si="1"/>
        <v/>
      </c>
      <c r="K653" s="25" t="str">
        <f>IFERROR(__xludf.DUMMYFUNCTION("""COMPUTED_VALUE"""),"Jose Edervanio Lima Mateus")</f>
        <v>Jose Edervanio Lima Mateus</v>
      </c>
    </row>
    <row r="654">
      <c r="A654" s="29">
        <f>IFERROR(__xludf.DUMMYFUNCTION("""COMPUTED_VALUE"""),46049.513020833336)</f>
        <v>46049.51302</v>
      </c>
      <c r="B654" s="42" t="str">
        <f>IFERROR(__xludf.DUMMYFUNCTION("""COMPUTED_VALUE"""),"MCC015UC0008")</f>
        <v>MCC015UC0008</v>
      </c>
      <c r="C654" s="31" t="str">
        <f>IFERROR(__xludf.DUMMYFUNCTION("""COMPUTED_VALUE"""),"FILME STRETCH 500X25")</f>
        <v>FILME STRETCH 500X25</v>
      </c>
      <c r="D654" s="39">
        <f>IFERROR(__xludf.DUMMYFUNCTION("""COMPUTED_VALUE"""),1.0)</f>
        <v>1</v>
      </c>
      <c r="E654" s="34" t="str">
        <f>IFERROR(__xludf.DUMMYFUNCTION("""COMPUTED_VALUE"""),"Saída")</f>
        <v>Saída</v>
      </c>
      <c r="F654" s="34"/>
      <c r="G654" s="39">
        <f t="array" ref="G654">XLOOKUP(B654,'Página9'!A:A,'Página9'!F:F,"")</f>
        <v>-158</v>
      </c>
      <c r="H654" s="39">
        <f t="array" ref="H654">XLOOKUP(B654,'Página9'!A:A,'Página9'!C:C,"")</f>
        <v>40</v>
      </c>
      <c r="I654" s="35" t="str">
        <f t="array" ref="I654">XLOOKUP(B654,'Página9'!A:A,'Página9'!G:G,"")</f>
        <v>REPOR ESTOQUE</v>
      </c>
      <c r="J654" s="25" t="str">
        <f t="shared" si="1"/>
        <v/>
      </c>
      <c r="K654" s="25" t="str">
        <f>IFERROR(__xludf.DUMMYFUNCTION("""COMPUTED_VALUE"""),"Jose Antoniel Silva Mesquita")</f>
        <v>Jose Antoniel Silva Mesquita</v>
      </c>
    </row>
    <row r="655">
      <c r="A655" s="29">
        <f>IFERROR(__xludf.DUMMYFUNCTION("""COMPUTED_VALUE"""),46049.52179398148)</f>
        <v>46049.52179</v>
      </c>
      <c r="B655" s="42" t="str">
        <f>IFERROR(__xludf.DUMMYFUNCTION("""COMPUTED_VALUE"""),"MCC046UC0082")</f>
        <v>MCC046UC0082</v>
      </c>
      <c r="C655" s="31" t="str">
        <f>IFERROR(__xludf.DUMMYFUNCTION("""COMPUTED_VALUE"""),"PAPEL SULFITE A4 75G 500 FOLHAS")</f>
        <v>PAPEL SULFITE A4 75G 500 FOLHAS</v>
      </c>
      <c r="D655" s="39">
        <f>IFERROR(__xludf.DUMMYFUNCTION("""COMPUTED_VALUE"""),3.0)</f>
        <v>3</v>
      </c>
      <c r="E655" s="34" t="str">
        <f>IFERROR(__xludf.DUMMYFUNCTION("""COMPUTED_VALUE"""),"Saída")</f>
        <v>Saída</v>
      </c>
      <c r="F655" s="34"/>
      <c r="G655" s="39">
        <f t="array" ref="G655">XLOOKUP(B655,'Página9'!A:A,'Página9'!F:F,"")</f>
        <v>163</v>
      </c>
      <c r="H655" s="39">
        <f t="array" ref="H655">XLOOKUP(B655,'Página9'!A:A,'Página9'!C:C,"")</f>
        <v>10</v>
      </c>
      <c r="I655" s="35" t="str">
        <f t="array" ref="I655">XLOOKUP(B655,'Página9'!A:A,'Página9'!G:G,"")</f>
        <v>OK</v>
      </c>
      <c r="J655" s="25" t="str">
        <f t="shared" si="1"/>
        <v/>
      </c>
      <c r="K655" s="25" t="str">
        <f>IFERROR(__xludf.DUMMYFUNCTION("""COMPUTED_VALUE"""),"Jamile Ribeiro da Silva")</f>
        <v>Jamile Ribeiro da Silva</v>
      </c>
    </row>
    <row r="656">
      <c r="A656" s="29">
        <f>IFERROR(__xludf.DUMMYFUNCTION("""COMPUTED_VALUE"""),46049.74545138889)</f>
        <v>46049.74545</v>
      </c>
      <c r="B656" s="42" t="str">
        <f>IFERROR(__xludf.DUMMYFUNCTION("""COMPUTED_VALUE"""),"MCC015UC0045")</f>
        <v>MCC015UC0045</v>
      </c>
      <c r="C656" s="31" t="str">
        <f>IFERROR(__xludf.DUMMYFUNCTION("""COMPUTED_VALUE"""),"FITA ADESIVA 69MM X 100M")</f>
        <v>FITA ADESIVA 69MM X 100M</v>
      </c>
      <c r="D656" s="39">
        <f>IFERROR(__xludf.DUMMYFUNCTION("""COMPUTED_VALUE"""),10.0)</f>
        <v>10</v>
      </c>
      <c r="E656" s="34" t="str">
        <f>IFERROR(__xludf.DUMMYFUNCTION("""COMPUTED_VALUE"""),"Saída")</f>
        <v>Saída</v>
      </c>
      <c r="F656" s="34"/>
      <c r="G656" s="39">
        <f t="array" ref="G656">XLOOKUP(B656,'Página9'!A:A,'Página9'!F:F,"")</f>
        <v>287</v>
      </c>
      <c r="H656" s="39">
        <f t="array" ref="H656">XLOOKUP(B656,'Página9'!A:A,'Página9'!C:C,"")</f>
        <v>20</v>
      </c>
      <c r="I656" s="35" t="str">
        <f t="array" ref="I656">XLOOKUP(B656,'Página9'!A:A,'Página9'!G:G,"")</f>
        <v>OK</v>
      </c>
      <c r="J656" s="25" t="str">
        <f t="shared" si="1"/>
        <v/>
      </c>
      <c r="K656" s="25" t="str">
        <f>IFERROR(__xludf.DUMMYFUNCTION("""COMPUTED_VALUE"""),"Jackson Alves Sales")</f>
        <v>Jackson Alves Sales</v>
      </c>
    </row>
    <row r="657">
      <c r="A657" s="29">
        <f>IFERROR(__xludf.DUMMYFUNCTION("""COMPUTED_VALUE"""),46049.78428240741)</f>
        <v>46049.78428</v>
      </c>
      <c r="B657" s="42" t="str">
        <f>IFERROR(__xludf.DUMMYFUNCTION("""COMPUTED_VALUE"""),"MCC015UC0008")</f>
        <v>MCC015UC0008</v>
      </c>
      <c r="C657" s="31" t="str">
        <f>IFERROR(__xludf.DUMMYFUNCTION("""COMPUTED_VALUE"""),"FILME STRETCH 500X25")</f>
        <v>FILME STRETCH 500X25</v>
      </c>
      <c r="D657" s="39">
        <f>IFERROR(__xludf.DUMMYFUNCTION("""COMPUTED_VALUE"""),8.0)</f>
        <v>8</v>
      </c>
      <c r="E657" s="34" t="str">
        <f>IFERROR(__xludf.DUMMYFUNCTION("""COMPUTED_VALUE"""),"Saída")</f>
        <v>Saída</v>
      </c>
      <c r="F657" s="34"/>
      <c r="G657" s="39">
        <f t="array" ref="G657">XLOOKUP(B657,'Página9'!A:A,'Página9'!F:F,"")</f>
        <v>-158</v>
      </c>
      <c r="H657" s="39">
        <f t="array" ref="H657">XLOOKUP(B657,'Página9'!A:A,'Página9'!C:C,"")</f>
        <v>40</v>
      </c>
      <c r="I657" s="35" t="str">
        <f t="array" ref="I657">XLOOKUP(B657,'Página9'!A:A,'Página9'!G:G,"")</f>
        <v>REPOR ESTOQUE</v>
      </c>
      <c r="J657" s="25" t="str">
        <f t="shared" si="1"/>
        <v/>
      </c>
      <c r="K657" s="25" t="str">
        <f>IFERROR(__xludf.DUMMYFUNCTION("""COMPUTED_VALUE"""),"Yago Rocha Fernandes")</f>
        <v>Yago Rocha Fernandes</v>
      </c>
    </row>
    <row r="658">
      <c r="A658" s="29">
        <f>IFERROR(__xludf.DUMMYFUNCTION("""COMPUTED_VALUE"""),46050.69415509259)</f>
        <v>46050.69416</v>
      </c>
      <c r="B658" s="42" t="str">
        <f>IFERROR(__xludf.DUMMYFUNCTION("""COMPUTED_VALUE"""),"MCC015UC0045")</f>
        <v>MCC015UC0045</v>
      </c>
      <c r="C658" s="31" t="str">
        <f>IFERROR(__xludf.DUMMYFUNCTION("""COMPUTED_VALUE"""),"FITA ADESIVA 69MM X 100M")</f>
        <v>FITA ADESIVA 69MM X 100M</v>
      </c>
      <c r="D658" s="39">
        <f>IFERROR(__xludf.DUMMYFUNCTION("""COMPUTED_VALUE"""),12.0)</f>
        <v>12</v>
      </c>
      <c r="E658" s="34" t="str">
        <f>IFERROR(__xludf.DUMMYFUNCTION("""COMPUTED_VALUE"""),"Saída")</f>
        <v>Saída</v>
      </c>
      <c r="F658" s="34"/>
      <c r="G658" s="39">
        <f t="array" ref="G658">XLOOKUP(B658,'Página9'!A:A,'Página9'!F:F,"")</f>
        <v>287</v>
      </c>
      <c r="H658" s="39">
        <f t="array" ref="H658">XLOOKUP(B658,'Página9'!A:A,'Página9'!C:C,"")</f>
        <v>20</v>
      </c>
      <c r="I658" s="35" t="str">
        <f t="array" ref="I658">XLOOKUP(B658,'Página9'!A:A,'Página9'!G:G,"")</f>
        <v>OK</v>
      </c>
      <c r="J658" s="25" t="str">
        <f t="shared" si="1"/>
        <v/>
      </c>
      <c r="K658" s="25" t="str">
        <f>IFERROR(__xludf.DUMMYFUNCTION("""COMPUTED_VALUE"""),"Philipe Araujo Barroso")</f>
        <v>Philipe Araujo Barroso</v>
      </c>
    </row>
    <row r="659">
      <c r="A659" s="29">
        <f>IFERROR(__xludf.DUMMYFUNCTION("""COMPUTED_VALUE"""),46050.707974537036)</f>
        <v>46050.70797</v>
      </c>
      <c r="B659" s="42" t="str">
        <f>IFERROR(__xludf.DUMMYFUNCTION("""COMPUTED_VALUE"""),"MCC015UC0045")</f>
        <v>MCC015UC0045</v>
      </c>
      <c r="C659" s="31" t="str">
        <f>IFERROR(__xludf.DUMMYFUNCTION("""COMPUTED_VALUE"""),"FITA ADESIVA 69MM X 100M")</f>
        <v>FITA ADESIVA 69MM X 100M</v>
      </c>
      <c r="D659" s="39">
        <f>IFERROR(__xludf.DUMMYFUNCTION("""COMPUTED_VALUE"""),12.0)</f>
        <v>12</v>
      </c>
      <c r="E659" s="34" t="str">
        <f>IFERROR(__xludf.DUMMYFUNCTION("""COMPUTED_VALUE"""),"Saída")</f>
        <v>Saída</v>
      </c>
      <c r="F659" s="34"/>
      <c r="G659" s="39">
        <f t="array" ref="G659">XLOOKUP(B659,'Página9'!A:A,'Página9'!F:F,"")</f>
        <v>287</v>
      </c>
      <c r="H659" s="39">
        <f t="array" ref="H659">XLOOKUP(B659,'Página9'!A:A,'Página9'!C:C,"")</f>
        <v>20</v>
      </c>
      <c r="I659" s="35" t="str">
        <f t="array" ref="I659">XLOOKUP(B659,'Página9'!A:A,'Página9'!G:G,"")</f>
        <v>OK</v>
      </c>
      <c r="J659" s="25" t="str">
        <f t="shared" si="1"/>
        <v/>
      </c>
      <c r="K659" s="25" t="str">
        <f>IFERROR(__xludf.DUMMYFUNCTION("""COMPUTED_VALUE"""),"Philipe Araujo Barroso")</f>
        <v>Philipe Araujo Barroso</v>
      </c>
    </row>
    <row r="660">
      <c r="A660" s="29">
        <f>IFERROR(__xludf.DUMMYFUNCTION("""COMPUTED_VALUE"""),46051.0)</f>
        <v>46051</v>
      </c>
      <c r="B660" s="42" t="str">
        <f>IFERROR(__xludf.DUMMYFUNCTION("""COMPUTED_VALUE"""),"MCC046UC0687")</f>
        <v>MCC046UC0687</v>
      </c>
      <c r="C660" s="31" t="str">
        <f>IFERROR(__xludf.DUMMYFUNCTION("""COMPUTED_VALUE"""),"ETIQUETA COUCHE - 100X100X 1")</f>
        <v>ETIQUETA COUCHE - 100X100X 1</v>
      </c>
      <c r="D660" s="39">
        <f>IFERROR(__xludf.DUMMYFUNCTION("""COMPUTED_VALUE"""),1.0)</f>
        <v>1</v>
      </c>
      <c r="E660" s="34" t="str">
        <f>IFERROR(__xludf.DUMMYFUNCTION("""COMPUTED_VALUE"""),"Saída")</f>
        <v>Saída</v>
      </c>
      <c r="F660" s="34"/>
      <c r="G660" s="39">
        <f t="array" ref="G660">XLOOKUP(B660,'Página9'!A:A,'Página9'!F:F,"")</f>
        <v>335</v>
      </c>
      <c r="H660" s="39">
        <f t="array" ref="H660">XLOOKUP(B660,'Página9'!A:A,'Página9'!C:C,"")</f>
        <v>20</v>
      </c>
      <c r="I660" s="35" t="str">
        <f t="array" ref="I660">XLOOKUP(B660,'Página9'!A:A,'Página9'!G:G,"")</f>
        <v>OK</v>
      </c>
      <c r="J660" s="25" t="str">
        <f t="shared" si="1"/>
        <v/>
      </c>
      <c r="K660" s="25" t="str">
        <f>IFERROR(__xludf.DUMMYFUNCTION("""COMPUTED_VALUE"""),"Francisco Renato Da Silva De Oliveira Junior")</f>
        <v>Francisco Renato Da Silva De Oliveira Junior</v>
      </c>
    </row>
    <row r="661">
      <c r="A661" s="29">
        <f>IFERROR(__xludf.DUMMYFUNCTION("""COMPUTED_VALUE"""),46051.0)</f>
        <v>46051</v>
      </c>
      <c r="B661" s="42" t="str">
        <f>IFERROR(__xludf.DUMMYFUNCTION("""COMPUTED_VALUE"""),"MCC046UC0695")</f>
        <v>MCC046UC0695</v>
      </c>
      <c r="C661" s="31" t="str">
        <f>IFERROR(__xludf.DUMMYFUNCTION("""COMPUTED_VALUE"""),"ETIQUETA COUCHE 98X50X1")</f>
        <v>ETIQUETA COUCHE 98X50X1</v>
      </c>
      <c r="D661" s="39">
        <f>IFERROR(__xludf.DUMMYFUNCTION("""COMPUTED_VALUE"""),6.0)</f>
        <v>6</v>
      </c>
      <c r="E661" s="34" t="str">
        <f>IFERROR(__xludf.DUMMYFUNCTION("""COMPUTED_VALUE"""),"Saída")</f>
        <v>Saída</v>
      </c>
      <c r="F661" s="34"/>
      <c r="G661" s="39">
        <f t="array" ref="G661">XLOOKUP(B661,'Página9'!A:A,'Página9'!F:F,"")</f>
        <v>256</v>
      </c>
      <c r="H661" s="39">
        <f t="array" ref="H661">XLOOKUP(B661,'Página9'!A:A,'Página9'!C:C,"")</f>
        <v>20</v>
      </c>
      <c r="I661" s="35" t="str">
        <f t="array" ref="I661">XLOOKUP(B661,'Página9'!A:A,'Página9'!G:G,"")</f>
        <v>OK</v>
      </c>
      <c r="J661" s="25" t="str">
        <f t="shared" si="1"/>
        <v/>
      </c>
      <c r="K661" s="25" t="str">
        <f>IFERROR(__xludf.DUMMYFUNCTION("""COMPUTED_VALUE"""),"Jamile Ribeiro da Silva")</f>
        <v>Jamile Ribeiro da Silva</v>
      </c>
    </row>
    <row r="662">
      <c r="A662" s="29">
        <f>IFERROR(__xludf.DUMMYFUNCTION("""COMPUTED_VALUE"""),46051.0)</f>
        <v>46051</v>
      </c>
      <c r="B662" s="42" t="str">
        <f>IFERROR(__xludf.DUMMYFUNCTION("""COMPUTED_VALUE"""),"MCC015UC0045")</f>
        <v>MCC015UC0045</v>
      </c>
      <c r="C662" s="31" t="str">
        <f>IFERROR(__xludf.DUMMYFUNCTION("""COMPUTED_VALUE"""),"FITA ADESIVA 69MM X 100M")</f>
        <v>FITA ADESIVA 69MM X 100M</v>
      </c>
      <c r="D662" s="39">
        <f>IFERROR(__xludf.DUMMYFUNCTION("""COMPUTED_VALUE"""),5.0)</f>
        <v>5</v>
      </c>
      <c r="E662" s="34" t="str">
        <f>IFERROR(__xludf.DUMMYFUNCTION("""COMPUTED_VALUE"""),"Saída")</f>
        <v>Saída</v>
      </c>
      <c r="F662" s="34"/>
      <c r="G662" s="39">
        <f t="array" ref="G662">XLOOKUP(B662,'Página9'!A:A,'Página9'!F:F,"")</f>
        <v>287</v>
      </c>
      <c r="H662" s="39">
        <f t="array" ref="H662">XLOOKUP(B662,'Página9'!A:A,'Página9'!C:C,"")</f>
        <v>20</v>
      </c>
      <c r="I662" s="35" t="str">
        <f t="array" ref="I662">XLOOKUP(B662,'Página9'!A:A,'Página9'!G:G,"")</f>
        <v>OK</v>
      </c>
      <c r="J662" s="25" t="str">
        <f t="shared" si="1"/>
        <v/>
      </c>
      <c r="K662" s="25" t="str">
        <f>IFERROR(__xludf.DUMMYFUNCTION("""COMPUTED_VALUE"""),"Jamile Ribeiro da Silva")</f>
        <v>Jamile Ribeiro da Silva</v>
      </c>
    </row>
    <row r="663">
      <c r="A663" s="37">
        <f>IFERROR(__xludf.DUMMYFUNCTION("""COMPUTED_VALUE"""),46052.0)</f>
        <v>46052</v>
      </c>
      <c r="B663" s="42" t="str">
        <f>IFERROR(__xludf.DUMMYFUNCTION("""COMPUTED_VALUE"""),"MCC046UC0082")</f>
        <v>MCC046UC0082</v>
      </c>
      <c r="C663" s="31" t="str">
        <f>IFERROR(__xludf.DUMMYFUNCTION("""COMPUTED_VALUE"""),"PAPEL SULFITE A4 75G 500 FOLHAS")</f>
        <v>PAPEL SULFITE A4 75G 500 FOLHAS</v>
      </c>
      <c r="D663" s="39">
        <f>IFERROR(__xludf.DUMMYFUNCTION("""COMPUTED_VALUE"""),10.0)</f>
        <v>10</v>
      </c>
      <c r="E663" s="34" t="str">
        <f>IFERROR(__xludf.DUMMYFUNCTION("""COMPUTED_VALUE"""),"Saída")</f>
        <v>Saída</v>
      </c>
      <c r="F663" s="34"/>
      <c r="G663" s="39">
        <f t="array" ref="G663">XLOOKUP(B663,'Página9'!A:A,'Página9'!F:F,"")</f>
        <v>163</v>
      </c>
      <c r="H663" s="39">
        <f t="array" ref="H663">XLOOKUP(B663,'Página9'!A:A,'Página9'!C:C,"")</f>
        <v>10</v>
      </c>
      <c r="I663" s="35" t="str">
        <f t="array" ref="I663">XLOOKUP(B663,'Página9'!A:A,'Página9'!G:G,"")</f>
        <v>OK</v>
      </c>
      <c r="J663" s="25" t="str">
        <f t="shared" si="1"/>
        <v/>
      </c>
      <c r="K663" s="25" t="str">
        <f>IFERROR(__xludf.DUMMYFUNCTION("""COMPUTED_VALUE"""),"Francisco Renato Da Silva De Oliveira Junior")</f>
        <v>Francisco Renato Da Silva De Oliveira Junior</v>
      </c>
    </row>
    <row r="664">
      <c r="A664" s="37">
        <f>IFERROR(__xludf.DUMMYFUNCTION("""COMPUTED_VALUE"""),46052.0)</f>
        <v>46052</v>
      </c>
      <c r="B664" s="42" t="str">
        <f>IFERROR(__xludf.DUMMYFUNCTION("""COMPUTED_VALUE"""),"MCC046UC0687")</f>
        <v>MCC046UC0687</v>
      </c>
      <c r="C664" s="31" t="str">
        <f>IFERROR(__xludf.DUMMYFUNCTION("""COMPUTED_VALUE"""),"ETIQUETA COUCHE - 100X100X 1")</f>
        <v>ETIQUETA COUCHE - 100X100X 1</v>
      </c>
      <c r="D664" s="39">
        <f>IFERROR(__xludf.DUMMYFUNCTION("""COMPUTED_VALUE"""),11.0)</f>
        <v>11</v>
      </c>
      <c r="E664" s="34" t="str">
        <f>IFERROR(__xludf.DUMMYFUNCTION("""COMPUTED_VALUE"""),"Saída")</f>
        <v>Saída</v>
      </c>
      <c r="F664" s="34"/>
      <c r="G664" s="39">
        <f t="array" ref="G664">XLOOKUP(B664,'Página9'!A:A,'Página9'!F:F,"")</f>
        <v>335</v>
      </c>
      <c r="H664" s="39">
        <f t="array" ref="H664">XLOOKUP(B664,'Página9'!A:A,'Página9'!C:C,"")</f>
        <v>20</v>
      </c>
      <c r="I664" s="35" t="str">
        <f t="array" ref="I664">XLOOKUP(B664,'Página9'!A:A,'Página9'!G:G,"")</f>
        <v>OK</v>
      </c>
      <c r="J664" s="25" t="str">
        <f t="shared" si="1"/>
        <v/>
      </c>
      <c r="K664" s="25" t="str">
        <f>IFERROR(__xludf.DUMMYFUNCTION("""COMPUTED_VALUE"""),"Francisco Renato Da Silva De Oliveira Junior")</f>
        <v>Francisco Renato Da Silva De Oliveira Junior</v>
      </c>
    </row>
    <row r="665">
      <c r="A665" s="37">
        <f>IFERROR(__xludf.DUMMYFUNCTION("""COMPUTED_VALUE"""),46055.0)</f>
        <v>46055</v>
      </c>
      <c r="B665" s="42" t="str">
        <f>IFERROR(__xludf.DUMMYFUNCTION("""COMPUTED_VALUE"""),"MCC049UC0600")</f>
        <v>MCC049UC0600</v>
      </c>
      <c r="C665" s="31" t="str">
        <f>IFERROR(__xludf.DUMMYFUNCTION("""COMPUTED_VALUE"""),"FITA ADESIVA P/ CACHORRO PERSONALIZADA")</f>
        <v>FITA ADESIVA P/ CACHORRO PERSONALIZADA</v>
      </c>
      <c r="D665" s="39">
        <f>IFERROR(__xludf.DUMMYFUNCTION("""COMPUTED_VALUE"""),24.0)</f>
        <v>24</v>
      </c>
      <c r="E665" s="34" t="str">
        <f>IFERROR(__xludf.DUMMYFUNCTION("""COMPUTED_VALUE"""),"Saída")</f>
        <v>Saída</v>
      </c>
      <c r="F665" s="34"/>
      <c r="G665" s="39">
        <f t="array" ref="G665">XLOOKUP(B665,'Página9'!A:A,'Página9'!F:F,"")</f>
        <v>156</v>
      </c>
      <c r="H665" s="39">
        <f t="array" ref="H665">XLOOKUP(B665,'Página9'!A:A,'Página9'!C:C,"")</f>
        <v>10</v>
      </c>
      <c r="I665" s="35" t="str">
        <f t="array" ref="I665">XLOOKUP(B665,'Página9'!A:A,'Página9'!G:G,"")</f>
        <v>OK</v>
      </c>
      <c r="J665" s="25" t="str">
        <f t="shared" si="1"/>
        <v/>
      </c>
      <c r="K665" s="25" t="str">
        <f>IFERROR(__xludf.DUMMYFUNCTION("""COMPUTED_VALUE"""),"Silvana Da Silva Pereira")</f>
        <v>Silvana Da Silva Pereira</v>
      </c>
    </row>
    <row r="666">
      <c r="A666" s="37">
        <f>IFERROR(__xludf.DUMMYFUNCTION("""COMPUTED_VALUE"""),46055.0)</f>
        <v>46055</v>
      </c>
      <c r="B666" s="42" t="str">
        <f>IFERROR(__xludf.DUMMYFUNCTION("""COMPUTED_VALUE"""),"EMC015MO0007")</f>
        <v>EMC015MO0007</v>
      </c>
      <c r="C666" s="31" t="str">
        <f>IFERROR(__xludf.DUMMYFUNCTION("""COMPUTED_VALUE"""),"RIBBON CERA PRETO 110MMX74M")</f>
        <v>RIBBON CERA PRETO 110MMX74M</v>
      </c>
      <c r="D666" s="39">
        <f>IFERROR(__xludf.DUMMYFUNCTION("""COMPUTED_VALUE"""),5.0)</f>
        <v>5</v>
      </c>
      <c r="E666" s="34" t="str">
        <f>IFERROR(__xludf.DUMMYFUNCTION("""COMPUTED_VALUE"""),"Saída")</f>
        <v>Saída</v>
      </c>
      <c r="F666" s="34"/>
      <c r="G666" s="39">
        <f t="array" ref="G666">XLOOKUP(B666,'Página9'!A:A,'Página9'!F:F,"")</f>
        <v>646</v>
      </c>
      <c r="H666" s="39">
        <f t="array" ref="H666">XLOOKUP(B666,'Página9'!A:A,'Página9'!C:C,"")</f>
        <v>5</v>
      </c>
      <c r="I666" s="35" t="str">
        <f t="array" ref="I666">XLOOKUP(B666,'Página9'!A:A,'Página9'!G:G,"")</f>
        <v>OK</v>
      </c>
      <c r="J666" s="25" t="str">
        <f t="shared" si="1"/>
        <v/>
      </c>
      <c r="K666" s="25" t="str">
        <f>IFERROR(__xludf.DUMMYFUNCTION("""COMPUTED_VALUE"""),"Cosme Marcio Barros Barbosa")</f>
        <v>Cosme Marcio Barros Barbosa</v>
      </c>
    </row>
    <row r="667">
      <c r="A667" s="37">
        <f>IFERROR(__xludf.DUMMYFUNCTION("""COMPUTED_VALUE"""),46056.0)</f>
        <v>46056</v>
      </c>
      <c r="B667" s="42" t="str">
        <f>IFERROR(__xludf.DUMMYFUNCTION("""COMPUTED_VALUE"""),"MCC015UC0008")</f>
        <v>MCC015UC0008</v>
      </c>
      <c r="C667" s="31" t="str">
        <f>IFERROR(__xludf.DUMMYFUNCTION("""COMPUTED_VALUE"""),"FILME STRETCH 500X25")</f>
        <v>FILME STRETCH 500X25</v>
      </c>
      <c r="D667" s="39">
        <f>IFERROR(__xludf.DUMMYFUNCTION("""COMPUTED_VALUE"""),14.0)</f>
        <v>14</v>
      </c>
      <c r="E667" s="34" t="str">
        <f>IFERROR(__xludf.DUMMYFUNCTION("""COMPUTED_VALUE"""),"Saída")</f>
        <v>Saída</v>
      </c>
      <c r="F667" s="34"/>
      <c r="G667" s="39">
        <f t="array" ref="G667">XLOOKUP(B667,'Página9'!A:A,'Página9'!F:F,"")</f>
        <v>-158</v>
      </c>
      <c r="H667" s="39">
        <f t="array" ref="H667">XLOOKUP(B667,'Página9'!A:A,'Página9'!C:C,"")</f>
        <v>40</v>
      </c>
      <c r="I667" s="35" t="str">
        <f t="array" ref="I667">XLOOKUP(B667,'Página9'!A:A,'Página9'!G:G,"")</f>
        <v>REPOR ESTOQUE</v>
      </c>
      <c r="J667" s="25" t="str">
        <f t="shared" si="1"/>
        <v/>
      </c>
      <c r="K667" s="25" t="str">
        <f>IFERROR(__xludf.DUMMYFUNCTION("""COMPUTED_VALUE"""),"Allison Breno Da Costa Borges Soares")</f>
        <v>Allison Breno Da Costa Borges Soares</v>
      </c>
    </row>
    <row r="668">
      <c r="A668" s="37">
        <f>IFERROR(__xludf.DUMMYFUNCTION("""COMPUTED_VALUE"""),46056.0)</f>
        <v>46056</v>
      </c>
      <c r="B668" s="42" t="str">
        <f>IFERROR(__xludf.DUMMYFUNCTION("""COMPUTED_VALUE"""),"MCC015UC0008")</f>
        <v>MCC015UC0008</v>
      </c>
      <c r="C668" s="31" t="str">
        <f>IFERROR(__xludf.DUMMYFUNCTION("""COMPUTED_VALUE"""),"FILME STRETCH 500X25")</f>
        <v>FILME STRETCH 500X25</v>
      </c>
      <c r="D668" s="39">
        <f>IFERROR(__xludf.DUMMYFUNCTION("""COMPUTED_VALUE"""),8.0)</f>
        <v>8</v>
      </c>
      <c r="E668" s="34" t="str">
        <f>IFERROR(__xludf.DUMMYFUNCTION("""COMPUTED_VALUE"""),"Saída")</f>
        <v>Saída</v>
      </c>
      <c r="F668" s="34"/>
      <c r="G668" s="39">
        <f t="array" ref="G668">XLOOKUP(B668,'Página9'!A:A,'Página9'!F:F,"")</f>
        <v>-158</v>
      </c>
      <c r="H668" s="39">
        <f t="array" ref="H668">XLOOKUP(B668,'Página9'!A:A,'Página9'!C:C,"")</f>
        <v>40</v>
      </c>
      <c r="I668" s="35" t="str">
        <f t="array" ref="I668">XLOOKUP(B668,'Página9'!A:A,'Página9'!G:G,"")</f>
        <v>REPOR ESTOQUE</v>
      </c>
      <c r="J668" s="25" t="str">
        <f t="shared" si="1"/>
        <v/>
      </c>
      <c r="K668" s="25" t="str">
        <f>IFERROR(__xludf.DUMMYFUNCTION("""COMPUTED_VALUE"""),"Jackson Alves Sales")</f>
        <v>Jackson Alves Sales</v>
      </c>
    </row>
    <row r="669">
      <c r="A669" s="37">
        <f>IFERROR(__xludf.DUMMYFUNCTION("""COMPUTED_VALUE"""),46056.0)</f>
        <v>46056</v>
      </c>
      <c r="B669" s="42" t="str">
        <f>IFERROR(__xludf.DUMMYFUNCTION("""COMPUTED_VALUE"""),"MCC046UC0360")</f>
        <v>MCC046UC0360</v>
      </c>
      <c r="C669" s="31" t="str">
        <f>IFERROR(__xludf.DUMMYFUNCTION("""COMPUTED_VALUE"""),"FITA ADESIVA DUPLA FACE 12mm X 20m 4910 VHB 3M")</f>
        <v>FITA ADESIVA DUPLA FACE 12mm X 20m 4910 VHB 3M</v>
      </c>
      <c r="D669" s="39">
        <f>IFERROR(__xludf.DUMMYFUNCTION("""COMPUTED_VALUE"""),24.0)</f>
        <v>24</v>
      </c>
      <c r="E669" s="34" t="str">
        <f>IFERROR(__xludf.DUMMYFUNCTION("""COMPUTED_VALUE"""),"Saída")</f>
        <v>Saída</v>
      </c>
      <c r="F669" s="34"/>
      <c r="G669" s="39">
        <f t="array" ref="G669">XLOOKUP(B669,'Página9'!A:A,'Página9'!F:F,"")</f>
        <v>-124</v>
      </c>
      <c r="H669" s="39">
        <f t="array" ref="H669">XLOOKUP(B669,'Página9'!A:A,'Página9'!C:C,"")</f>
        <v>1</v>
      </c>
      <c r="I669" s="35" t="str">
        <f t="array" ref="I669">XLOOKUP(B669,'Página9'!A:A,'Página9'!G:G,"")</f>
        <v>REPOR ESTOQUE</v>
      </c>
      <c r="J669" s="25" t="str">
        <f t="shared" si="1"/>
        <v/>
      </c>
      <c r="K669" s="25" t="str">
        <f>IFERROR(__xludf.DUMMYFUNCTION("""COMPUTED_VALUE"""),"Allison Breno Da Costa Borges Soares")</f>
        <v>Allison Breno Da Costa Borges Soares</v>
      </c>
    </row>
    <row r="670">
      <c r="A670" s="37">
        <f>IFERROR(__xludf.DUMMYFUNCTION("""COMPUTED_VALUE"""),46057.0)</f>
        <v>46057</v>
      </c>
      <c r="B670" s="42" t="str">
        <f>IFERROR(__xludf.DUMMYFUNCTION("""COMPUTED_VALUE"""),"MCC046UC0082")</f>
        <v>MCC046UC0082</v>
      </c>
      <c r="C670" s="31" t="str">
        <f>IFERROR(__xludf.DUMMYFUNCTION("""COMPUTED_VALUE"""),"PAPEL SULFITE A4 75G 500 FOLHAS")</f>
        <v>PAPEL SULFITE A4 75G 500 FOLHAS</v>
      </c>
      <c r="D670" s="39">
        <f>IFERROR(__xludf.DUMMYFUNCTION("""COMPUTED_VALUE"""),1.0)</f>
        <v>1</v>
      </c>
      <c r="E670" s="34" t="str">
        <f>IFERROR(__xludf.DUMMYFUNCTION("""COMPUTED_VALUE"""),"Saída")</f>
        <v>Saída</v>
      </c>
      <c r="F670" s="34"/>
      <c r="G670" s="39">
        <f t="array" ref="G670">XLOOKUP(B670,'Página9'!A:A,'Página9'!F:F,"")</f>
        <v>163</v>
      </c>
      <c r="H670" s="39">
        <f t="array" ref="H670">XLOOKUP(B670,'Página9'!A:A,'Página9'!C:C,"")</f>
        <v>10</v>
      </c>
      <c r="I670" s="35" t="str">
        <f t="array" ref="I670">XLOOKUP(B670,'Página9'!A:A,'Página9'!G:G,"")</f>
        <v>OK</v>
      </c>
      <c r="J670" s="25" t="str">
        <f t="shared" si="1"/>
        <v/>
      </c>
      <c r="K670" s="25" t="str">
        <f>IFERROR(__xludf.DUMMYFUNCTION("""COMPUTED_VALUE"""),"Nathalia Gomes Da Silva")</f>
        <v>Nathalia Gomes Da Silva</v>
      </c>
    </row>
    <row r="671">
      <c r="A671" s="37">
        <f>IFERROR(__xludf.DUMMYFUNCTION("""COMPUTED_VALUE"""),46057.0)</f>
        <v>46057</v>
      </c>
      <c r="B671" s="42" t="str">
        <f>IFERROR(__xludf.DUMMYFUNCTION("""COMPUTED_VALUE"""),"MCC046UC0216")</f>
        <v>MCC046UC0216</v>
      </c>
      <c r="C671" s="31" t="str">
        <f>IFERROR(__xludf.DUMMYFUNCTION("""COMPUTED_VALUE"""),"CANETA ESFEROGRAFICA ECONOMIC PRETA BIC")</f>
        <v>CANETA ESFEROGRAFICA ECONOMIC PRETA BIC</v>
      </c>
      <c r="D671" s="39">
        <f>IFERROR(__xludf.DUMMYFUNCTION("""COMPUTED_VALUE"""),10.0)</f>
        <v>10</v>
      </c>
      <c r="E671" s="34" t="str">
        <f>IFERROR(__xludf.DUMMYFUNCTION("""COMPUTED_VALUE"""),"Saída")</f>
        <v>Saída</v>
      </c>
      <c r="F671" s="34"/>
      <c r="G671" s="39">
        <f t="array" ref="G671">XLOOKUP(B671,'Página9'!A:A,'Página9'!F:F,"")</f>
        <v>89</v>
      </c>
      <c r="H671" s="39">
        <f t="array" ref="H671">XLOOKUP(B671,'Página9'!A:A,'Página9'!C:C,"")</f>
        <v>15</v>
      </c>
      <c r="I671" s="35" t="str">
        <f t="array" ref="I671">XLOOKUP(B671,'Página9'!A:A,'Página9'!G:G,"")</f>
        <v>OK</v>
      </c>
      <c r="J671" s="25" t="str">
        <f t="shared" si="1"/>
        <v/>
      </c>
      <c r="K671" s="25" t="str">
        <f>IFERROR(__xludf.DUMMYFUNCTION("""COMPUTED_VALUE"""),"Cosme Marcio Barros Barbosa")</f>
        <v>Cosme Marcio Barros Barbosa</v>
      </c>
    </row>
    <row r="672">
      <c r="A672" s="37">
        <f>IFERROR(__xludf.DUMMYFUNCTION("""COMPUTED_VALUE"""),46057.0)</f>
        <v>46057</v>
      </c>
      <c r="B672" s="42" t="str">
        <f>IFERROR(__xludf.DUMMYFUNCTION("""COMPUTED_VALUE"""),"MCC046UC0596")</f>
        <v>MCC046UC0596</v>
      </c>
      <c r="C672" s="31" t="str">
        <f>IFERROR(__xludf.DUMMYFUNCTION("""COMPUTED_VALUE"""),"ETIQUETA ADESIVA COUCHE BRANCA   - 105X150MM SAS")</f>
        <v>ETIQUETA ADESIVA COUCHE BRANCA   - 105X150MM SAS</v>
      </c>
      <c r="D672" s="39">
        <f>IFERROR(__xludf.DUMMYFUNCTION("""COMPUTED_VALUE"""),10.0)</f>
        <v>10</v>
      </c>
      <c r="E672" s="34" t="str">
        <f>IFERROR(__xludf.DUMMYFUNCTION("""COMPUTED_VALUE"""),"Saída")</f>
        <v>Saída</v>
      </c>
      <c r="F672" s="34"/>
      <c r="G672" s="39">
        <f t="array" ref="G672">XLOOKUP(B672,'Página9'!A:A,'Página9'!F:F,"")</f>
        <v>157</v>
      </c>
      <c r="H672" s="39">
        <f t="array" ref="H672">XLOOKUP(B672,'Página9'!A:A,'Página9'!C:C,"")</f>
        <v>20</v>
      </c>
      <c r="I672" s="35" t="str">
        <f t="array" ref="I672">XLOOKUP(B672,'Página9'!A:A,'Página9'!G:G,"")</f>
        <v>OK</v>
      </c>
      <c r="J672" s="25" t="str">
        <f t="shared" si="1"/>
        <v/>
      </c>
      <c r="K672" s="25" t="str">
        <f>IFERROR(__xludf.DUMMYFUNCTION("""COMPUTED_VALUE"""),"Ana Virginia De Castro Costa")</f>
        <v>Ana Virginia De Castro Costa</v>
      </c>
    </row>
    <row r="673">
      <c r="A673" s="37">
        <f>IFERROR(__xludf.DUMMYFUNCTION("""COMPUTED_VALUE"""),46057.0)</f>
        <v>46057</v>
      </c>
      <c r="B673" s="42" t="str">
        <f>IFERROR(__xludf.DUMMYFUNCTION("""COMPUTED_VALUE"""),"MCC015UC0038")</f>
        <v>MCC015UC0038</v>
      </c>
      <c r="C673" s="31" t="str">
        <f>IFERROR(__xludf.DUMMYFUNCTION("""COMPUTED_VALUE"""),"BOBINA SHRINK 500MM")</f>
        <v>BOBINA SHRINK 500MM</v>
      </c>
      <c r="D673" s="39">
        <f>IFERROR(__xludf.DUMMYFUNCTION("""COMPUTED_VALUE"""),1.0)</f>
        <v>1</v>
      </c>
      <c r="E673" s="34" t="str">
        <f>IFERROR(__xludf.DUMMYFUNCTION("""COMPUTED_VALUE"""),"Saída")</f>
        <v>Saída</v>
      </c>
      <c r="F673" s="34"/>
      <c r="G673" s="39">
        <f t="array" ref="G673">XLOOKUP(B673,'Página9'!A:A,'Página9'!F:F,"")</f>
        <v>13</v>
      </c>
      <c r="H673" s="39">
        <f t="array" ref="H673">XLOOKUP(B673,'Página9'!A:A,'Página9'!C:C,"")</f>
        <v>3</v>
      </c>
      <c r="I673" s="35" t="str">
        <f t="array" ref="I673">XLOOKUP(B673,'Página9'!A:A,'Página9'!G:G,"")</f>
        <v>OK</v>
      </c>
      <c r="J673" s="25" t="str">
        <f t="shared" si="1"/>
        <v/>
      </c>
      <c r="K673" s="25" t="str">
        <f>IFERROR(__xludf.DUMMYFUNCTION("""COMPUTED_VALUE"""),"Jose Antoniel Silva Mesquita")</f>
        <v>Jose Antoniel Silva Mesquita</v>
      </c>
    </row>
    <row r="674">
      <c r="A674" s="37">
        <f>IFERROR(__xludf.DUMMYFUNCTION("""COMPUTED_VALUE"""),46057.0)</f>
        <v>46057</v>
      </c>
      <c r="B674" s="42" t="str">
        <f>IFERROR(__xludf.DUMMYFUNCTION("""COMPUTED_VALUE"""),"MCC049UC0516")</f>
        <v>MCC049UC0516</v>
      </c>
      <c r="C674" s="31" t="str">
        <f>IFERROR(__xludf.DUMMYFUNCTION("""COMPUTED_VALUE"""),"ETIQUETA ADESIVA COUCHE VERDE CLARO - 105X150MM")</f>
        <v>ETIQUETA ADESIVA COUCHE VERDE CLARO - 105X150MM</v>
      </c>
      <c r="D674" s="39">
        <f>IFERROR(__xludf.DUMMYFUNCTION("""COMPUTED_VALUE"""),2.0)</f>
        <v>2</v>
      </c>
      <c r="E674" s="34" t="str">
        <f>IFERROR(__xludf.DUMMYFUNCTION("""COMPUTED_VALUE"""),"Saída")</f>
        <v>Saída</v>
      </c>
      <c r="F674" s="34"/>
      <c r="G674" s="39">
        <f t="array" ref="G674">XLOOKUP(B674,'Página9'!A:A,'Página9'!F:F,"")</f>
        <v>70</v>
      </c>
      <c r="H674" s="39">
        <f t="array" ref="H674">XLOOKUP(B674,'Página9'!A:A,'Página9'!C:C,"")</f>
        <v>5</v>
      </c>
      <c r="I674" s="35" t="str">
        <f t="array" ref="I674">XLOOKUP(B674,'Página9'!A:A,'Página9'!G:G,"")</f>
        <v>OK</v>
      </c>
      <c r="J674" s="25" t="str">
        <f t="shared" si="1"/>
        <v/>
      </c>
      <c r="K674" s="25" t="str">
        <f>IFERROR(__xludf.DUMMYFUNCTION("""COMPUTED_VALUE"""),"Jose Antoniel Silva Mesquita")</f>
        <v>Jose Antoniel Silva Mesquita</v>
      </c>
    </row>
    <row r="675">
      <c r="A675" s="37">
        <f>IFERROR(__xludf.DUMMYFUNCTION("""COMPUTED_VALUE"""),46057.0)</f>
        <v>46057</v>
      </c>
      <c r="B675" s="42" t="str">
        <f>IFERROR(__xludf.DUMMYFUNCTION("""COMPUTED_VALUE"""),"MCC046UC0671")</f>
        <v>MCC046UC0671</v>
      </c>
      <c r="C675" s="31" t="str">
        <f>IFERROR(__xludf.DUMMYFUNCTION("""COMPUTED_VALUE"""),"MARCADOR QUADRO BRANCO AZUL RECARREGAVEL")</f>
        <v>MARCADOR QUADRO BRANCO AZUL RECARREGAVEL</v>
      </c>
      <c r="D675" s="39">
        <f>IFERROR(__xludf.DUMMYFUNCTION("""COMPUTED_VALUE"""),1.0)</f>
        <v>1</v>
      </c>
      <c r="E675" s="34" t="str">
        <f>IFERROR(__xludf.DUMMYFUNCTION("""COMPUTED_VALUE"""),"Saída")</f>
        <v>Saída</v>
      </c>
      <c r="F675" s="34"/>
      <c r="G675" s="39">
        <f t="array" ref="G675">XLOOKUP(B675,'Página9'!A:A,'Página9'!F:F,"")</f>
        <v>12</v>
      </c>
      <c r="H675" s="39">
        <f t="array" ref="H675">XLOOKUP(B675,'Página9'!A:A,'Página9'!C:C,"")</f>
        <v>3</v>
      </c>
      <c r="I675" s="35" t="str">
        <f t="array" ref="I675">XLOOKUP(B675,'Página9'!A:A,'Página9'!G:G,"")</f>
        <v>OK</v>
      </c>
      <c r="J675" s="25" t="str">
        <f t="shared" si="1"/>
        <v/>
      </c>
      <c r="K675" s="25" t="str">
        <f>IFERROR(__xludf.DUMMYFUNCTION("""COMPUTED_VALUE"""),"Yago Rocha Fernandes")</f>
        <v>Yago Rocha Fernandes</v>
      </c>
    </row>
    <row r="676">
      <c r="A676" s="37">
        <f>IFERROR(__xludf.DUMMYFUNCTION("""COMPUTED_VALUE"""),46058.0)</f>
        <v>46058</v>
      </c>
      <c r="B676" s="42" t="str">
        <f>IFERROR(__xludf.DUMMYFUNCTION("""COMPUTED_VALUE"""),"MCC049UC0288")</f>
        <v>MCC049UC0288</v>
      </c>
      <c r="C676" s="31" t="str">
        <f>IFERROR(__xludf.DUMMYFUNCTION("""COMPUTED_VALUE"""),"FITILHO POLIPROPILENO P/EMBALAGEM")</f>
        <v>FITILHO POLIPROPILENO P/EMBALAGEM</v>
      </c>
      <c r="D676" s="39">
        <f>IFERROR(__xludf.DUMMYFUNCTION("""COMPUTED_VALUE"""),5.0)</f>
        <v>5</v>
      </c>
      <c r="E676" s="34" t="str">
        <f>IFERROR(__xludf.DUMMYFUNCTION("""COMPUTED_VALUE"""),"Saída")</f>
        <v>Saída</v>
      </c>
      <c r="F676" s="34"/>
      <c r="G676" s="39">
        <f t="array" ref="G676">XLOOKUP(B676,'Página9'!A:A,'Página9'!F:F,"")</f>
        <v>-24</v>
      </c>
      <c r="H676" s="39">
        <f t="array" ref="H676">XLOOKUP(B676,'Página9'!A:A,'Página9'!C:C,"")</f>
        <v>2</v>
      </c>
      <c r="I676" s="35" t="str">
        <f t="array" ref="I676">XLOOKUP(B676,'Página9'!A:A,'Página9'!G:G,"")</f>
        <v>REPOR ESTOQUE</v>
      </c>
      <c r="J676" s="25" t="str">
        <f t="shared" si="1"/>
        <v/>
      </c>
      <c r="K676" s="25" t="str">
        <f>IFERROR(__xludf.DUMMYFUNCTION("""COMPUTED_VALUE"""),"Allison Breno Da Costa Borges Soares")</f>
        <v>Allison Breno Da Costa Borges Soares</v>
      </c>
    </row>
    <row r="677">
      <c r="A677" s="37">
        <f>IFERROR(__xludf.DUMMYFUNCTION("""COMPUTED_VALUE"""),46058.0)</f>
        <v>46058</v>
      </c>
      <c r="B677" s="42" t="str">
        <f>IFERROR(__xludf.DUMMYFUNCTION("""COMPUTED_VALUE"""),"MCC015UC0008")</f>
        <v>MCC015UC0008</v>
      </c>
      <c r="C677" s="31" t="str">
        <f>IFERROR(__xludf.DUMMYFUNCTION("""COMPUTED_VALUE"""),"FILME STRETCH 500X25")</f>
        <v>FILME STRETCH 500X25</v>
      </c>
      <c r="D677" s="39">
        <f>IFERROR(__xludf.DUMMYFUNCTION("""COMPUTED_VALUE"""),74.0)</f>
        <v>74</v>
      </c>
      <c r="E677" s="34" t="str">
        <f>IFERROR(__xludf.DUMMYFUNCTION("""COMPUTED_VALUE"""),"Saída")</f>
        <v>Saída</v>
      </c>
      <c r="F677" s="34"/>
      <c r="G677" s="39">
        <f t="array" ref="G677">XLOOKUP(B677,'Página9'!A:A,'Página9'!F:F,"")</f>
        <v>-158</v>
      </c>
      <c r="H677" s="39">
        <f t="array" ref="H677">XLOOKUP(B677,'Página9'!A:A,'Página9'!C:C,"")</f>
        <v>40</v>
      </c>
      <c r="I677" s="35" t="str">
        <f t="array" ref="I677">XLOOKUP(B677,'Página9'!A:A,'Página9'!G:G,"")</f>
        <v>REPOR ESTOQUE</v>
      </c>
      <c r="J677" s="25" t="str">
        <f t="shared" si="1"/>
        <v/>
      </c>
      <c r="K677" s="25" t="str">
        <f>IFERROR(__xludf.DUMMYFUNCTION("""COMPUTED_VALUE"""),"Allison Breno Da Costa Borges Soares")</f>
        <v>Allison Breno Da Costa Borges Soares</v>
      </c>
    </row>
    <row r="678">
      <c r="A678" s="37">
        <f>IFERROR(__xludf.DUMMYFUNCTION("""COMPUTED_VALUE"""),46058.0)</f>
        <v>46058</v>
      </c>
      <c r="B678" s="42" t="str">
        <f>IFERROR(__xludf.DUMMYFUNCTION("""COMPUTED_VALUE"""),"MCC015UC0045")</f>
        <v>MCC015UC0045</v>
      </c>
      <c r="C678" s="31" t="str">
        <f>IFERROR(__xludf.DUMMYFUNCTION("""COMPUTED_VALUE"""),"FITA ADESIVA 69MM X 100M")</f>
        <v>FITA ADESIVA 69MM X 100M</v>
      </c>
      <c r="D678" s="39">
        <f>IFERROR(__xludf.DUMMYFUNCTION("""COMPUTED_VALUE"""),24.0)</f>
        <v>24</v>
      </c>
      <c r="E678" s="34" t="str">
        <f>IFERROR(__xludf.DUMMYFUNCTION("""COMPUTED_VALUE"""),"Saída")</f>
        <v>Saída</v>
      </c>
      <c r="F678" s="34"/>
      <c r="G678" s="39">
        <f t="array" ref="G678">XLOOKUP(B678,'Página9'!A:A,'Página9'!F:F,"")</f>
        <v>287</v>
      </c>
      <c r="H678" s="39">
        <f t="array" ref="H678">XLOOKUP(B678,'Página9'!A:A,'Página9'!C:C,"")</f>
        <v>20</v>
      </c>
      <c r="I678" s="35" t="str">
        <f t="array" ref="I678">XLOOKUP(B678,'Página9'!A:A,'Página9'!G:G,"")</f>
        <v>OK</v>
      </c>
      <c r="J678" s="25" t="str">
        <f t="shared" si="1"/>
        <v/>
      </c>
      <c r="K678" s="25" t="str">
        <f>IFERROR(__xludf.DUMMYFUNCTION("""COMPUTED_VALUE"""),"Rejane Fontes De Sousa")</f>
        <v>Rejane Fontes De Sousa</v>
      </c>
    </row>
    <row r="679">
      <c r="A679" s="37">
        <f>IFERROR(__xludf.DUMMYFUNCTION("""COMPUTED_VALUE"""),46058.0)</f>
        <v>46058</v>
      </c>
      <c r="B679" s="42" t="str">
        <f>IFERROR(__xludf.DUMMYFUNCTION("""COMPUTED_VALUE"""),"MCC015UC0008")</f>
        <v>MCC015UC0008</v>
      </c>
      <c r="C679" s="31" t="str">
        <f>IFERROR(__xludf.DUMMYFUNCTION("""COMPUTED_VALUE"""),"FILME STRETCH 500X25")</f>
        <v>FILME STRETCH 500X25</v>
      </c>
      <c r="D679" s="39">
        <f>IFERROR(__xludf.DUMMYFUNCTION("""COMPUTED_VALUE"""),5.0)</f>
        <v>5</v>
      </c>
      <c r="E679" s="34" t="str">
        <f>IFERROR(__xludf.DUMMYFUNCTION("""COMPUTED_VALUE"""),"Saída")</f>
        <v>Saída</v>
      </c>
      <c r="F679" s="34"/>
      <c r="G679" s="39">
        <f t="array" ref="G679">XLOOKUP(B679,'Página9'!A:A,'Página9'!F:F,"")</f>
        <v>-158</v>
      </c>
      <c r="H679" s="39">
        <f t="array" ref="H679">XLOOKUP(B679,'Página9'!A:A,'Página9'!C:C,"")</f>
        <v>40</v>
      </c>
      <c r="I679" s="35" t="str">
        <f t="array" ref="I679">XLOOKUP(B679,'Página9'!A:A,'Página9'!G:G,"")</f>
        <v>REPOR ESTOQUE</v>
      </c>
      <c r="J679" s="25" t="str">
        <f t="shared" si="1"/>
        <v/>
      </c>
      <c r="K679" s="25" t="str">
        <f>IFERROR(__xludf.DUMMYFUNCTION("""COMPUTED_VALUE"""),"Paulo Henrique Chagas De Oliveira")</f>
        <v>Paulo Henrique Chagas De Oliveira</v>
      </c>
    </row>
    <row r="680">
      <c r="A680" s="37">
        <f>IFERROR(__xludf.DUMMYFUNCTION("""COMPUTED_VALUE"""),46058.0)</f>
        <v>46058</v>
      </c>
      <c r="B680" s="42" t="str">
        <f>IFERROR(__xludf.DUMMYFUNCTION("""COMPUTED_VALUE"""),"MCC015UC0008")</f>
        <v>MCC015UC0008</v>
      </c>
      <c r="C680" s="31" t="str">
        <f>IFERROR(__xludf.DUMMYFUNCTION("""COMPUTED_VALUE"""),"FILME STRETCH 500X25")</f>
        <v>FILME STRETCH 500X25</v>
      </c>
      <c r="D680" s="39">
        <f>IFERROR(__xludf.DUMMYFUNCTION("""COMPUTED_VALUE"""),6.0)</f>
        <v>6</v>
      </c>
      <c r="E680" s="34" t="str">
        <f>IFERROR(__xludf.DUMMYFUNCTION("""COMPUTED_VALUE"""),"Saída")</f>
        <v>Saída</v>
      </c>
      <c r="F680" s="34"/>
      <c r="G680" s="39">
        <f t="array" ref="G680">XLOOKUP(B680,'Página9'!A:A,'Página9'!F:F,"")</f>
        <v>-158</v>
      </c>
      <c r="H680" s="39">
        <f t="array" ref="H680">XLOOKUP(B680,'Página9'!A:A,'Página9'!C:C,"")</f>
        <v>40</v>
      </c>
      <c r="I680" s="35" t="str">
        <f t="array" ref="I680">XLOOKUP(B680,'Página9'!A:A,'Página9'!G:G,"")</f>
        <v>REPOR ESTOQUE</v>
      </c>
      <c r="J680" s="25" t="str">
        <f t="shared" si="1"/>
        <v/>
      </c>
      <c r="K680" s="25" t="str">
        <f>IFERROR(__xludf.DUMMYFUNCTION("""COMPUTED_VALUE"""),"Francisco Samuel Trindade Nascimento")</f>
        <v>Francisco Samuel Trindade Nascimento</v>
      </c>
    </row>
    <row r="681">
      <c r="A681" s="37">
        <f>IFERROR(__xludf.DUMMYFUNCTION("""COMPUTED_VALUE"""),46058.0)</f>
        <v>46058</v>
      </c>
      <c r="B681" s="42" t="str">
        <f>IFERROR(__xludf.DUMMYFUNCTION("""COMPUTED_VALUE"""),"MCC046UC0360")</f>
        <v>MCC046UC0360</v>
      </c>
      <c r="C681" s="31" t="str">
        <f>IFERROR(__xludf.DUMMYFUNCTION("""COMPUTED_VALUE"""),"FITA ADESIVA DUPLA FACE 12mm X 20m 4910 VHB 3M")</f>
        <v>FITA ADESIVA DUPLA FACE 12mm X 20m 4910 VHB 3M</v>
      </c>
      <c r="D681" s="39">
        <f>IFERROR(__xludf.DUMMYFUNCTION("""COMPUTED_VALUE"""),1.0)</f>
        <v>1</v>
      </c>
      <c r="E681" s="34" t="str">
        <f>IFERROR(__xludf.DUMMYFUNCTION("""COMPUTED_VALUE"""),"Saída")</f>
        <v>Saída</v>
      </c>
      <c r="F681" s="34"/>
      <c r="G681" s="39">
        <f t="array" ref="G681">XLOOKUP(B681,'Página9'!A:A,'Página9'!F:F,"")</f>
        <v>-124</v>
      </c>
      <c r="H681" s="39">
        <f t="array" ref="H681">XLOOKUP(B681,'Página9'!A:A,'Página9'!C:C,"")</f>
        <v>1</v>
      </c>
      <c r="I681" s="35" t="str">
        <f t="array" ref="I681">XLOOKUP(B681,'Página9'!A:A,'Página9'!G:G,"")</f>
        <v>REPOR ESTOQUE</v>
      </c>
      <c r="J681" s="25" t="str">
        <f t="shared" si="1"/>
        <v/>
      </c>
      <c r="K681" s="25" t="str">
        <f>IFERROR(__xludf.DUMMYFUNCTION("""COMPUTED_VALUE"""),"Jose Antoniel Silva Mesquita")</f>
        <v>Jose Antoniel Silva Mesquita</v>
      </c>
    </row>
    <row r="682">
      <c r="A682" s="37">
        <f>IFERROR(__xludf.DUMMYFUNCTION("""COMPUTED_VALUE"""),46058.0)</f>
        <v>46058</v>
      </c>
      <c r="B682" s="42" t="str">
        <f>IFERROR(__xludf.DUMMYFUNCTION("""COMPUTED_VALUE"""),"MCC015UC0008")</f>
        <v>MCC015UC0008</v>
      </c>
      <c r="C682" s="31" t="str">
        <f>IFERROR(__xludf.DUMMYFUNCTION("""COMPUTED_VALUE"""),"FILME STRETCH 500X25")</f>
        <v>FILME STRETCH 500X25</v>
      </c>
      <c r="D682" s="39">
        <f>IFERROR(__xludf.DUMMYFUNCTION("""COMPUTED_VALUE"""),15.0)</f>
        <v>15</v>
      </c>
      <c r="E682" s="34" t="str">
        <f>IFERROR(__xludf.DUMMYFUNCTION("""COMPUTED_VALUE"""),"Saída")</f>
        <v>Saída</v>
      </c>
      <c r="F682" s="34"/>
      <c r="G682" s="39">
        <f t="array" ref="G682">XLOOKUP(B682,'Página9'!A:A,'Página9'!F:F,"")</f>
        <v>-158</v>
      </c>
      <c r="H682" s="39">
        <f t="array" ref="H682">XLOOKUP(B682,'Página9'!A:A,'Página9'!C:C,"")</f>
        <v>40</v>
      </c>
      <c r="I682" s="35" t="str">
        <f t="array" ref="I682">XLOOKUP(B682,'Página9'!A:A,'Página9'!G:G,"")</f>
        <v>REPOR ESTOQUE</v>
      </c>
      <c r="J682" s="25" t="str">
        <f t="shared" si="1"/>
        <v/>
      </c>
      <c r="K682" s="25" t="str">
        <f>IFERROR(__xludf.DUMMYFUNCTION("""COMPUTED_VALUE"""),"Francisco Edson Oliveira Dos Santos Vieira")</f>
        <v>Francisco Edson Oliveira Dos Santos Vieira</v>
      </c>
    </row>
    <row r="683">
      <c r="A683" s="37">
        <f>IFERROR(__xludf.DUMMYFUNCTION("""COMPUTED_VALUE"""),46058.0)</f>
        <v>46058</v>
      </c>
      <c r="B683" s="42" t="str">
        <f>IFERROR(__xludf.DUMMYFUNCTION("""COMPUTED_VALUE"""),"MCC015UC0038")</f>
        <v>MCC015UC0038</v>
      </c>
      <c r="C683" s="31" t="str">
        <f>IFERROR(__xludf.DUMMYFUNCTION("""COMPUTED_VALUE"""),"BOBINA SHRINK 500MM")</f>
        <v>BOBINA SHRINK 500MM</v>
      </c>
      <c r="D683" s="39">
        <f>IFERROR(__xludf.DUMMYFUNCTION("""COMPUTED_VALUE"""),9.0)</f>
        <v>9</v>
      </c>
      <c r="E683" s="34" t="str">
        <f>IFERROR(__xludf.DUMMYFUNCTION("""COMPUTED_VALUE"""),"Saída")</f>
        <v>Saída</v>
      </c>
      <c r="F683" s="34"/>
      <c r="G683" s="39">
        <f t="array" ref="G683">XLOOKUP(B683,'Página9'!A:A,'Página9'!F:F,"")</f>
        <v>13</v>
      </c>
      <c r="H683" s="39">
        <f t="array" ref="H683">XLOOKUP(B683,'Página9'!A:A,'Página9'!C:C,"")</f>
        <v>3</v>
      </c>
      <c r="I683" s="35" t="str">
        <f t="array" ref="I683">XLOOKUP(B683,'Página9'!A:A,'Página9'!G:G,"")</f>
        <v>OK</v>
      </c>
      <c r="J683" s="25" t="str">
        <f t="shared" si="1"/>
        <v/>
      </c>
      <c r="K683" s="25" t="str">
        <f>IFERROR(__xludf.DUMMYFUNCTION("""COMPUTED_VALUE"""),"Francisco Edson Oliveira Dos Santos Vieira")</f>
        <v>Francisco Edson Oliveira Dos Santos Vieira</v>
      </c>
    </row>
    <row r="684">
      <c r="A684" s="37">
        <f>IFERROR(__xludf.DUMMYFUNCTION("""COMPUTED_VALUE"""),46059.0)</f>
        <v>46059</v>
      </c>
      <c r="B684" s="42" t="str">
        <f>IFERROR(__xludf.DUMMYFUNCTION("""COMPUTED_VALUE"""),"MCC049UC0603")</f>
        <v>MCC049UC0603</v>
      </c>
      <c r="C684" s="31" t="str">
        <f>IFERROR(__xludf.DUMMYFUNCTION("""COMPUTED_VALUE"""),"PLASTICO PLASTIF. A-4 220/307 C/100 UN PROLAM")</f>
        <v>PLASTICO PLASTIF. A-4 220/307 C/100 UN PROLAM</v>
      </c>
      <c r="D684" s="39">
        <f>IFERROR(__xludf.DUMMYFUNCTION("""COMPUTED_VALUE"""),14.0)</f>
        <v>14</v>
      </c>
      <c r="E684" s="34" t="str">
        <f>IFERROR(__xludf.DUMMYFUNCTION("""COMPUTED_VALUE"""),"Saída")</f>
        <v>Saída</v>
      </c>
      <c r="F684" s="34"/>
      <c r="G684" s="39">
        <f t="array" ref="G684">XLOOKUP(B684,'Página9'!A:A,'Página9'!F:F,"")</f>
        <v>-504</v>
      </c>
      <c r="H684" s="39">
        <f t="array" ref="H684">XLOOKUP(B684,'Página9'!A:A,'Página9'!C:C,"")</f>
        <v>150</v>
      </c>
      <c r="I684" s="35" t="str">
        <f t="array" ref="I684">XLOOKUP(B684,'Página9'!A:A,'Página9'!G:G,"")</f>
        <v>REPOR ESTOQUE</v>
      </c>
      <c r="J684" s="25" t="str">
        <f t="shared" si="1"/>
        <v/>
      </c>
      <c r="K684" s="25" t="str">
        <f>IFERROR(__xludf.DUMMYFUNCTION("""COMPUTED_VALUE"""),"Allison Breno Da Costa Borges Soares")</f>
        <v>Allison Breno Da Costa Borges Soares</v>
      </c>
    </row>
    <row r="685">
      <c r="A685" s="37">
        <f>IFERROR(__xludf.DUMMYFUNCTION("""COMPUTED_VALUE"""),46059.0)</f>
        <v>46059</v>
      </c>
      <c r="B685" s="42" t="str">
        <f>IFERROR(__xludf.DUMMYFUNCTION("""COMPUTED_VALUE"""),"MCC046UC0695")</f>
        <v>MCC046UC0695</v>
      </c>
      <c r="C685" s="31" t="str">
        <f>IFERROR(__xludf.DUMMYFUNCTION("""COMPUTED_VALUE"""),"ETIQUETA COUCHE 98X50X1")</f>
        <v>ETIQUETA COUCHE 98X50X1</v>
      </c>
      <c r="D685" s="39">
        <f>IFERROR(__xludf.DUMMYFUNCTION("""COMPUTED_VALUE"""),2.0)</f>
        <v>2</v>
      </c>
      <c r="E685" s="34" t="str">
        <f>IFERROR(__xludf.DUMMYFUNCTION("""COMPUTED_VALUE"""),"Saída")</f>
        <v>Saída</v>
      </c>
      <c r="F685" s="34"/>
      <c r="G685" s="39">
        <f t="array" ref="G685">XLOOKUP(B685,'Página9'!A:A,'Página9'!F:F,"")</f>
        <v>256</v>
      </c>
      <c r="H685" s="39">
        <f t="array" ref="H685">XLOOKUP(B685,'Página9'!A:A,'Página9'!C:C,"")</f>
        <v>20</v>
      </c>
      <c r="I685" s="35" t="str">
        <f t="array" ref="I685">XLOOKUP(B685,'Página9'!A:A,'Página9'!G:G,"")</f>
        <v>OK</v>
      </c>
      <c r="J685" s="25" t="str">
        <f t="shared" si="1"/>
        <v/>
      </c>
      <c r="K685" s="25" t="str">
        <f>IFERROR(__xludf.DUMMYFUNCTION("""COMPUTED_VALUE"""),"Jackson Alves Sales")</f>
        <v>Jackson Alves Sales</v>
      </c>
    </row>
    <row r="686">
      <c r="A686" s="37">
        <f>IFERROR(__xludf.DUMMYFUNCTION("""COMPUTED_VALUE"""),46062.0)</f>
        <v>46062</v>
      </c>
      <c r="B686" s="42" t="str">
        <f>IFERROR(__xludf.DUMMYFUNCTION("""COMPUTED_VALUE"""),"MCC046UC0695")</f>
        <v>MCC046UC0695</v>
      </c>
      <c r="C686" s="31" t="str">
        <f>IFERROR(__xludf.DUMMYFUNCTION("""COMPUTED_VALUE"""),"ETIQUETA COUCHE 98X50X1")</f>
        <v>ETIQUETA COUCHE 98X50X1</v>
      </c>
      <c r="D686" s="39">
        <f>IFERROR(__xludf.DUMMYFUNCTION("""COMPUTED_VALUE"""),6.0)</f>
        <v>6</v>
      </c>
      <c r="E686" s="34" t="str">
        <f>IFERROR(__xludf.DUMMYFUNCTION("""COMPUTED_VALUE"""),"Saída")</f>
        <v>Saída</v>
      </c>
      <c r="F686" s="34"/>
      <c r="G686" s="39">
        <f t="array" ref="G686">XLOOKUP(B686,'Página9'!A:A,'Página9'!F:F,"")</f>
        <v>256</v>
      </c>
      <c r="H686" s="39">
        <f t="array" ref="H686">XLOOKUP(B686,'Página9'!A:A,'Página9'!C:C,"")</f>
        <v>20</v>
      </c>
      <c r="I686" s="35" t="str">
        <f t="array" ref="I686">XLOOKUP(B686,'Página9'!A:A,'Página9'!G:G,"")</f>
        <v>OK</v>
      </c>
      <c r="J686" s="25" t="str">
        <f t="shared" si="1"/>
        <v/>
      </c>
      <c r="K686" s="25" t="str">
        <f>IFERROR(__xludf.DUMMYFUNCTION("""COMPUTED_VALUE"""),"Jose Antoniel Silva Mesquita")</f>
        <v>Jose Antoniel Silva Mesquita</v>
      </c>
    </row>
    <row r="687">
      <c r="A687" s="37">
        <f>IFERROR(__xludf.DUMMYFUNCTION("""COMPUTED_VALUE"""),46062.0)</f>
        <v>46062</v>
      </c>
      <c r="B687" s="42" t="str">
        <f>IFERROR(__xludf.DUMMYFUNCTION("""COMPUTED_VALUE"""),"MCC046UC0639")</f>
        <v>MCC046UC0639</v>
      </c>
      <c r="C687" s="31" t="str">
        <f>IFERROR(__xludf.DUMMYFUNCTION("""COMPUTED_VALUE"""),"PILHA ALCALINA ELGIN PEQ.AA")</f>
        <v>PILHA ALCALINA ELGIN PEQ.AA</v>
      </c>
      <c r="D687" s="39">
        <f>IFERROR(__xludf.DUMMYFUNCTION("""COMPUTED_VALUE"""),1.0)</f>
        <v>1</v>
      </c>
      <c r="E687" s="34" t="str">
        <f>IFERROR(__xludf.DUMMYFUNCTION("""COMPUTED_VALUE"""),"Saída")</f>
        <v>Saída</v>
      </c>
      <c r="F687" s="34"/>
      <c r="G687" s="39">
        <f t="array" ref="G687">XLOOKUP(B687,'Página9'!A:A,'Página9'!F:F,"")</f>
        <v>-5</v>
      </c>
      <c r="H687" s="39">
        <f t="array" ref="H687">XLOOKUP(B687,'Página9'!A:A,'Página9'!C:C,"")</f>
        <v>4</v>
      </c>
      <c r="I687" s="35" t="str">
        <f t="array" ref="I687">XLOOKUP(B687,'Página9'!A:A,'Página9'!G:G,"")</f>
        <v>REPOR ESTOQUE</v>
      </c>
      <c r="J687" s="25" t="str">
        <f t="shared" si="1"/>
        <v/>
      </c>
      <c r="K687" s="25" t="str">
        <f>IFERROR(__xludf.DUMMYFUNCTION("""COMPUTED_VALUE"""),"Francisco Edson Oliveira Dos Santos Vieira")</f>
        <v>Francisco Edson Oliveira Dos Santos Vieira</v>
      </c>
    </row>
    <row r="688">
      <c r="A688" s="37">
        <f>IFERROR(__xludf.DUMMYFUNCTION("""COMPUTED_VALUE"""),46062.0)</f>
        <v>46062</v>
      </c>
      <c r="B688" s="42" t="str">
        <f>IFERROR(__xludf.DUMMYFUNCTION("""COMPUTED_VALUE"""),"MCC046UC0526")</f>
        <v>MCC046UC0526</v>
      </c>
      <c r="C688" s="31" t="str">
        <f>IFERROR(__xludf.DUMMYFUNCTION("""COMPUTED_VALUE"""),"CANETA PINCEL ATOMICO PRETA PILOT 1100")</f>
        <v>CANETA PINCEL ATOMICO PRETA PILOT 1100</v>
      </c>
      <c r="D688" s="39">
        <f>IFERROR(__xludf.DUMMYFUNCTION("""COMPUTED_VALUE"""),3.0)</f>
        <v>3</v>
      </c>
      <c r="E688" s="34" t="str">
        <f>IFERROR(__xludf.DUMMYFUNCTION("""COMPUTED_VALUE"""),"Saída")</f>
        <v>Saída</v>
      </c>
      <c r="F688" s="34"/>
      <c r="G688" s="39">
        <f t="array" ref="G688">XLOOKUP(B688,'Página9'!A:A,'Página9'!F:F,"")</f>
        <v>1</v>
      </c>
      <c r="H688" s="39">
        <f t="array" ref="H688">XLOOKUP(B688,'Página9'!A:A,'Página9'!C:C,"")</f>
        <v>3</v>
      </c>
      <c r="I688" s="35" t="str">
        <f t="array" ref="I688">XLOOKUP(B688,'Página9'!A:A,'Página9'!G:G,"")</f>
        <v>REPOR ESTOQUE</v>
      </c>
      <c r="J688" s="25" t="str">
        <f t="shared" si="1"/>
        <v/>
      </c>
      <c r="K688" s="25" t="str">
        <f>IFERROR(__xludf.DUMMYFUNCTION("""COMPUTED_VALUE"""),"Allison Breno Da Costa Borges Soares")</f>
        <v>Allison Breno Da Costa Borges Soares</v>
      </c>
    </row>
    <row r="689">
      <c r="A689" s="37">
        <f>IFERROR(__xludf.DUMMYFUNCTION("""COMPUTED_VALUE"""),46062.0)</f>
        <v>46062</v>
      </c>
      <c r="B689" s="42" t="str">
        <f>IFERROR(__xludf.DUMMYFUNCTION("""COMPUTED_VALUE"""),"MCC046UC0215")</f>
        <v>MCC046UC0215</v>
      </c>
      <c r="C689" s="31" t="str">
        <f>IFERROR(__xludf.DUMMYFUNCTION("""COMPUTED_VALUE"""),"CANETA ESFEROGRAFICA ECONOMIC AZUL BIC")</f>
        <v>CANETA ESFEROGRAFICA ECONOMIC AZUL BIC</v>
      </c>
      <c r="D689" s="39">
        <f>IFERROR(__xludf.DUMMYFUNCTION("""COMPUTED_VALUE"""),5.0)</f>
        <v>5</v>
      </c>
      <c r="E689" s="34" t="str">
        <f>IFERROR(__xludf.DUMMYFUNCTION("""COMPUTED_VALUE"""),"Saída")</f>
        <v>Saída</v>
      </c>
      <c r="F689" s="34"/>
      <c r="G689" s="39">
        <f t="array" ref="G689">XLOOKUP(B689,'Página9'!A:A,'Página9'!F:F,"")</f>
        <v>-20</v>
      </c>
      <c r="H689" s="39">
        <f t="array" ref="H689">XLOOKUP(B689,'Página9'!A:A,'Página9'!C:C,"")</f>
        <v>15</v>
      </c>
      <c r="I689" s="35" t="str">
        <f t="array" ref="I689">XLOOKUP(B689,'Página9'!A:A,'Página9'!G:G,"")</f>
        <v>REPOR ESTOQUE</v>
      </c>
      <c r="J689" s="25" t="str">
        <f t="shared" si="1"/>
        <v/>
      </c>
      <c r="K689" s="25" t="str">
        <f>IFERROR(__xludf.DUMMYFUNCTION("""COMPUTED_VALUE"""),"Allison Breno Da Costa Borges Soares")</f>
        <v>Allison Breno Da Costa Borges Soares</v>
      </c>
    </row>
    <row r="690">
      <c r="A690" s="37">
        <f>IFERROR(__xludf.DUMMYFUNCTION("""COMPUTED_VALUE"""),46062.0)</f>
        <v>46062</v>
      </c>
      <c r="B690" s="42" t="str">
        <f>IFERROR(__xludf.DUMMYFUNCTION("""COMPUTED_VALUE"""),"MCC046UC0082")</f>
        <v>MCC046UC0082</v>
      </c>
      <c r="C690" s="31" t="str">
        <f>IFERROR(__xludf.DUMMYFUNCTION("""COMPUTED_VALUE"""),"PAPEL SULFITE A4 75G 500 FOLHAS")</f>
        <v>PAPEL SULFITE A4 75G 500 FOLHAS</v>
      </c>
      <c r="D690" s="39">
        <f>IFERROR(__xludf.DUMMYFUNCTION("""COMPUTED_VALUE"""),3.0)</f>
        <v>3</v>
      </c>
      <c r="E690" s="34" t="str">
        <f>IFERROR(__xludf.DUMMYFUNCTION("""COMPUTED_VALUE"""),"Saída")</f>
        <v>Saída</v>
      </c>
      <c r="F690" s="34"/>
      <c r="G690" s="39">
        <f t="array" ref="G690">XLOOKUP(B690,'Página9'!A:A,'Página9'!F:F,"")</f>
        <v>163</v>
      </c>
      <c r="H690" s="39">
        <f t="array" ref="H690">XLOOKUP(B690,'Página9'!A:A,'Página9'!C:C,"")</f>
        <v>10</v>
      </c>
      <c r="I690" s="35" t="str">
        <f t="array" ref="I690">XLOOKUP(B690,'Página9'!A:A,'Página9'!G:G,"")</f>
        <v>OK</v>
      </c>
      <c r="J690" s="25" t="str">
        <f t="shared" si="1"/>
        <v/>
      </c>
      <c r="K690" s="25" t="str">
        <f>IFERROR(__xludf.DUMMYFUNCTION("""COMPUTED_VALUE"""),"Jose Antoniel Silva Mesquita")</f>
        <v>Jose Antoniel Silva Mesquita</v>
      </c>
    </row>
    <row r="691">
      <c r="A691" s="37">
        <f>IFERROR(__xludf.DUMMYFUNCTION("""COMPUTED_VALUE"""),46062.0)</f>
        <v>46062</v>
      </c>
      <c r="B691" s="42" t="str">
        <f>IFERROR(__xludf.DUMMYFUNCTION("""COMPUTED_VALUE"""),"MCC046UC0215")</f>
        <v>MCC046UC0215</v>
      </c>
      <c r="C691" s="31" t="str">
        <f>IFERROR(__xludf.DUMMYFUNCTION("""COMPUTED_VALUE"""),"CANETA ESFEROGRAFICA ECONOMIC AZUL BIC")</f>
        <v>CANETA ESFEROGRAFICA ECONOMIC AZUL BIC</v>
      </c>
      <c r="D691" s="39">
        <f>IFERROR(__xludf.DUMMYFUNCTION("""COMPUTED_VALUE"""),5.0)</f>
        <v>5</v>
      </c>
      <c r="E691" s="34" t="str">
        <f>IFERROR(__xludf.DUMMYFUNCTION("""COMPUTED_VALUE"""),"Saída")</f>
        <v>Saída</v>
      </c>
      <c r="F691" s="34"/>
      <c r="G691" s="39">
        <f t="array" ref="G691">XLOOKUP(B691,'Página9'!A:A,'Página9'!F:F,"")</f>
        <v>-20</v>
      </c>
      <c r="H691" s="39">
        <f t="array" ref="H691">XLOOKUP(B691,'Página9'!A:A,'Página9'!C:C,"")</f>
        <v>15</v>
      </c>
      <c r="I691" s="35" t="str">
        <f t="array" ref="I691">XLOOKUP(B691,'Página9'!A:A,'Página9'!G:G,"")</f>
        <v>REPOR ESTOQUE</v>
      </c>
      <c r="J691" s="25" t="str">
        <f t="shared" si="1"/>
        <v/>
      </c>
      <c r="K691" s="25" t="str">
        <f>IFERROR(__xludf.DUMMYFUNCTION("""COMPUTED_VALUE"""),"Ana Virginia De Castro Costa")</f>
        <v>Ana Virginia De Castro Costa</v>
      </c>
    </row>
    <row r="692">
      <c r="A692" s="37">
        <f>IFERROR(__xludf.DUMMYFUNCTION("""COMPUTED_VALUE"""),46062.0)</f>
        <v>46062</v>
      </c>
      <c r="B692" s="42" t="str">
        <f>IFERROR(__xludf.DUMMYFUNCTION("""COMPUTED_VALUE"""),"MCC046UC0215")</f>
        <v>MCC046UC0215</v>
      </c>
      <c r="C692" s="31" t="str">
        <f>IFERROR(__xludf.DUMMYFUNCTION("""COMPUTED_VALUE"""),"CANETA ESFEROGRAFICA ECONOMIC AZUL BIC")</f>
        <v>CANETA ESFEROGRAFICA ECONOMIC AZUL BIC</v>
      </c>
      <c r="D692" s="39">
        <f>IFERROR(__xludf.DUMMYFUNCTION("""COMPUTED_VALUE"""),1.0)</f>
        <v>1</v>
      </c>
      <c r="E692" s="34" t="str">
        <f>IFERROR(__xludf.DUMMYFUNCTION("""COMPUTED_VALUE"""),"Saída")</f>
        <v>Saída</v>
      </c>
      <c r="F692" s="34"/>
      <c r="G692" s="39">
        <f t="array" ref="G692">XLOOKUP(B692,'Página9'!A:A,'Página9'!F:F,"")</f>
        <v>-20</v>
      </c>
      <c r="H692" s="39">
        <f t="array" ref="H692">XLOOKUP(B692,'Página9'!A:A,'Página9'!C:C,"")</f>
        <v>15</v>
      </c>
      <c r="I692" s="35" t="str">
        <f t="array" ref="I692">XLOOKUP(B692,'Página9'!A:A,'Página9'!G:G,"")</f>
        <v>REPOR ESTOQUE</v>
      </c>
      <c r="J692" s="25" t="str">
        <f t="shared" si="1"/>
        <v/>
      </c>
      <c r="K692" s="25" t="str">
        <f>IFERROR(__xludf.DUMMYFUNCTION("""COMPUTED_VALUE"""),"Francisco Samuel Trindade Nascimento")</f>
        <v>Francisco Samuel Trindade Nascimento</v>
      </c>
    </row>
    <row r="693">
      <c r="A693" s="37">
        <f>IFERROR(__xludf.DUMMYFUNCTION("""COMPUTED_VALUE"""),46062.0)</f>
        <v>46062</v>
      </c>
      <c r="B693" s="42" t="str">
        <f>IFERROR(__xludf.DUMMYFUNCTION("""COMPUTED_VALUE"""),"MCC015UC0008")</f>
        <v>MCC015UC0008</v>
      </c>
      <c r="C693" s="31" t="str">
        <f>IFERROR(__xludf.DUMMYFUNCTION("""COMPUTED_VALUE"""),"FILME STRETCH 500X25")</f>
        <v>FILME STRETCH 500X25</v>
      </c>
      <c r="D693" s="39">
        <f>IFERROR(__xludf.DUMMYFUNCTION("""COMPUTED_VALUE"""),50.0)</f>
        <v>50</v>
      </c>
      <c r="E693" s="34" t="str">
        <f>IFERROR(__xludf.DUMMYFUNCTION("""COMPUTED_VALUE"""),"Saída")</f>
        <v>Saída</v>
      </c>
      <c r="F693" s="34"/>
      <c r="G693" s="39">
        <f t="array" ref="G693">XLOOKUP(B693,'Página9'!A:A,'Página9'!F:F,"")</f>
        <v>-158</v>
      </c>
      <c r="H693" s="39">
        <f t="array" ref="H693">XLOOKUP(B693,'Página9'!A:A,'Página9'!C:C,"")</f>
        <v>40</v>
      </c>
      <c r="I693" s="35" t="str">
        <f t="array" ref="I693">XLOOKUP(B693,'Página9'!A:A,'Página9'!G:G,"")</f>
        <v>REPOR ESTOQUE</v>
      </c>
      <c r="J693" s="25" t="str">
        <f t="shared" si="1"/>
        <v/>
      </c>
      <c r="K693" s="25" t="str">
        <f>IFERROR(__xludf.DUMMYFUNCTION("""COMPUTED_VALUE"""),"Allison Breno Da Costa Borges Soares")</f>
        <v>Allison Breno Da Costa Borges Soares</v>
      </c>
    </row>
    <row r="694">
      <c r="A694" s="37">
        <f>IFERROR(__xludf.DUMMYFUNCTION("""COMPUTED_VALUE"""),46063.0)</f>
        <v>46063</v>
      </c>
      <c r="B694" s="42" t="str">
        <f>IFERROR(__xludf.DUMMYFUNCTION("""COMPUTED_VALUE"""),"MCC015UC0045")</f>
        <v>MCC015UC0045</v>
      </c>
      <c r="C694" s="31" t="str">
        <f>IFERROR(__xludf.DUMMYFUNCTION("""COMPUTED_VALUE"""),"FITA ADESIVA 69MM X 100M")</f>
        <v>FITA ADESIVA 69MM X 100M</v>
      </c>
      <c r="D694" s="39">
        <f>IFERROR(__xludf.DUMMYFUNCTION("""COMPUTED_VALUE"""),10.0)</f>
        <v>10</v>
      </c>
      <c r="E694" s="34" t="str">
        <f>IFERROR(__xludf.DUMMYFUNCTION("""COMPUTED_VALUE"""),"Saída")</f>
        <v>Saída</v>
      </c>
      <c r="F694" s="34"/>
      <c r="G694" s="39">
        <f t="array" ref="G694">XLOOKUP(B694,'Página9'!A:A,'Página9'!F:F,"")</f>
        <v>287</v>
      </c>
      <c r="H694" s="39">
        <f t="array" ref="H694">XLOOKUP(B694,'Página9'!A:A,'Página9'!C:C,"")</f>
        <v>20</v>
      </c>
      <c r="I694" s="35" t="str">
        <f t="array" ref="I694">XLOOKUP(B694,'Página9'!A:A,'Página9'!G:G,"")</f>
        <v>OK</v>
      </c>
      <c r="J694" s="25" t="str">
        <f t="shared" si="1"/>
        <v/>
      </c>
      <c r="K694" s="25" t="str">
        <f>IFERROR(__xludf.DUMMYFUNCTION("""COMPUTED_VALUE"""),"Ana Virginia De Castro Costa")</f>
        <v>Ana Virginia De Castro Costa</v>
      </c>
    </row>
    <row r="695">
      <c r="A695" s="37">
        <f>IFERROR(__xludf.DUMMYFUNCTION("""COMPUTED_VALUE"""),46063.0)</f>
        <v>46063</v>
      </c>
      <c r="B695" s="42" t="str">
        <f>IFERROR(__xludf.DUMMYFUNCTION("""COMPUTED_VALUE"""),"MCC015UC0045")</f>
        <v>MCC015UC0045</v>
      </c>
      <c r="C695" s="31" t="str">
        <f>IFERROR(__xludf.DUMMYFUNCTION("""COMPUTED_VALUE"""),"FITA ADESIVA 69MM X 100M")</f>
        <v>FITA ADESIVA 69MM X 100M</v>
      </c>
      <c r="D695" s="39">
        <f>IFERROR(__xludf.DUMMYFUNCTION("""COMPUTED_VALUE"""),10.0)</f>
        <v>10</v>
      </c>
      <c r="E695" s="34" t="str">
        <f>IFERROR(__xludf.DUMMYFUNCTION("""COMPUTED_VALUE"""),"Saída")</f>
        <v>Saída</v>
      </c>
      <c r="F695" s="34"/>
      <c r="G695" s="39">
        <f t="array" ref="G695">XLOOKUP(B695,'Página9'!A:A,'Página9'!F:F,"")</f>
        <v>287</v>
      </c>
      <c r="H695" s="39">
        <f t="array" ref="H695">XLOOKUP(B695,'Página9'!A:A,'Página9'!C:C,"")</f>
        <v>20</v>
      </c>
      <c r="I695" s="35" t="str">
        <f t="array" ref="I695">XLOOKUP(B695,'Página9'!A:A,'Página9'!G:G,"")</f>
        <v>OK</v>
      </c>
      <c r="J695" s="25" t="str">
        <f t="shared" si="1"/>
        <v/>
      </c>
      <c r="K695" s="25" t="str">
        <f>IFERROR(__xludf.DUMMYFUNCTION("""COMPUTED_VALUE"""),"Jackson Alves Sales")</f>
        <v>Jackson Alves Sales</v>
      </c>
    </row>
    <row r="696">
      <c r="A696" s="37">
        <f>IFERROR(__xludf.DUMMYFUNCTION("""COMPUTED_VALUE"""),46063.0)</f>
        <v>46063</v>
      </c>
      <c r="B696" s="42" t="str">
        <f>IFERROR(__xludf.DUMMYFUNCTION("""COMPUTED_VALUE"""),"MCC046UC0215")</f>
        <v>MCC046UC0215</v>
      </c>
      <c r="C696" s="31" t="str">
        <f>IFERROR(__xludf.DUMMYFUNCTION("""COMPUTED_VALUE"""),"CANETA ESFEROGRAFICA ECONOMIC AZUL BIC")</f>
        <v>CANETA ESFEROGRAFICA ECONOMIC AZUL BIC</v>
      </c>
      <c r="D696" s="39">
        <f>IFERROR(__xludf.DUMMYFUNCTION("""COMPUTED_VALUE"""),3.0)</f>
        <v>3</v>
      </c>
      <c r="E696" s="34" t="str">
        <f>IFERROR(__xludf.DUMMYFUNCTION("""COMPUTED_VALUE"""),"Saída")</f>
        <v>Saída</v>
      </c>
      <c r="F696" s="34"/>
      <c r="G696" s="39">
        <f t="array" ref="G696">XLOOKUP(B696,'Página9'!A:A,'Página9'!F:F,"")</f>
        <v>-20</v>
      </c>
      <c r="H696" s="39">
        <f t="array" ref="H696">XLOOKUP(B696,'Página9'!A:A,'Página9'!C:C,"")</f>
        <v>15</v>
      </c>
      <c r="I696" s="35" t="str">
        <f t="array" ref="I696">XLOOKUP(B696,'Página9'!A:A,'Página9'!G:G,"")</f>
        <v>REPOR ESTOQUE</v>
      </c>
      <c r="J696" s="25" t="str">
        <f t="shared" si="1"/>
        <v/>
      </c>
      <c r="K696" s="25" t="str">
        <f>IFERROR(__xludf.DUMMYFUNCTION("""COMPUTED_VALUE"""),"Philipe Araujo Barroso")</f>
        <v>Philipe Araujo Barroso</v>
      </c>
    </row>
    <row r="697">
      <c r="A697" s="37">
        <f>IFERROR(__xludf.DUMMYFUNCTION("""COMPUTED_VALUE"""),46063.0)</f>
        <v>46063</v>
      </c>
      <c r="B697" s="42" t="str">
        <f>IFERROR(__xludf.DUMMYFUNCTION("""COMPUTED_VALUE"""),"MCC046UC0596")</f>
        <v>MCC046UC0596</v>
      </c>
      <c r="C697" s="31" t="str">
        <f>IFERROR(__xludf.DUMMYFUNCTION("""COMPUTED_VALUE"""),"ETIQUETA ADESIVA COUCHE BRANCA   - 105X150MM SAS")</f>
        <v>ETIQUETA ADESIVA COUCHE BRANCA   - 105X150MM SAS</v>
      </c>
      <c r="D697" s="39">
        <f>IFERROR(__xludf.DUMMYFUNCTION("""COMPUTED_VALUE"""),8.0)</f>
        <v>8</v>
      </c>
      <c r="E697" s="34" t="str">
        <f>IFERROR(__xludf.DUMMYFUNCTION("""COMPUTED_VALUE"""),"Saída")</f>
        <v>Saída</v>
      </c>
      <c r="F697" s="34"/>
      <c r="G697" s="39">
        <f t="array" ref="G697">XLOOKUP(B697,'Página9'!A:A,'Página9'!F:F,"")</f>
        <v>157</v>
      </c>
      <c r="H697" s="39">
        <f t="array" ref="H697">XLOOKUP(B697,'Página9'!A:A,'Página9'!C:C,"")</f>
        <v>20</v>
      </c>
      <c r="I697" s="35" t="str">
        <f t="array" ref="I697">XLOOKUP(B697,'Página9'!A:A,'Página9'!G:G,"")</f>
        <v>OK</v>
      </c>
      <c r="J697" s="25" t="str">
        <f t="shared" si="1"/>
        <v/>
      </c>
      <c r="K697" s="25" t="str">
        <f>IFERROR(__xludf.DUMMYFUNCTION("""COMPUTED_VALUE"""),"Rejane Fontes De Sousa")</f>
        <v>Rejane Fontes De Sousa</v>
      </c>
    </row>
    <row r="698">
      <c r="A698" s="37">
        <f>IFERROR(__xludf.DUMMYFUNCTION("""COMPUTED_VALUE"""),46063.0)</f>
        <v>46063</v>
      </c>
      <c r="B698" s="42" t="str">
        <f>IFERROR(__xludf.DUMMYFUNCTION("""COMPUTED_VALUE"""),"MCC049UC0610")</f>
        <v>MCC049UC0610</v>
      </c>
      <c r="C698" s="31" t="str">
        <f>IFERROR(__xludf.DUMMYFUNCTION("""COMPUTED_VALUE"""),"GRAMPO PISTOLA ROCAMA 106/8 CX 5.000 UN")</f>
        <v>GRAMPO PISTOLA ROCAMA 106/8 CX 5.000 UN</v>
      </c>
      <c r="D698" s="39">
        <f>IFERROR(__xludf.DUMMYFUNCTION("""COMPUTED_VALUE"""),1.0)</f>
        <v>1</v>
      </c>
      <c r="E698" s="34" t="str">
        <f>IFERROR(__xludf.DUMMYFUNCTION("""COMPUTED_VALUE"""),"Saída")</f>
        <v>Saída</v>
      </c>
      <c r="F698" s="34"/>
      <c r="G698" s="39">
        <f t="array" ref="G698">XLOOKUP(B698,'Página9'!A:A,'Página9'!F:F,"")</f>
        <v>-14</v>
      </c>
      <c r="H698" s="39">
        <f t="array" ref="H698">XLOOKUP(B698,'Página9'!A:A,'Página9'!C:C,"")</f>
        <v>1</v>
      </c>
      <c r="I698" s="35" t="str">
        <f t="array" ref="I698">XLOOKUP(B698,'Página9'!A:A,'Página9'!G:G,"")</f>
        <v>REPOR ESTOQUE</v>
      </c>
      <c r="J698" s="25" t="str">
        <f t="shared" si="1"/>
        <v/>
      </c>
      <c r="K698" s="25" t="str">
        <f>IFERROR(__xludf.DUMMYFUNCTION("""COMPUTED_VALUE"""),"Gabriel De Sousa Freitas")</f>
        <v>Gabriel De Sousa Freitas</v>
      </c>
    </row>
    <row r="699">
      <c r="A699" s="37">
        <f>IFERROR(__xludf.DUMMYFUNCTION("""COMPUTED_VALUE"""),46063.0)</f>
        <v>46063</v>
      </c>
      <c r="B699" s="42" t="str">
        <f>IFERROR(__xludf.DUMMYFUNCTION("""COMPUTED_VALUE"""),"MCC015UC0045")</f>
        <v>MCC015UC0045</v>
      </c>
      <c r="C699" s="31" t="str">
        <f>IFERROR(__xludf.DUMMYFUNCTION("""COMPUTED_VALUE"""),"FITA ADESIVA 69MM X 100M")</f>
        <v>FITA ADESIVA 69MM X 100M</v>
      </c>
      <c r="D699" s="39">
        <f>IFERROR(__xludf.DUMMYFUNCTION("""COMPUTED_VALUE"""),4.0)</f>
        <v>4</v>
      </c>
      <c r="E699" s="34" t="str">
        <f>IFERROR(__xludf.DUMMYFUNCTION("""COMPUTED_VALUE"""),"Saída")</f>
        <v>Saída</v>
      </c>
      <c r="F699" s="34"/>
      <c r="G699" s="39">
        <f t="array" ref="G699">XLOOKUP(B699,'Página9'!A:A,'Página9'!F:F,"")</f>
        <v>287</v>
      </c>
      <c r="H699" s="39">
        <f t="array" ref="H699">XLOOKUP(B699,'Página9'!A:A,'Página9'!C:C,"")</f>
        <v>20</v>
      </c>
      <c r="I699" s="35" t="str">
        <f t="array" ref="I699">XLOOKUP(B699,'Página9'!A:A,'Página9'!G:G,"")</f>
        <v>OK</v>
      </c>
      <c r="J699" s="25" t="str">
        <f t="shared" si="1"/>
        <v/>
      </c>
      <c r="K699" s="25" t="str">
        <f>IFERROR(__xludf.DUMMYFUNCTION("""COMPUTED_VALUE"""),"Gabriel De Sousa Freitas")</f>
        <v>Gabriel De Sousa Freitas</v>
      </c>
    </row>
    <row r="700">
      <c r="A700" s="37">
        <f>IFERROR(__xludf.DUMMYFUNCTION("""COMPUTED_VALUE"""),46063.0)</f>
        <v>46063</v>
      </c>
      <c r="B700" s="42" t="str">
        <f>IFERROR(__xludf.DUMMYFUNCTION("""COMPUTED_VALUE"""),"MCC049UC0610")</f>
        <v>MCC049UC0610</v>
      </c>
      <c r="C700" s="31" t="str">
        <f>IFERROR(__xludf.DUMMYFUNCTION("""COMPUTED_VALUE"""),"GRAMPO PISTOLA ROCAMA 106/8 CX 5.000 UN")</f>
        <v>GRAMPO PISTOLA ROCAMA 106/8 CX 5.000 UN</v>
      </c>
      <c r="D700" s="39">
        <f>IFERROR(__xludf.DUMMYFUNCTION("""COMPUTED_VALUE"""),7.0)</f>
        <v>7</v>
      </c>
      <c r="E700" s="34" t="str">
        <f>IFERROR(__xludf.DUMMYFUNCTION("""COMPUTED_VALUE"""),"Saída")</f>
        <v>Saída</v>
      </c>
      <c r="F700" s="34"/>
      <c r="G700" s="39">
        <f t="array" ref="G700">XLOOKUP(B700,'Página9'!A:A,'Página9'!F:F,"")</f>
        <v>-14</v>
      </c>
      <c r="H700" s="39">
        <f t="array" ref="H700">XLOOKUP(B700,'Página9'!A:A,'Página9'!C:C,"")</f>
        <v>1</v>
      </c>
      <c r="I700" s="35" t="str">
        <f t="array" ref="I700">XLOOKUP(B700,'Página9'!A:A,'Página9'!G:G,"")</f>
        <v>REPOR ESTOQUE</v>
      </c>
      <c r="J700" s="25" t="str">
        <f t="shared" si="1"/>
        <v/>
      </c>
      <c r="K700" s="25" t="str">
        <f>IFERROR(__xludf.DUMMYFUNCTION("""COMPUTED_VALUE"""),"Francisco Samuel Trindade Nascimento")</f>
        <v>Francisco Samuel Trindade Nascimento</v>
      </c>
    </row>
    <row r="701">
      <c r="A701" s="37">
        <f>IFERROR(__xludf.DUMMYFUNCTION("""COMPUTED_VALUE"""),46063.0)</f>
        <v>46063</v>
      </c>
      <c r="B701" s="42" t="str">
        <f>IFERROR(__xludf.DUMMYFUNCTION("""COMPUTED_VALUE"""),"MCC015UC0045")</f>
        <v>MCC015UC0045</v>
      </c>
      <c r="C701" s="31" t="str">
        <f>IFERROR(__xludf.DUMMYFUNCTION("""COMPUTED_VALUE"""),"FITA ADESIVA 69MM X 100M")</f>
        <v>FITA ADESIVA 69MM X 100M</v>
      </c>
      <c r="D701" s="39">
        <f>IFERROR(__xludf.DUMMYFUNCTION("""COMPUTED_VALUE"""),24.0)</f>
        <v>24</v>
      </c>
      <c r="E701" s="34" t="str">
        <f>IFERROR(__xludf.DUMMYFUNCTION("""COMPUTED_VALUE"""),"Saída")</f>
        <v>Saída</v>
      </c>
      <c r="F701" s="34"/>
      <c r="G701" s="39">
        <f t="array" ref="G701">XLOOKUP(B701,'Página9'!A:A,'Página9'!F:F,"")</f>
        <v>287</v>
      </c>
      <c r="H701" s="39">
        <f t="array" ref="H701">XLOOKUP(B701,'Página9'!A:A,'Página9'!C:C,"")</f>
        <v>20</v>
      </c>
      <c r="I701" s="35" t="str">
        <f t="array" ref="I701">XLOOKUP(B701,'Página9'!A:A,'Página9'!G:G,"")</f>
        <v>OK</v>
      </c>
      <c r="J701" s="25" t="str">
        <f t="shared" si="1"/>
        <v/>
      </c>
      <c r="K701" s="25" t="str">
        <f>IFERROR(__xludf.DUMMYFUNCTION("""COMPUTED_VALUE"""),"Jose Antoniel Silva Mesquita")</f>
        <v>Jose Antoniel Silva Mesquita</v>
      </c>
    </row>
    <row r="702">
      <c r="A702" s="37">
        <f>IFERROR(__xludf.DUMMYFUNCTION("""COMPUTED_VALUE"""),46063.0)</f>
        <v>46063</v>
      </c>
      <c r="B702" s="42" t="str">
        <f>IFERROR(__xludf.DUMMYFUNCTION("""COMPUTED_VALUE"""),"MCC046UC0596")</f>
        <v>MCC046UC0596</v>
      </c>
      <c r="C702" s="31" t="str">
        <f>IFERROR(__xludf.DUMMYFUNCTION("""COMPUTED_VALUE"""),"ETIQUETA ADESIVA COUCHE BRANCA   - 105X150MM SAS")</f>
        <v>ETIQUETA ADESIVA COUCHE BRANCA   - 105X150MM SAS</v>
      </c>
      <c r="D702" s="39">
        <f>IFERROR(__xludf.DUMMYFUNCTION("""COMPUTED_VALUE"""),16.0)</f>
        <v>16</v>
      </c>
      <c r="E702" s="34" t="str">
        <f>IFERROR(__xludf.DUMMYFUNCTION("""COMPUTED_VALUE"""),"Saída")</f>
        <v>Saída</v>
      </c>
      <c r="F702" s="34"/>
      <c r="G702" s="39">
        <f t="array" ref="G702">XLOOKUP(B702,'Página9'!A:A,'Página9'!F:F,"")</f>
        <v>157</v>
      </c>
      <c r="H702" s="39">
        <f t="array" ref="H702">XLOOKUP(B702,'Página9'!A:A,'Página9'!C:C,"")</f>
        <v>20</v>
      </c>
      <c r="I702" s="35" t="str">
        <f t="array" ref="I702">XLOOKUP(B702,'Página9'!A:A,'Página9'!G:G,"")</f>
        <v>OK</v>
      </c>
      <c r="J702" s="25" t="str">
        <f t="shared" si="1"/>
        <v/>
      </c>
      <c r="K702" s="25" t="str">
        <f>IFERROR(__xludf.DUMMYFUNCTION("""COMPUTED_VALUE"""),"Philipe Araujo Barroso")</f>
        <v>Philipe Araujo Barroso</v>
      </c>
    </row>
    <row r="703">
      <c r="A703" s="37">
        <f>IFERROR(__xludf.DUMMYFUNCTION("""COMPUTED_VALUE"""),46064.0)</f>
        <v>46064</v>
      </c>
      <c r="B703" s="42" t="str">
        <f>IFERROR(__xludf.DUMMYFUNCTION("""COMPUTED_VALUE"""),"MCC046UC0082")</f>
        <v>MCC046UC0082</v>
      </c>
      <c r="C703" s="31" t="str">
        <f>IFERROR(__xludf.DUMMYFUNCTION("""COMPUTED_VALUE"""),"PAPEL SULFITE A4 75G 500 FOLHAS")</f>
        <v>PAPEL SULFITE A4 75G 500 FOLHAS</v>
      </c>
      <c r="D703" s="39">
        <f>IFERROR(__xludf.DUMMYFUNCTION("""COMPUTED_VALUE"""),1.0)</f>
        <v>1</v>
      </c>
      <c r="E703" s="34" t="str">
        <f>IFERROR(__xludf.DUMMYFUNCTION("""COMPUTED_VALUE"""),"Saída")</f>
        <v>Saída</v>
      </c>
      <c r="F703" s="34"/>
      <c r="G703" s="39">
        <f t="array" ref="G703">XLOOKUP(B703,'Página9'!A:A,'Página9'!F:F,"")</f>
        <v>163</v>
      </c>
      <c r="H703" s="39">
        <f t="array" ref="H703">XLOOKUP(B703,'Página9'!A:A,'Página9'!C:C,"")</f>
        <v>10</v>
      </c>
      <c r="I703" s="35" t="str">
        <f t="array" ref="I703">XLOOKUP(B703,'Página9'!A:A,'Página9'!G:G,"")</f>
        <v>OK</v>
      </c>
      <c r="J703" s="25" t="str">
        <f t="shared" si="1"/>
        <v/>
      </c>
      <c r="K703" s="25" t="str">
        <f>IFERROR(__xludf.DUMMYFUNCTION("""COMPUTED_VALUE"""),"Suellen Aguiar Da Silva")</f>
        <v>Suellen Aguiar Da Silva</v>
      </c>
    </row>
    <row r="704">
      <c r="A704" s="37">
        <f>IFERROR(__xludf.DUMMYFUNCTION("""COMPUTED_VALUE"""),46064.0)</f>
        <v>46064</v>
      </c>
      <c r="B704" s="42" t="str">
        <f>IFERROR(__xludf.DUMMYFUNCTION("""COMPUTED_VALUE"""),"EMC015MO0001")</f>
        <v>EMC015MO0001</v>
      </c>
      <c r="C704" s="31" t="str">
        <f>IFERROR(__xludf.DUMMYFUNCTION("""COMPUTED_VALUE"""),"RIBBON CERA PRETO 110MMX300M")</f>
        <v>RIBBON CERA PRETO 110MMX300M</v>
      </c>
      <c r="D704" s="39">
        <f>IFERROR(__xludf.DUMMYFUNCTION("""COMPUTED_VALUE"""),1.0)</f>
        <v>1</v>
      </c>
      <c r="E704" s="34" t="str">
        <f>IFERROR(__xludf.DUMMYFUNCTION("""COMPUTED_VALUE"""),"Saída")</f>
        <v>Saída</v>
      </c>
      <c r="F704" s="34"/>
      <c r="G704" s="39">
        <f t="array" ref="G704">XLOOKUP(B704,'Página9'!A:A,'Página9'!F:F,"")</f>
        <v>390</v>
      </c>
      <c r="H704" s="39">
        <f t="array" ref="H704">XLOOKUP(B704,'Página9'!A:A,'Página9'!C:C,"")</f>
        <v>5</v>
      </c>
      <c r="I704" s="35" t="str">
        <f t="array" ref="I704">XLOOKUP(B704,'Página9'!A:A,'Página9'!G:G,"")</f>
        <v>OK</v>
      </c>
      <c r="J704" s="25" t="str">
        <f t="shared" si="1"/>
        <v/>
      </c>
      <c r="K704" s="25" t="str">
        <f>IFERROR(__xludf.DUMMYFUNCTION("""COMPUTED_VALUE"""),"Suellen Aguiar Da Silva")</f>
        <v>Suellen Aguiar Da Silva</v>
      </c>
    </row>
    <row r="705">
      <c r="A705" s="37">
        <f>IFERROR(__xludf.DUMMYFUNCTION("""COMPUTED_VALUE"""),46064.0)</f>
        <v>46064</v>
      </c>
      <c r="B705" s="42" t="str">
        <f>IFERROR(__xludf.DUMMYFUNCTION("""COMPUTED_VALUE"""),"MCC046UC0596")</f>
        <v>MCC046UC0596</v>
      </c>
      <c r="C705" s="31" t="str">
        <f>IFERROR(__xludf.DUMMYFUNCTION("""COMPUTED_VALUE"""),"ETIQUETA ADESIVA COUCHE BRANCA   - 105X150MM SAS")</f>
        <v>ETIQUETA ADESIVA COUCHE BRANCA   - 105X150MM SAS</v>
      </c>
      <c r="D705" s="39">
        <f>IFERROR(__xludf.DUMMYFUNCTION("""COMPUTED_VALUE"""),6.0)</f>
        <v>6</v>
      </c>
      <c r="E705" s="34" t="str">
        <f>IFERROR(__xludf.DUMMYFUNCTION("""COMPUTED_VALUE"""),"Saída")</f>
        <v>Saída</v>
      </c>
      <c r="F705" s="34"/>
      <c r="G705" s="39">
        <f t="array" ref="G705">XLOOKUP(B705,'Página9'!A:A,'Página9'!F:F,"")</f>
        <v>157</v>
      </c>
      <c r="H705" s="39">
        <f t="array" ref="H705">XLOOKUP(B705,'Página9'!A:A,'Página9'!C:C,"")</f>
        <v>20</v>
      </c>
      <c r="I705" s="35" t="str">
        <f t="array" ref="I705">XLOOKUP(B705,'Página9'!A:A,'Página9'!G:G,"")</f>
        <v>OK</v>
      </c>
      <c r="J705" s="25" t="str">
        <f t="shared" si="1"/>
        <v/>
      </c>
      <c r="K705" s="25" t="str">
        <f>IFERROR(__xludf.DUMMYFUNCTION("""COMPUTED_VALUE"""),"Suellen Aguiar Da Silva")</f>
        <v>Suellen Aguiar Da Silva</v>
      </c>
    </row>
    <row r="706">
      <c r="A706" s="37">
        <f>IFERROR(__xludf.DUMMYFUNCTION("""COMPUTED_VALUE"""),46064.0)</f>
        <v>46064</v>
      </c>
      <c r="B706" s="42" t="str">
        <f>IFERROR(__xludf.DUMMYFUNCTION("""COMPUTED_VALUE"""),"MCC046UC0360")</f>
        <v>MCC046UC0360</v>
      </c>
      <c r="C706" s="31" t="str">
        <f>IFERROR(__xludf.DUMMYFUNCTION("""COMPUTED_VALUE"""),"FITA ADESIVA DUPLA FACE 12mm X 20m 4910 VHB 3M")</f>
        <v>FITA ADESIVA DUPLA FACE 12mm X 20m 4910 VHB 3M</v>
      </c>
      <c r="D706" s="39">
        <f>IFERROR(__xludf.DUMMYFUNCTION("""COMPUTED_VALUE"""),24.0)</f>
        <v>24</v>
      </c>
      <c r="E706" s="34" t="str">
        <f>IFERROR(__xludf.DUMMYFUNCTION("""COMPUTED_VALUE"""),"Saída")</f>
        <v>Saída</v>
      </c>
      <c r="F706" s="34"/>
      <c r="G706" s="39">
        <f t="array" ref="G706">XLOOKUP(B706,'Página9'!A:A,'Página9'!F:F,"")</f>
        <v>-124</v>
      </c>
      <c r="H706" s="39">
        <f t="array" ref="H706">XLOOKUP(B706,'Página9'!A:A,'Página9'!C:C,"")</f>
        <v>1</v>
      </c>
      <c r="I706" s="35" t="str">
        <f t="array" ref="I706">XLOOKUP(B706,'Página9'!A:A,'Página9'!G:G,"")</f>
        <v>REPOR ESTOQUE</v>
      </c>
      <c r="J706" s="25" t="str">
        <f t="shared" si="1"/>
        <v/>
      </c>
      <c r="K706" s="25" t="str">
        <f>IFERROR(__xludf.DUMMYFUNCTION("""COMPUTED_VALUE"""),"Silvana Da Silva Pereira")</f>
        <v>Silvana Da Silva Pereira</v>
      </c>
    </row>
    <row r="707">
      <c r="A707" s="37">
        <f>IFERROR(__xludf.DUMMYFUNCTION("""COMPUTED_VALUE"""),46064.0)</f>
        <v>46064</v>
      </c>
      <c r="B707" s="42" t="str">
        <f>IFERROR(__xludf.DUMMYFUNCTION("""COMPUTED_VALUE"""),"MCC046UC0210")</f>
        <v>MCC046UC0210</v>
      </c>
      <c r="C707" s="31" t="str">
        <f>IFERROR(__xludf.DUMMYFUNCTION("""COMPUTED_VALUE"""),"CALCULADORA MESA 12 DIGITOS ZT 712 ZETA")</f>
        <v>CALCULADORA MESA 12 DIGITOS ZT 712 ZETA</v>
      </c>
      <c r="D707" s="39">
        <f>IFERROR(__xludf.DUMMYFUNCTION("""COMPUTED_VALUE"""),1.0)</f>
        <v>1</v>
      </c>
      <c r="E707" s="34" t="str">
        <f>IFERROR(__xludf.DUMMYFUNCTION("""COMPUTED_VALUE"""),"Saída")</f>
        <v>Saída</v>
      </c>
      <c r="F707" s="34"/>
      <c r="G707" s="39">
        <f t="array" ref="G707">XLOOKUP(B707,'Página9'!A:A,'Página9'!F:F,"")</f>
        <v>2</v>
      </c>
      <c r="H707" s="39">
        <f t="array" ref="H707">XLOOKUP(B707,'Página9'!A:A,'Página9'!C:C,"")</f>
        <v>1</v>
      </c>
      <c r="I707" s="35" t="str">
        <f t="array" ref="I707">XLOOKUP(B707,'Página9'!A:A,'Página9'!G:G,"")</f>
        <v>OK</v>
      </c>
      <c r="J707" s="25" t="str">
        <f t="shared" si="1"/>
        <v/>
      </c>
      <c r="K707" s="25" t="str">
        <f>IFERROR(__xludf.DUMMYFUNCTION("""COMPUTED_VALUE"""),"Francisco Samuel Trindade Nascimento")</f>
        <v>Francisco Samuel Trindade Nascimento</v>
      </c>
    </row>
    <row r="708">
      <c r="A708" s="37">
        <f>IFERROR(__xludf.DUMMYFUNCTION("""COMPUTED_VALUE"""),46064.0)</f>
        <v>46064</v>
      </c>
      <c r="B708" s="42" t="str">
        <f>IFERROR(__xludf.DUMMYFUNCTION("""COMPUTED_VALUE"""),"MCC049UC0610")</f>
        <v>MCC049UC0610</v>
      </c>
      <c r="C708" s="31" t="str">
        <f>IFERROR(__xludf.DUMMYFUNCTION("""COMPUTED_VALUE"""),"GRAMPO PISTOLA ROCAMA 106/8 CX 5.000 UN")</f>
        <v>GRAMPO PISTOLA ROCAMA 106/8 CX 5.000 UN</v>
      </c>
      <c r="D708" s="39">
        <f>IFERROR(__xludf.DUMMYFUNCTION("""COMPUTED_VALUE"""),1.0)</f>
        <v>1</v>
      </c>
      <c r="E708" s="34" t="str">
        <f>IFERROR(__xludf.DUMMYFUNCTION("""COMPUTED_VALUE"""),"Saída")</f>
        <v>Saída</v>
      </c>
      <c r="F708" s="34"/>
      <c r="G708" s="39">
        <f t="array" ref="G708">XLOOKUP(B708,'Página9'!A:A,'Página9'!F:F,"")</f>
        <v>-14</v>
      </c>
      <c r="H708" s="39">
        <f t="array" ref="H708">XLOOKUP(B708,'Página9'!A:A,'Página9'!C:C,"")</f>
        <v>1</v>
      </c>
      <c r="I708" s="35" t="str">
        <f t="array" ref="I708">XLOOKUP(B708,'Página9'!A:A,'Página9'!G:G,"")</f>
        <v>REPOR ESTOQUE</v>
      </c>
      <c r="J708" s="25" t="str">
        <f t="shared" si="1"/>
        <v/>
      </c>
      <c r="K708" s="25" t="str">
        <f>IFERROR(__xludf.DUMMYFUNCTION("""COMPUTED_VALUE"""),"Jackson Alves Sales")</f>
        <v>Jackson Alves Sales</v>
      </c>
    </row>
    <row r="709">
      <c r="A709" s="37">
        <f>IFERROR(__xludf.DUMMYFUNCTION("""COMPUTED_VALUE"""),46064.0)</f>
        <v>46064</v>
      </c>
      <c r="B709" s="42" t="str">
        <f>IFERROR(__xludf.DUMMYFUNCTION("""COMPUTED_VALUE"""),"MCC015UC0008")</f>
        <v>MCC015UC0008</v>
      </c>
      <c r="C709" s="31" t="str">
        <f>IFERROR(__xludf.DUMMYFUNCTION("""COMPUTED_VALUE"""),"FILME STRETCH 500X25")</f>
        <v>FILME STRETCH 500X25</v>
      </c>
      <c r="D709" s="39">
        <f>IFERROR(__xludf.DUMMYFUNCTION("""COMPUTED_VALUE"""),10.0)</f>
        <v>10</v>
      </c>
      <c r="E709" s="34" t="str">
        <f>IFERROR(__xludf.DUMMYFUNCTION("""COMPUTED_VALUE"""),"Saída")</f>
        <v>Saída</v>
      </c>
      <c r="F709" s="34"/>
      <c r="G709" s="39">
        <f t="array" ref="G709">XLOOKUP(B709,'Página9'!A:A,'Página9'!F:F,"")</f>
        <v>-158</v>
      </c>
      <c r="H709" s="39">
        <f t="array" ref="H709">XLOOKUP(B709,'Página9'!A:A,'Página9'!C:C,"")</f>
        <v>40</v>
      </c>
      <c r="I709" s="35" t="str">
        <f t="array" ref="I709">XLOOKUP(B709,'Página9'!A:A,'Página9'!G:G,"")</f>
        <v>REPOR ESTOQUE</v>
      </c>
      <c r="J709" s="25" t="str">
        <f t="shared" si="1"/>
        <v/>
      </c>
      <c r="K709" s="25" t="str">
        <f>IFERROR(__xludf.DUMMYFUNCTION("""COMPUTED_VALUE"""),"Jackson Alves Sales")</f>
        <v>Jackson Alves Sales</v>
      </c>
    </row>
    <row r="710">
      <c r="A710" s="37">
        <f>IFERROR(__xludf.DUMMYFUNCTION("""COMPUTED_VALUE"""),46064.0)</f>
        <v>46064</v>
      </c>
      <c r="B710" s="42" t="str">
        <f>IFERROR(__xludf.DUMMYFUNCTION("""COMPUTED_VALUE"""),"MCC015UC0008")</f>
        <v>MCC015UC0008</v>
      </c>
      <c r="C710" s="31" t="str">
        <f>IFERROR(__xludf.DUMMYFUNCTION("""COMPUTED_VALUE"""),"FILME STRETCH 500X25")</f>
        <v>FILME STRETCH 500X25</v>
      </c>
      <c r="D710" s="39">
        <f>IFERROR(__xludf.DUMMYFUNCTION("""COMPUTED_VALUE"""),1.0)</f>
        <v>1</v>
      </c>
      <c r="E710" s="34" t="str">
        <f>IFERROR(__xludf.DUMMYFUNCTION("""COMPUTED_VALUE"""),"Saída")</f>
        <v>Saída</v>
      </c>
      <c r="F710" s="34"/>
      <c r="G710" s="39">
        <f t="array" ref="G710">XLOOKUP(B710,'Página9'!A:A,'Página9'!F:F,"")</f>
        <v>-158</v>
      </c>
      <c r="H710" s="39">
        <f t="array" ref="H710">XLOOKUP(B710,'Página9'!A:A,'Página9'!C:C,"")</f>
        <v>40</v>
      </c>
      <c r="I710" s="35" t="str">
        <f t="array" ref="I710">XLOOKUP(B710,'Página9'!A:A,'Página9'!G:G,"")</f>
        <v>REPOR ESTOQUE</v>
      </c>
      <c r="J710" s="25" t="str">
        <f t="shared" si="1"/>
        <v/>
      </c>
      <c r="K710" s="25" t="str">
        <f>IFERROR(__xludf.DUMMYFUNCTION("""COMPUTED_VALUE"""),"Jose Edervanio Lima Mateus")</f>
        <v>Jose Edervanio Lima Mateus</v>
      </c>
    </row>
    <row r="711">
      <c r="A711" s="37">
        <f>IFERROR(__xludf.DUMMYFUNCTION("""COMPUTED_VALUE"""),46065.0)</f>
        <v>46065</v>
      </c>
      <c r="B711" s="42" t="str">
        <f>IFERROR(__xludf.DUMMYFUNCTION("""COMPUTED_VALUE"""),"MCC015UC0008")</f>
        <v>MCC015UC0008</v>
      </c>
      <c r="C711" s="31" t="str">
        <f>IFERROR(__xludf.DUMMYFUNCTION("""COMPUTED_VALUE"""),"FILME STRETCH 500X25")</f>
        <v>FILME STRETCH 500X25</v>
      </c>
      <c r="D711" s="39">
        <f>IFERROR(__xludf.DUMMYFUNCTION("""COMPUTED_VALUE"""),8.0)</f>
        <v>8</v>
      </c>
      <c r="E711" s="34" t="str">
        <f>IFERROR(__xludf.DUMMYFUNCTION("""COMPUTED_VALUE"""),"Saída")</f>
        <v>Saída</v>
      </c>
      <c r="F711" s="34"/>
      <c r="G711" s="39">
        <f t="array" ref="G711">XLOOKUP(B711,'Página9'!A:A,'Página9'!F:F,"")</f>
        <v>-158</v>
      </c>
      <c r="H711" s="39">
        <f t="array" ref="H711">XLOOKUP(B711,'Página9'!A:A,'Página9'!C:C,"")</f>
        <v>40</v>
      </c>
      <c r="I711" s="35" t="str">
        <f t="array" ref="I711">XLOOKUP(B711,'Página9'!A:A,'Página9'!G:G,"")</f>
        <v>REPOR ESTOQUE</v>
      </c>
      <c r="J711" s="25" t="str">
        <f t="shared" si="1"/>
        <v/>
      </c>
      <c r="K711" s="25" t="str">
        <f>IFERROR(__xludf.DUMMYFUNCTION("""COMPUTED_VALUE"""),"Philipe Araujo Barroso")</f>
        <v>Philipe Araujo Barroso</v>
      </c>
    </row>
    <row r="712">
      <c r="A712" s="37">
        <f>IFERROR(__xludf.DUMMYFUNCTION("""COMPUTED_VALUE"""),46065.0)</f>
        <v>46065</v>
      </c>
      <c r="B712" s="42" t="str">
        <f>IFERROR(__xludf.DUMMYFUNCTION("""COMPUTED_VALUE"""),"MCC046UC0659")</f>
        <v>MCC046UC0659</v>
      </c>
      <c r="C712" s="31" t="str">
        <f>IFERROR(__xludf.DUMMYFUNCTION("""COMPUTED_VALUE"""),"ETIQUETA 70MM PROFESSOR")</f>
        <v>ETIQUETA 70MM PROFESSOR</v>
      </c>
      <c r="D712" s="39">
        <f>IFERROR(__xludf.DUMMYFUNCTION("""COMPUTED_VALUE"""),8.0)</f>
        <v>8</v>
      </c>
      <c r="E712" s="34" t="str">
        <f>IFERROR(__xludf.DUMMYFUNCTION("""COMPUTED_VALUE"""),"Saída")</f>
        <v>Saída</v>
      </c>
      <c r="F712" s="34"/>
      <c r="G712" s="39">
        <f t="array" ref="G712">XLOOKUP(B712,'Página9'!A:A,'Página9'!F:F,"")</f>
        <v>25</v>
      </c>
      <c r="H712" s="39">
        <f t="array" ref="H712">XLOOKUP(B712,'Página9'!A:A,'Página9'!C:C,"")</f>
        <v>5</v>
      </c>
      <c r="I712" s="35" t="str">
        <f t="array" ref="I712">XLOOKUP(B712,'Página9'!A:A,'Página9'!G:G,"")</f>
        <v>OK</v>
      </c>
      <c r="J712" s="25" t="str">
        <f t="shared" si="1"/>
        <v/>
      </c>
      <c r="K712" s="25" t="str">
        <f>IFERROR(__xludf.DUMMYFUNCTION("""COMPUTED_VALUE"""),"Philipe Araujo Barroso")</f>
        <v>Philipe Araujo Barroso</v>
      </c>
    </row>
    <row r="713">
      <c r="A713" s="37">
        <f>IFERROR(__xludf.DUMMYFUNCTION("""COMPUTED_VALUE"""),46065.0)</f>
        <v>46065</v>
      </c>
      <c r="B713" s="42" t="str">
        <f>IFERROR(__xludf.DUMMYFUNCTION("""COMPUTED_VALUE"""),"MCC015UC0045")</f>
        <v>MCC015UC0045</v>
      </c>
      <c r="C713" s="31" t="str">
        <f>IFERROR(__xludf.DUMMYFUNCTION("""COMPUTED_VALUE"""),"FITA ADESIVA 69MM X 100M")</f>
        <v>FITA ADESIVA 69MM X 100M</v>
      </c>
      <c r="D713" s="39">
        <f>IFERROR(__xludf.DUMMYFUNCTION("""COMPUTED_VALUE"""),10.0)</f>
        <v>10</v>
      </c>
      <c r="E713" s="34" t="str">
        <f>IFERROR(__xludf.DUMMYFUNCTION("""COMPUTED_VALUE"""),"Saída")</f>
        <v>Saída</v>
      </c>
      <c r="F713" s="34"/>
      <c r="G713" s="39">
        <f t="array" ref="G713">XLOOKUP(B713,'Página9'!A:A,'Página9'!F:F,"")</f>
        <v>287</v>
      </c>
      <c r="H713" s="39">
        <f t="array" ref="H713">XLOOKUP(B713,'Página9'!A:A,'Página9'!C:C,"")</f>
        <v>20</v>
      </c>
      <c r="I713" s="35" t="str">
        <f t="array" ref="I713">XLOOKUP(B713,'Página9'!A:A,'Página9'!G:G,"")</f>
        <v>OK</v>
      </c>
      <c r="J713" s="25" t="str">
        <f t="shared" si="1"/>
        <v/>
      </c>
      <c r="K713" s="25" t="str">
        <f>IFERROR(__xludf.DUMMYFUNCTION("""COMPUTED_VALUE"""),"Jackson Alves Sales")</f>
        <v>Jackson Alves Sales</v>
      </c>
    </row>
    <row r="714">
      <c r="A714" s="37">
        <f>IFERROR(__xludf.DUMMYFUNCTION("""COMPUTED_VALUE"""),46065.0)</f>
        <v>46065</v>
      </c>
      <c r="B714" s="42" t="str">
        <f>IFERROR(__xludf.DUMMYFUNCTION("""COMPUTED_VALUE"""),"MCC015UC0008")</f>
        <v>MCC015UC0008</v>
      </c>
      <c r="C714" s="31" t="str">
        <f>IFERROR(__xludf.DUMMYFUNCTION("""COMPUTED_VALUE"""),"FILME STRETCH 500X25")</f>
        <v>FILME STRETCH 500X25</v>
      </c>
      <c r="D714" s="39">
        <f>IFERROR(__xludf.DUMMYFUNCTION("""COMPUTED_VALUE"""),1.0)</f>
        <v>1</v>
      </c>
      <c r="E714" s="34" t="str">
        <f>IFERROR(__xludf.DUMMYFUNCTION("""COMPUTED_VALUE"""),"Saída")</f>
        <v>Saída</v>
      </c>
      <c r="F714" s="34"/>
      <c r="G714" s="39">
        <f t="array" ref="G714">XLOOKUP(B714,'Página9'!A:A,'Página9'!F:F,"")</f>
        <v>-158</v>
      </c>
      <c r="H714" s="39">
        <f t="array" ref="H714">XLOOKUP(B714,'Página9'!A:A,'Página9'!C:C,"")</f>
        <v>40</v>
      </c>
      <c r="I714" s="35" t="str">
        <f t="array" ref="I714">XLOOKUP(B714,'Página9'!A:A,'Página9'!G:G,"")</f>
        <v>REPOR ESTOQUE</v>
      </c>
      <c r="J714" s="25" t="str">
        <f t="shared" si="1"/>
        <v/>
      </c>
      <c r="K714" s="25" t="str">
        <f>IFERROR(__xludf.DUMMYFUNCTION("""COMPUTED_VALUE"""),"Ana Virginia De Castro Costa")</f>
        <v>Ana Virginia De Castro Costa</v>
      </c>
    </row>
    <row r="715">
      <c r="A715" s="37">
        <f>IFERROR(__xludf.DUMMYFUNCTION("""COMPUTED_VALUE"""),46065.0)</f>
        <v>46065</v>
      </c>
      <c r="B715" s="42" t="str">
        <f>IFERROR(__xludf.DUMMYFUNCTION("""COMPUTED_VALUE"""),"MCC015UC0008")</f>
        <v>MCC015UC0008</v>
      </c>
      <c r="C715" s="31" t="str">
        <f>IFERROR(__xludf.DUMMYFUNCTION("""COMPUTED_VALUE"""),"FILME STRETCH 500X25")</f>
        <v>FILME STRETCH 500X25</v>
      </c>
      <c r="D715" s="39">
        <f>IFERROR(__xludf.DUMMYFUNCTION("""COMPUTED_VALUE"""),10.0)</f>
        <v>10</v>
      </c>
      <c r="E715" s="34" t="str">
        <f>IFERROR(__xludf.DUMMYFUNCTION("""COMPUTED_VALUE"""),"Saída")</f>
        <v>Saída</v>
      </c>
      <c r="F715" s="34"/>
      <c r="G715" s="39">
        <f t="array" ref="G715">XLOOKUP(B715,'Página9'!A:A,'Página9'!F:F,"")</f>
        <v>-158</v>
      </c>
      <c r="H715" s="39">
        <f t="array" ref="H715">XLOOKUP(B715,'Página9'!A:A,'Página9'!C:C,"")</f>
        <v>40</v>
      </c>
      <c r="I715" s="35" t="str">
        <f t="array" ref="I715">XLOOKUP(B715,'Página9'!A:A,'Página9'!G:G,"")</f>
        <v>REPOR ESTOQUE</v>
      </c>
      <c r="J715" s="25" t="str">
        <f t="shared" si="1"/>
        <v/>
      </c>
      <c r="K715" s="25" t="str">
        <f>IFERROR(__xludf.DUMMYFUNCTION("""COMPUTED_VALUE"""),"Jackson Alves Sales")</f>
        <v>Jackson Alves Sales</v>
      </c>
    </row>
    <row r="716">
      <c r="A716" s="37">
        <f>IFERROR(__xludf.DUMMYFUNCTION("""COMPUTED_VALUE"""),46066.0)</f>
        <v>46066</v>
      </c>
      <c r="B716" s="42" t="str">
        <f>IFERROR(__xludf.DUMMYFUNCTION("""COMPUTED_VALUE"""),"MCC046UC0540")</f>
        <v>MCC046UC0540</v>
      </c>
      <c r="C716" s="31" t="str">
        <f>IFERROR(__xludf.DUMMYFUNCTION("""COMPUTED_VALUE"""),"POST-IT 653 C/4 BL 38X50MM VERDE/ROSA 100FLS 3M")</f>
        <v>POST-IT 653 C/4 BL 38X50MM VERDE/ROSA 100FLS 3M</v>
      </c>
      <c r="D716" s="39">
        <f>IFERROR(__xludf.DUMMYFUNCTION("""COMPUTED_VALUE"""),1.0)</f>
        <v>1</v>
      </c>
      <c r="E716" s="34" t="str">
        <f>IFERROR(__xludf.DUMMYFUNCTION("""COMPUTED_VALUE"""),"Saída")</f>
        <v>Saída</v>
      </c>
      <c r="F716" s="34"/>
      <c r="G716" s="39">
        <f t="array" ref="G716">XLOOKUP(B716,'Página9'!A:A,'Página9'!F:F,"")</f>
        <v>0</v>
      </c>
      <c r="H716" s="39">
        <f t="array" ref="H716">XLOOKUP(B716,'Página9'!A:A,'Página9'!C:C,"")</f>
        <v>3</v>
      </c>
      <c r="I716" s="35" t="str">
        <f t="array" ref="I716">XLOOKUP(B716,'Página9'!A:A,'Página9'!G:G,"")</f>
        <v>REPOR ESTOQUE</v>
      </c>
      <c r="J716" s="25" t="str">
        <f t="shared" si="1"/>
        <v/>
      </c>
      <c r="K716" s="25" t="str">
        <f>IFERROR(__xludf.DUMMYFUNCTION("""COMPUTED_VALUE"""),"Jose Edervanio Lima Mateus")</f>
        <v>Jose Edervanio Lima Mateus</v>
      </c>
    </row>
    <row r="717">
      <c r="A717" s="37">
        <f>IFERROR(__xludf.DUMMYFUNCTION("""COMPUTED_VALUE"""),46066.0)</f>
        <v>46066</v>
      </c>
      <c r="B717" s="42" t="str">
        <f>IFERROR(__xludf.DUMMYFUNCTION("""COMPUTED_VALUE"""),"MCC049UC0600")</f>
        <v>MCC049UC0600</v>
      </c>
      <c r="C717" s="31" t="str">
        <f>IFERROR(__xludf.DUMMYFUNCTION("""COMPUTED_VALUE"""),"FITA ADESIVA P/ CACHORRO PERSONALIZADA")</f>
        <v>FITA ADESIVA P/ CACHORRO PERSONALIZADA</v>
      </c>
      <c r="D717" s="39">
        <f>IFERROR(__xludf.DUMMYFUNCTION("""COMPUTED_VALUE"""),24.0)</f>
        <v>24</v>
      </c>
      <c r="E717" s="34" t="str">
        <f>IFERROR(__xludf.DUMMYFUNCTION("""COMPUTED_VALUE"""),"Saída")</f>
        <v>Saída</v>
      </c>
      <c r="F717" s="34"/>
      <c r="G717" s="39">
        <f t="array" ref="G717">XLOOKUP(B717,'Página9'!A:A,'Página9'!F:F,"")</f>
        <v>156</v>
      </c>
      <c r="H717" s="39">
        <f t="array" ref="H717">XLOOKUP(B717,'Página9'!A:A,'Página9'!C:C,"")</f>
        <v>10</v>
      </c>
      <c r="I717" s="35" t="str">
        <f t="array" ref="I717">XLOOKUP(B717,'Página9'!A:A,'Página9'!G:G,"")</f>
        <v>OK</v>
      </c>
      <c r="J717" s="25" t="str">
        <f t="shared" si="1"/>
        <v/>
      </c>
      <c r="K717" s="25" t="str">
        <f>IFERROR(__xludf.DUMMYFUNCTION("""COMPUTED_VALUE"""),"Silvana Da Silva Pereira")</f>
        <v>Silvana Da Silva Pereira</v>
      </c>
    </row>
    <row r="718">
      <c r="A718" s="37">
        <f>IFERROR(__xludf.DUMMYFUNCTION("""COMPUTED_VALUE"""),46066.0)</f>
        <v>46066</v>
      </c>
      <c r="B718" s="42" t="str">
        <f>IFERROR(__xludf.DUMMYFUNCTION("""COMPUTED_VALUE"""),"MCC015UC0008")</f>
        <v>MCC015UC0008</v>
      </c>
      <c r="C718" s="31" t="str">
        <f>IFERROR(__xludf.DUMMYFUNCTION("""COMPUTED_VALUE"""),"FILME STRETCH 500X25")</f>
        <v>FILME STRETCH 500X25</v>
      </c>
      <c r="D718" s="39">
        <f>IFERROR(__xludf.DUMMYFUNCTION("""COMPUTED_VALUE"""),20.0)</f>
        <v>20</v>
      </c>
      <c r="E718" s="34" t="str">
        <f>IFERROR(__xludf.DUMMYFUNCTION("""COMPUTED_VALUE"""),"Saída")</f>
        <v>Saída</v>
      </c>
      <c r="F718" s="34"/>
      <c r="G718" s="39">
        <f t="array" ref="G718">XLOOKUP(B718,'Página9'!A:A,'Página9'!F:F,"")</f>
        <v>-158</v>
      </c>
      <c r="H718" s="39">
        <f t="array" ref="H718">XLOOKUP(B718,'Página9'!A:A,'Página9'!C:C,"")</f>
        <v>40</v>
      </c>
      <c r="I718" s="35" t="str">
        <f t="array" ref="I718">XLOOKUP(B718,'Página9'!A:A,'Página9'!G:G,"")</f>
        <v>REPOR ESTOQUE</v>
      </c>
      <c r="J718" s="25" t="str">
        <f t="shared" si="1"/>
        <v/>
      </c>
      <c r="K718" s="25" t="str">
        <f>IFERROR(__xludf.DUMMYFUNCTION("""COMPUTED_VALUE"""),"Allison Breno Da Costa Borges Soares")</f>
        <v>Allison Breno Da Costa Borges Soares</v>
      </c>
    </row>
    <row r="719">
      <c r="A719" s="37">
        <f>IFERROR(__xludf.DUMMYFUNCTION("""COMPUTED_VALUE"""),46066.0)</f>
        <v>46066</v>
      </c>
      <c r="B719" s="42" t="str">
        <f>IFERROR(__xludf.DUMMYFUNCTION("""COMPUTED_VALUE"""),"MCC015UC0008")</f>
        <v>MCC015UC0008</v>
      </c>
      <c r="C719" s="31" t="str">
        <f>IFERROR(__xludf.DUMMYFUNCTION("""COMPUTED_VALUE"""),"FILME STRETCH 500X25")</f>
        <v>FILME STRETCH 500X25</v>
      </c>
      <c r="D719" s="39">
        <f>IFERROR(__xludf.DUMMYFUNCTION("""COMPUTED_VALUE"""),5.0)</f>
        <v>5</v>
      </c>
      <c r="E719" s="34" t="str">
        <f>IFERROR(__xludf.DUMMYFUNCTION("""COMPUTED_VALUE"""),"Saída")</f>
        <v>Saída</v>
      </c>
      <c r="F719" s="34"/>
      <c r="G719" s="39">
        <f t="array" ref="G719">XLOOKUP(B719,'Página9'!A:A,'Página9'!F:F,"")</f>
        <v>-158</v>
      </c>
      <c r="H719" s="39">
        <f t="array" ref="H719">XLOOKUP(B719,'Página9'!A:A,'Página9'!C:C,"")</f>
        <v>40</v>
      </c>
      <c r="I719" s="35" t="str">
        <f t="array" ref="I719">XLOOKUP(B719,'Página9'!A:A,'Página9'!G:G,"")</f>
        <v>REPOR ESTOQUE</v>
      </c>
      <c r="J719" s="25" t="str">
        <f t="shared" si="1"/>
        <v/>
      </c>
      <c r="K719" s="25" t="str">
        <f>IFERROR(__xludf.DUMMYFUNCTION("""COMPUTED_VALUE"""),"Allison Breno Da Costa Borges Soares")</f>
        <v>Allison Breno Da Costa Borges Soares</v>
      </c>
    </row>
    <row r="720">
      <c r="A720" s="37">
        <f>IFERROR(__xludf.DUMMYFUNCTION("""COMPUTED_VALUE"""),46066.0)</f>
        <v>46066</v>
      </c>
      <c r="B720" s="42" t="str">
        <f>IFERROR(__xludf.DUMMYFUNCTION("""COMPUTED_VALUE"""),"MCC046UC0082")</f>
        <v>MCC046UC0082</v>
      </c>
      <c r="C720" s="31" t="str">
        <f>IFERROR(__xludf.DUMMYFUNCTION("""COMPUTED_VALUE"""),"PAPEL SULFITE A4 75G 500 FOLHAS")</f>
        <v>PAPEL SULFITE A4 75G 500 FOLHAS</v>
      </c>
      <c r="D720" s="39">
        <f>IFERROR(__xludf.DUMMYFUNCTION("""COMPUTED_VALUE"""),5.0)</f>
        <v>5</v>
      </c>
      <c r="E720" s="34" t="str">
        <f>IFERROR(__xludf.DUMMYFUNCTION("""COMPUTED_VALUE"""),"Saída")</f>
        <v>Saída</v>
      </c>
      <c r="F720" s="34"/>
      <c r="G720" s="39">
        <f t="array" ref="G720">XLOOKUP(B720,'Página9'!A:A,'Página9'!F:F,"")</f>
        <v>163</v>
      </c>
      <c r="H720" s="39">
        <f t="array" ref="H720">XLOOKUP(B720,'Página9'!A:A,'Página9'!C:C,"")</f>
        <v>10</v>
      </c>
      <c r="I720" s="35" t="str">
        <f t="array" ref="I720">XLOOKUP(B720,'Página9'!A:A,'Página9'!G:G,"")</f>
        <v>OK</v>
      </c>
      <c r="J720" s="25" t="str">
        <f t="shared" si="1"/>
        <v/>
      </c>
      <c r="K720" s="25" t="str">
        <f>IFERROR(__xludf.DUMMYFUNCTION("""COMPUTED_VALUE"""),"Allison Breno Da Costa Borges Soares")</f>
        <v>Allison Breno Da Costa Borges Soares</v>
      </c>
    </row>
    <row r="721">
      <c r="A721" s="37">
        <f>IFERROR(__xludf.DUMMYFUNCTION("""COMPUTED_VALUE"""),46071.0)</f>
        <v>46071</v>
      </c>
      <c r="B721" s="42" t="str">
        <f>IFERROR(__xludf.DUMMYFUNCTION("""COMPUTED_VALUE"""),"MCC049UC0604")</f>
        <v>MCC049UC0604</v>
      </c>
      <c r="C721" s="31" t="str">
        <f>IFERROR(__xludf.DUMMYFUNCTION("""COMPUTED_VALUE"""),"FITA DE DEMARCAÇÃO AMARELA")</f>
        <v>FITA DE DEMARCAÇÃO AMARELA</v>
      </c>
      <c r="D721" s="39">
        <f>IFERROR(__xludf.DUMMYFUNCTION("""COMPUTED_VALUE"""),2.0)</f>
        <v>2</v>
      </c>
      <c r="E721" s="34" t="str">
        <f>IFERROR(__xludf.DUMMYFUNCTION("""COMPUTED_VALUE"""),"Saída")</f>
        <v>Saída</v>
      </c>
      <c r="F721" s="34"/>
      <c r="G721" s="39">
        <f t="array" ref="G721">XLOOKUP(B721,'Página9'!A:A,'Página9'!F:F,"")</f>
        <v>-12</v>
      </c>
      <c r="H721" s="39">
        <f t="array" ref="H721">XLOOKUP(B721,'Página9'!A:A,'Página9'!C:C,"")</f>
        <v>3</v>
      </c>
      <c r="I721" s="35" t="str">
        <f t="array" ref="I721">XLOOKUP(B721,'Página9'!A:A,'Página9'!G:G,"")</f>
        <v>REPOR ESTOQUE</v>
      </c>
      <c r="J721" s="25" t="str">
        <f t="shared" si="1"/>
        <v/>
      </c>
      <c r="K721" s="25" t="str">
        <f>IFERROR(__xludf.DUMMYFUNCTION("""COMPUTED_VALUE"""),"Allison Breno Da Costa Borges Soares")</f>
        <v>Allison Breno Da Costa Borges Soares</v>
      </c>
    </row>
    <row r="722">
      <c r="A722" s="37">
        <f>IFERROR(__xludf.DUMMYFUNCTION("""COMPUTED_VALUE"""),46071.0)</f>
        <v>46071</v>
      </c>
      <c r="B722" s="42" t="str">
        <f>IFERROR(__xludf.DUMMYFUNCTION("""COMPUTED_VALUE"""),"MCC046UC0639")</f>
        <v>MCC046UC0639</v>
      </c>
      <c r="C722" s="31" t="str">
        <f>IFERROR(__xludf.DUMMYFUNCTION("""COMPUTED_VALUE"""),"PILHA ALCALINA ELGIN PEQ.AA")</f>
        <v>PILHA ALCALINA ELGIN PEQ.AA</v>
      </c>
      <c r="D722" s="39">
        <f>IFERROR(__xludf.DUMMYFUNCTION("""COMPUTED_VALUE"""),2.0)</f>
        <v>2</v>
      </c>
      <c r="E722" s="34" t="str">
        <f>IFERROR(__xludf.DUMMYFUNCTION("""COMPUTED_VALUE"""),"Saída")</f>
        <v>Saída</v>
      </c>
      <c r="F722" s="34"/>
      <c r="G722" s="39">
        <f t="array" ref="G722">XLOOKUP(B722,'Página9'!A:A,'Página9'!F:F,"")</f>
        <v>-5</v>
      </c>
      <c r="H722" s="39">
        <f t="array" ref="H722">XLOOKUP(B722,'Página9'!A:A,'Página9'!C:C,"")</f>
        <v>4</v>
      </c>
      <c r="I722" s="35" t="str">
        <f t="array" ref="I722">XLOOKUP(B722,'Página9'!A:A,'Página9'!G:G,"")</f>
        <v>REPOR ESTOQUE</v>
      </c>
      <c r="J722" s="25" t="str">
        <f t="shared" si="1"/>
        <v/>
      </c>
      <c r="K722" s="25" t="str">
        <f>IFERROR(__xludf.DUMMYFUNCTION("""COMPUTED_VALUE"""),"Paulo Henrique Chagas De Oliveira")</f>
        <v>Paulo Henrique Chagas De Oliveira</v>
      </c>
    </row>
    <row r="723">
      <c r="A723" s="37">
        <f>IFERROR(__xludf.DUMMYFUNCTION("""COMPUTED_VALUE"""),46071.0)</f>
        <v>46071</v>
      </c>
      <c r="B723" s="42" t="str">
        <f>IFERROR(__xludf.DUMMYFUNCTION("""COMPUTED_VALUE"""),"MCC049UC0604")</f>
        <v>MCC049UC0604</v>
      </c>
      <c r="C723" s="31" t="str">
        <f>IFERROR(__xludf.DUMMYFUNCTION("""COMPUTED_VALUE"""),"FITA DE DEMARCAÇÃO AMARELA")</f>
        <v>FITA DE DEMARCAÇÃO AMARELA</v>
      </c>
      <c r="D723" s="39">
        <f>IFERROR(__xludf.DUMMYFUNCTION("""COMPUTED_VALUE"""),2.0)</f>
        <v>2</v>
      </c>
      <c r="E723" s="34" t="str">
        <f>IFERROR(__xludf.DUMMYFUNCTION("""COMPUTED_VALUE"""),"Saída")</f>
        <v>Saída</v>
      </c>
      <c r="F723" s="34"/>
      <c r="G723" s="39">
        <f t="array" ref="G723">XLOOKUP(B723,'Página9'!A:A,'Página9'!F:F,"")</f>
        <v>-12</v>
      </c>
      <c r="H723" s="39">
        <f t="array" ref="H723">XLOOKUP(B723,'Página9'!A:A,'Página9'!C:C,"")</f>
        <v>3</v>
      </c>
      <c r="I723" s="35" t="str">
        <f t="array" ref="I723">XLOOKUP(B723,'Página9'!A:A,'Página9'!G:G,"")</f>
        <v>REPOR ESTOQUE</v>
      </c>
      <c r="J723" s="25" t="str">
        <f t="shared" si="1"/>
        <v/>
      </c>
      <c r="K723" s="25" t="str">
        <f>IFERROR(__xludf.DUMMYFUNCTION("""COMPUTED_VALUE"""),"Allison Breno Da Costa Borges Soares")</f>
        <v>Allison Breno Da Costa Borges Soares</v>
      </c>
    </row>
    <row r="724">
      <c r="A724" s="37">
        <f>IFERROR(__xludf.DUMMYFUNCTION("""COMPUTED_VALUE"""),46072.0)</f>
        <v>46072</v>
      </c>
      <c r="B724" s="42" t="str">
        <f>IFERROR(__xludf.DUMMYFUNCTION("""COMPUTED_VALUE"""),"MCC015UC0008")</f>
        <v>MCC015UC0008</v>
      </c>
      <c r="C724" s="31" t="str">
        <f>IFERROR(__xludf.DUMMYFUNCTION("""COMPUTED_VALUE"""),"FILME STRETCH 500X25")</f>
        <v>FILME STRETCH 500X25</v>
      </c>
      <c r="D724" s="39">
        <f>IFERROR(__xludf.DUMMYFUNCTION("""COMPUTED_VALUE"""),10.0)</f>
        <v>10</v>
      </c>
      <c r="E724" s="34" t="str">
        <f>IFERROR(__xludf.DUMMYFUNCTION("""COMPUTED_VALUE"""),"Saída")</f>
        <v>Saída</v>
      </c>
      <c r="F724" s="34"/>
      <c r="G724" s="39">
        <f t="array" ref="G724">XLOOKUP(B724,'Página9'!A:A,'Página9'!F:F,"")</f>
        <v>-158</v>
      </c>
      <c r="H724" s="39">
        <f t="array" ref="H724">XLOOKUP(B724,'Página9'!A:A,'Página9'!C:C,"")</f>
        <v>40</v>
      </c>
      <c r="I724" s="35" t="str">
        <f t="array" ref="I724">XLOOKUP(B724,'Página9'!A:A,'Página9'!G:G,"")</f>
        <v>REPOR ESTOQUE</v>
      </c>
      <c r="J724" s="25" t="str">
        <f t="shared" si="1"/>
        <v/>
      </c>
      <c r="K724" s="25" t="str">
        <f>IFERROR(__xludf.DUMMYFUNCTION("""COMPUTED_VALUE"""),"Jackson Alves Sales")</f>
        <v>Jackson Alves Sales</v>
      </c>
    </row>
    <row r="725">
      <c r="A725" s="37">
        <f>IFERROR(__xludf.DUMMYFUNCTION("""COMPUTED_VALUE"""),46073.0)</f>
        <v>46073</v>
      </c>
      <c r="B725" s="42" t="str">
        <f>IFERROR(__xludf.DUMMYFUNCTION("""COMPUTED_VALUE"""),"MCC046UC0596")</f>
        <v>MCC046UC0596</v>
      </c>
      <c r="C725" s="31" t="str">
        <f>IFERROR(__xludf.DUMMYFUNCTION("""COMPUTED_VALUE"""),"ETIQUETA ADESIVA COUCHE BRANCA   - 105X150MM SAS")</f>
        <v>ETIQUETA ADESIVA COUCHE BRANCA   - 105X150MM SAS</v>
      </c>
      <c r="D725" s="39">
        <f>IFERROR(__xludf.DUMMYFUNCTION("""COMPUTED_VALUE"""),16.0)</f>
        <v>16</v>
      </c>
      <c r="E725" s="34" t="str">
        <f>IFERROR(__xludf.DUMMYFUNCTION("""COMPUTED_VALUE"""),"Saída")</f>
        <v>Saída</v>
      </c>
      <c r="F725" s="34"/>
      <c r="G725" s="39">
        <f t="array" ref="G725">XLOOKUP(B725,'Página9'!A:A,'Página9'!F:F,"")</f>
        <v>157</v>
      </c>
      <c r="H725" s="39">
        <f t="array" ref="H725">XLOOKUP(B725,'Página9'!A:A,'Página9'!C:C,"")</f>
        <v>20</v>
      </c>
      <c r="I725" s="35" t="str">
        <f t="array" ref="I725">XLOOKUP(B725,'Página9'!A:A,'Página9'!G:G,"")</f>
        <v>OK</v>
      </c>
      <c r="J725" s="25" t="str">
        <f t="shared" si="1"/>
        <v/>
      </c>
      <c r="K725" s="25" t="str">
        <f>IFERROR(__xludf.DUMMYFUNCTION("""COMPUTED_VALUE"""),"Allison Breno Da Costa Borges Soares")</f>
        <v>Allison Breno Da Costa Borges Soares</v>
      </c>
    </row>
    <row r="726">
      <c r="A726" s="37">
        <f>IFERROR(__xludf.DUMMYFUNCTION("""COMPUTED_VALUE"""),46073.0)</f>
        <v>46073</v>
      </c>
      <c r="B726" s="42" t="str">
        <f>IFERROR(__xludf.DUMMYFUNCTION("""COMPUTED_VALUE"""),"MCC046UC0216")</f>
        <v>MCC046UC0216</v>
      </c>
      <c r="C726" s="31" t="str">
        <f>IFERROR(__xludf.DUMMYFUNCTION("""COMPUTED_VALUE"""),"CANETA ESFEROGRAFICA ECONOMIC PRETA BIC")</f>
        <v>CANETA ESFEROGRAFICA ECONOMIC PRETA BIC</v>
      </c>
      <c r="D726" s="39">
        <f>IFERROR(__xludf.DUMMYFUNCTION("""COMPUTED_VALUE"""),4.0)</f>
        <v>4</v>
      </c>
      <c r="E726" s="34" t="str">
        <f>IFERROR(__xludf.DUMMYFUNCTION("""COMPUTED_VALUE"""),"Saída")</f>
        <v>Saída</v>
      </c>
      <c r="F726" s="34"/>
      <c r="G726" s="39">
        <f t="array" ref="G726">XLOOKUP(B726,'Página9'!A:A,'Página9'!F:F,"")</f>
        <v>89</v>
      </c>
      <c r="H726" s="39">
        <f t="array" ref="H726">XLOOKUP(B726,'Página9'!A:A,'Página9'!C:C,"")</f>
        <v>15</v>
      </c>
      <c r="I726" s="35" t="str">
        <f t="array" ref="I726">XLOOKUP(B726,'Página9'!A:A,'Página9'!G:G,"")</f>
        <v>OK</v>
      </c>
      <c r="J726" s="25" t="str">
        <f t="shared" si="1"/>
        <v/>
      </c>
      <c r="K726" s="25" t="str">
        <f>IFERROR(__xludf.DUMMYFUNCTION("""COMPUTED_VALUE"""),"Suellen Aguiar Da Silva")</f>
        <v>Suellen Aguiar Da Silva</v>
      </c>
    </row>
    <row r="727">
      <c r="A727" s="37">
        <f>IFERROR(__xludf.DUMMYFUNCTION("""COMPUTED_VALUE"""),46073.0)</f>
        <v>46073</v>
      </c>
      <c r="B727" s="42" t="str">
        <f>IFERROR(__xludf.DUMMYFUNCTION("""COMPUTED_VALUE"""),"MCC046UC0398")</f>
        <v>MCC046UC0398</v>
      </c>
      <c r="C727" s="31" t="str">
        <f>IFERROR(__xludf.DUMMYFUNCTION("""COMPUTED_VALUE"""),"GRAMPO 26/6 COBREADO CX.C/5000 BACCHI")</f>
        <v>GRAMPO 26/6 COBREADO CX.C/5000 BACCHI</v>
      </c>
      <c r="D727" s="39">
        <f>IFERROR(__xludf.DUMMYFUNCTION("""COMPUTED_VALUE"""),1.0)</f>
        <v>1</v>
      </c>
      <c r="E727" s="34" t="str">
        <f>IFERROR(__xludf.DUMMYFUNCTION("""COMPUTED_VALUE"""),"Saída")</f>
        <v>Saída</v>
      </c>
      <c r="F727" s="34"/>
      <c r="G727" s="39">
        <f t="array" ref="G727">XLOOKUP(B727,'Página9'!A:A,'Página9'!F:F,"")</f>
        <v>-13</v>
      </c>
      <c r="H727" s="39">
        <f t="array" ref="H727">XLOOKUP(B727,'Página9'!A:A,'Página9'!C:C,"")</f>
        <v>3</v>
      </c>
      <c r="I727" s="35" t="str">
        <f t="array" ref="I727">XLOOKUP(B727,'Página9'!A:A,'Página9'!G:G,"")</f>
        <v>REPOR ESTOQUE</v>
      </c>
      <c r="J727" s="25" t="str">
        <f t="shared" si="1"/>
        <v/>
      </c>
      <c r="K727" s="25" t="str">
        <f>IFERROR(__xludf.DUMMYFUNCTION("""COMPUTED_VALUE"""),"Suellen Aguiar Da Silva")</f>
        <v>Suellen Aguiar Da Silva</v>
      </c>
    </row>
    <row r="728">
      <c r="A728" s="37">
        <f>IFERROR(__xludf.DUMMYFUNCTION("""COMPUTED_VALUE"""),46073.0)</f>
        <v>46073</v>
      </c>
      <c r="B728" s="42" t="str">
        <f>IFERROR(__xludf.DUMMYFUNCTION("""COMPUTED_VALUE"""),"MCC015UC0038")</f>
        <v>MCC015UC0038</v>
      </c>
      <c r="C728" s="31" t="str">
        <f>IFERROR(__xludf.DUMMYFUNCTION("""COMPUTED_VALUE"""),"BOBINA SHRINK 500MM")</f>
        <v>BOBINA SHRINK 500MM</v>
      </c>
      <c r="D728" s="39">
        <f>IFERROR(__xludf.DUMMYFUNCTION("""COMPUTED_VALUE"""),1.0)</f>
        <v>1</v>
      </c>
      <c r="E728" s="34" t="str">
        <f>IFERROR(__xludf.DUMMYFUNCTION("""COMPUTED_VALUE"""),"Saída")</f>
        <v>Saída</v>
      </c>
      <c r="F728" s="34"/>
      <c r="G728" s="39">
        <f t="array" ref="G728">XLOOKUP(B728,'Página9'!A:A,'Página9'!F:F,"")</f>
        <v>13</v>
      </c>
      <c r="H728" s="39">
        <f t="array" ref="H728">XLOOKUP(B728,'Página9'!A:A,'Página9'!C:C,"")</f>
        <v>3</v>
      </c>
      <c r="I728" s="35" t="str">
        <f t="array" ref="I728">XLOOKUP(B728,'Página9'!A:A,'Página9'!G:G,"")</f>
        <v>OK</v>
      </c>
      <c r="J728" s="25" t="str">
        <f t="shared" si="1"/>
        <v/>
      </c>
      <c r="K728" s="25" t="str">
        <f>IFERROR(__xludf.DUMMYFUNCTION("""COMPUTED_VALUE"""),"Yago Rocha Fernandes")</f>
        <v>Yago Rocha Fernandes</v>
      </c>
    </row>
    <row r="729">
      <c r="A729" s="37">
        <f>IFERROR(__xludf.DUMMYFUNCTION("""COMPUTED_VALUE"""),46076.0)</f>
        <v>46076</v>
      </c>
      <c r="B729" s="42" t="str">
        <f>IFERROR(__xludf.DUMMYFUNCTION("""COMPUTED_VALUE"""),"MCC015UC0045")</f>
        <v>MCC015UC0045</v>
      </c>
      <c r="C729" s="31" t="str">
        <f>IFERROR(__xludf.DUMMYFUNCTION("""COMPUTED_VALUE"""),"FITA ADESIVA 69MM X 100M")</f>
        <v>FITA ADESIVA 69MM X 100M</v>
      </c>
      <c r="D729" s="39">
        <f>IFERROR(__xludf.DUMMYFUNCTION("""COMPUTED_VALUE"""),24.0)</f>
        <v>24</v>
      </c>
      <c r="E729" s="34" t="str">
        <f>IFERROR(__xludf.DUMMYFUNCTION("""COMPUTED_VALUE"""),"Saída")</f>
        <v>Saída</v>
      </c>
      <c r="F729" s="34"/>
      <c r="G729" s="39">
        <f t="array" ref="G729">XLOOKUP(B729,'Página9'!A:A,'Página9'!F:F,"")</f>
        <v>287</v>
      </c>
      <c r="H729" s="39">
        <f t="array" ref="H729">XLOOKUP(B729,'Página9'!A:A,'Página9'!C:C,"")</f>
        <v>20</v>
      </c>
      <c r="I729" s="35" t="str">
        <f t="array" ref="I729">XLOOKUP(B729,'Página9'!A:A,'Página9'!G:G,"")</f>
        <v>OK</v>
      </c>
      <c r="J729" s="25" t="str">
        <f t="shared" si="1"/>
        <v/>
      </c>
      <c r="K729" s="25" t="str">
        <f>IFERROR(__xludf.DUMMYFUNCTION("""COMPUTED_VALUE"""),"Silvana Da Silva Pereira")</f>
        <v>Silvana Da Silva Pereira</v>
      </c>
    </row>
    <row r="730">
      <c r="A730" s="37">
        <f>IFERROR(__xludf.DUMMYFUNCTION("""COMPUTED_VALUE"""),46076.0)</f>
        <v>46076</v>
      </c>
      <c r="B730" s="42" t="str">
        <f>IFERROR(__xludf.DUMMYFUNCTION("""COMPUTED_VALUE"""),"EMC015MO0001")</f>
        <v>EMC015MO0001</v>
      </c>
      <c r="C730" s="31" t="str">
        <f>IFERROR(__xludf.DUMMYFUNCTION("""COMPUTED_VALUE"""),"RIBBON CERA PRETO 110MMX300M")</f>
        <v>RIBBON CERA PRETO 110MMX300M</v>
      </c>
      <c r="D730" s="39">
        <f>IFERROR(__xludf.DUMMYFUNCTION("""COMPUTED_VALUE"""),8.0)</f>
        <v>8</v>
      </c>
      <c r="E730" s="34" t="str">
        <f>IFERROR(__xludf.DUMMYFUNCTION("""COMPUTED_VALUE"""),"Saída")</f>
        <v>Saída</v>
      </c>
      <c r="F730" s="34"/>
      <c r="G730" s="39">
        <f t="array" ref="G730">XLOOKUP(B730,'Página9'!A:A,'Página9'!F:F,"")</f>
        <v>390</v>
      </c>
      <c r="H730" s="39">
        <f t="array" ref="H730">XLOOKUP(B730,'Página9'!A:A,'Página9'!C:C,"")</f>
        <v>5</v>
      </c>
      <c r="I730" s="35" t="str">
        <f t="array" ref="I730">XLOOKUP(B730,'Página9'!A:A,'Página9'!G:G,"")</f>
        <v>OK</v>
      </c>
      <c r="J730" s="25" t="str">
        <f t="shared" si="1"/>
        <v/>
      </c>
      <c r="K730" s="25" t="str">
        <f>IFERROR(__xludf.DUMMYFUNCTION("""COMPUTED_VALUE"""),"Cosme Marcio Barros Barbosa")</f>
        <v>Cosme Marcio Barros Barbosa</v>
      </c>
    </row>
    <row r="731">
      <c r="A731" s="37">
        <f>IFERROR(__xludf.DUMMYFUNCTION("""COMPUTED_VALUE"""),46076.0)</f>
        <v>46076</v>
      </c>
      <c r="B731" s="42" t="str">
        <f>IFERROR(__xludf.DUMMYFUNCTION("""COMPUTED_VALUE"""),"MCC015UC0008")</f>
        <v>MCC015UC0008</v>
      </c>
      <c r="C731" s="31" t="str">
        <f>IFERROR(__xludf.DUMMYFUNCTION("""COMPUTED_VALUE"""),"FILME STRETCH 500X25")</f>
        <v>FILME STRETCH 500X25</v>
      </c>
      <c r="D731" s="39">
        <f>IFERROR(__xludf.DUMMYFUNCTION("""COMPUTED_VALUE"""),15.0)</f>
        <v>15</v>
      </c>
      <c r="E731" s="34" t="str">
        <f>IFERROR(__xludf.DUMMYFUNCTION("""COMPUTED_VALUE"""),"Saída")</f>
        <v>Saída</v>
      </c>
      <c r="F731" s="34"/>
      <c r="G731" s="39">
        <f t="array" ref="G731">XLOOKUP(B731,'Página9'!A:A,'Página9'!F:F,"")</f>
        <v>-158</v>
      </c>
      <c r="H731" s="39">
        <f t="array" ref="H731">XLOOKUP(B731,'Página9'!A:A,'Página9'!C:C,"")</f>
        <v>40</v>
      </c>
      <c r="I731" s="35" t="str">
        <f t="array" ref="I731">XLOOKUP(B731,'Página9'!A:A,'Página9'!G:G,"")</f>
        <v>REPOR ESTOQUE</v>
      </c>
      <c r="J731" s="25" t="str">
        <f t="shared" si="1"/>
        <v/>
      </c>
      <c r="K731" s="25" t="str">
        <f>IFERROR(__xludf.DUMMYFUNCTION("""COMPUTED_VALUE"""),"Marcio Sthefani Bessa De Oliveira")</f>
        <v>Marcio Sthefani Bessa De Oliveira</v>
      </c>
    </row>
    <row r="732">
      <c r="A732" s="37">
        <f>IFERROR(__xludf.DUMMYFUNCTION("""COMPUTED_VALUE"""),46076.0)</f>
        <v>46076</v>
      </c>
      <c r="B732" s="42" t="str">
        <f>IFERROR(__xludf.DUMMYFUNCTION("""COMPUTED_VALUE"""),"EMC015MO0001")</f>
        <v>EMC015MO0001</v>
      </c>
      <c r="C732" s="31" t="str">
        <f>IFERROR(__xludf.DUMMYFUNCTION("""COMPUTED_VALUE"""),"RIBBON CERA PRETO 110MMX300M")</f>
        <v>RIBBON CERA PRETO 110MMX300M</v>
      </c>
      <c r="D732" s="39">
        <f>IFERROR(__xludf.DUMMYFUNCTION("""COMPUTED_VALUE"""),23.0)</f>
        <v>23</v>
      </c>
      <c r="E732" s="34" t="str">
        <f>IFERROR(__xludf.DUMMYFUNCTION("""COMPUTED_VALUE"""),"Saída")</f>
        <v>Saída</v>
      </c>
      <c r="F732" s="34"/>
      <c r="G732" s="39">
        <f t="array" ref="G732">XLOOKUP(B732,'Página9'!A:A,'Página9'!F:F,"")</f>
        <v>390</v>
      </c>
      <c r="H732" s="39">
        <f t="array" ref="H732">XLOOKUP(B732,'Página9'!A:A,'Página9'!C:C,"")</f>
        <v>5</v>
      </c>
      <c r="I732" s="35" t="str">
        <f t="array" ref="I732">XLOOKUP(B732,'Página9'!A:A,'Página9'!G:G,"")</f>
        <v>OK</v>
      </c>
      <c r="J732" s="25" t="str">
        <f t="shared" si="1"/>
        <v/>
      </c>
      <c r="K732" s="25" t="str">
        <f>IFERROR(__xludf.DUMMYFUNCTION("""COMPUTED_VALUE"""),"Francisco Renato Da Silva De Oliveira Junior")</f>
        <v>Francisco Renato Da Silva De Oliveira Junior</v>
      </c>
    </row>
    <row r="733">
      <c r="A733" s="37">
        <f>IFERROR(__xludf.DUMMYFUNCTION("""COMPUTED_VALUE"""),46076.0)</f>
        <v>46076</v>
      </c>
      <c r="B733" s="42" t="str">
        <f>IFERROR(__xludf.DUMMYFUNCTION("""COMPUTED_VALUE"""),"MCC046UC0398")</f>
        <v>MCC046UC0398</v>
      </c>
      <c r="C733" s="31" t="str">
        <f>IFERROR(__xludf.DUMMYFUNCTION("""COMPUTED_VALUE"""),"GRAMPO 26/6 COBREADO CX.C/5000 BACCHI")</f>
        <v>GRAMPO 26/6 COBREADO CX.C/5000 BACCHI</v>
      </c>
      <c r="D733" s="39">
        <f>IFERROR(__xludf.DUMMYFUNCTION("""COMPUTED_VALUE"""),1.0)</f>
        <v>1</v>
      </c>
      <c r="E733" s="34" t="str">
        <f>IFERROR(__xludf.DUMMYFUNCTION("""COMPUTED_VALUE"""),"Saída")</f>
        <v>Saída</v>
      </c>
      <c r="F733" s="34"/>
      <c r="G733" s="39">
        <f t="array" ref="G733">XLOOKUP(B733,'Página9'!A:A,'Página9'!F:F,"")</f>
        <v>-13</v>
      </c>
      <c r="H733" s="39">
        <f t="array" ref="H733">XLOOKUP(B733,'Página9'!A:A,'Página9'!C:C,"")</f>
        <v>3</v>
      </c>
      <c r="I733" s="35" t="str">
        <f t="array" ref="I733">XLOOKUP(B733,'Página9'!A:A,'Página9'!G:G,"")</f>
        <v>REPOR ESTOQUE</v>
      </c>
      <c r="J733" s="25" t="str">
        <f t="shared" si="1"/>
        <v/>
      </c>
      <c r="K733" s="25" t="str">
        <f>IFERROR(__xludf.DUMMYFUNCTION("""COMPUTED_VALUE"""),"Francisco Renato Da Silva De Oliveira Junior")</f>
        <v>Francisco Renato Da Silva De Oliveira Junior</v>
      </c>
    </row>
    <row r="734">
      <c r="A734" s="37">
        <f>IFERROR(__xludf.DUMMYFUNCTION("""COMPUTED_VALUE"""),46076.0)</f>
        <v>46076</v>
      </c>
      <c r="B734" s="42" t="str">
        <f>IFERROR(__xludf.DUMMYFUNCTION("""COMPUTED_VALUE"""),"MCC046UC0687")</f>
        <v>MCC046UC0687</v>
      </c>
      <c r="C734" s="31" t="str">
        <f>IFERROR(__xludf.DUMMYFUNCTION("""COMPUTED_VALUE"""),"ETIQUETA COUCHE - 100X100X 1")</f>
        <v>ETIQUETA COUCHE - 100X100X 1</v>
      </c>
      <c r="D734" s="39">
        <f>IFERROR(__xludf.DUMMYFUNCTION("""COMPUTED_VALUE"""),12.0)</f>
        <v>12</v>
      </c>
      <c r="E734" s="34" t="str">
        <f>IFERROR(__xludf.DUMMYFUNCTION("""COMPUTED_VALUE"""),"Saída")</f>
        <v>Saída</v>
      </c>
      <c r="F734" s="34"/>
      <c r="G734" s="39">
        <f t="array" ref="G734">XLOOKUP(B734,'Página9'!A:A,'Página9'!F:F,"")</f>
        <v>335</v>
      </c>
      <c r="H734" s="39">
        <f t="array" ref="H734">XLOOKUP(B734,'Página9'!A:A,'Página9'!C:C,"")</f>
        <v>20</v>
      </c>
      <c r="I734" s="35" t="str">
        <f t="array" ref="I734">XLOOKUP(B734,'Página9'!A:A,'Página9'!G:G,"")</f>
        <v>OK</v>
      </c>
      <c r="J734" s="25" t="str">
        <f t="shared" si="1"/>
        <v/>
      </c>
      <c r="K734" s="25" t="str">
        <f>IFERROR(__xludf.DUMMYFUNCTION("""COMPUTED_VALUE"""),"Francisco Renato Da Silva De Oliveira Junior")</f>
        <v>Francisco Renato Da Silva De Oliveira Junior</v>
      </c>
    </row>
    <row r="735">
      <c r="A735" s="37">
        <f>IFERROR(__xludf.DUMMYFUNCTION("""COMPUTED_VALUE"""),46076.0)</f>
        <v>46076</v>
      </c>
      <c r="B735" s="42" t="str">
        <f>IFERROR(__xludf.DUMMYFUNCTION("""COMPUTED_VALUE"""),"EMC015MO0001")</f>
        <v>EMC015MO0001</v>
      </c>
      <c r="C735" s="31" t="str">
        <f>IFERROR(__xludf.DUMMYFUNCTION("""COMPUTED_VALUE"""),"RIBBON CERA PRETO 110MMX300M")</f>
        <v>RIBBON CERA PRETO 110MMX300M</v>
      </c>
      <c r="D735" s="39">
        <f>IFERROR(__xludf.DUMMYFUNCTION("""COMPUTED_VALUE"""),5.0)</f>
        <v>5</v>
      </c>
      <c r="E735" s="34" t="str">
        <f>IFERROR(__xludf.DUMMYFUNCTION("""COMPUTED_VALUE"""),"Saída")</f>
        <v>Saída</v>
      </c>
      <c r="F735" s="34"/>
      <c r="G735" s="39">
        <f t="array" ref="G735">XLOOKUP(B735,'Página9'!A:A,'Página9'!F:F,"")</f>
        <v>390</v>
      </c>
      <c r="H735" s="39">
        <f t="array" ref="H735">XLOOKUP(B735,'Página9'!A:A,'Página9'!C:C,"")</f>
        <v>5</v>
      </c>
      <c r="I735" s="35" t="str">
        <f t="array" ref="I735">XLOOKUP(B735,'Página9'!A:A,'Página9'!G:G,"")</f>
        <v>OK</v>
      </c>
      <c r="J735" s="25" t="str">
        <f t="shared" si="1"/>
        <v/>
      </c>
      <c r="K735" s="25" t="str">
        <f>IFERROR(__xludf.DUMMYFUNCTION("""COMPUTED_VALUE"""),"Paulo Henrique Chagas De Oliveira")</f>
        <v>Paulo Henrique Chagas De Oliveira</v>
      </c>
    </row>
    <row r="736">
      <c r="A736" s="37">
        <f>IFERROR(__xludf.DUMMYFUNCTION("""COMPUTED_VALUE"""),46076.0)</f>
        <v>46076</v>
      </c>
      <c r="B736" s="42" t="str">
        <f>IFERROR(__xludf.DUMMYFUNCTION("""COMPUTED_VALUE"""),"MCC015UC0008")</f>
        <v>MCC015UC0008</v>
      </c>
      <c r="C736" s="31" t="str">
        <f>IFERROR(__xludf.DUMMYFUNCTION("""COMPUTED_VALUE"""),"FILME STRETCH 500X25")</f>
        <v>FILME STRETCH 500X25</v>
      </c>
      <c r="D736" s="39">
        <f>IFERROR(__xludf.DUMMYFUNCTION("""COMPUTED_VALUE"""),10.0)</f>
        <v>10</v>
      </c>
      <c r="E736" s="34" t="str">
        <f>IFERROR(__xludf.DUMMYFUNCTION("""COMPUTED_VALUE"""),"Saída")</f>
        <v>Saída</v>
      </c>
      <c r="F736" s="34"/>
      <c r="G736" s="39">
        <f t="array" ref="G736">XLOOKUP(B736,'Página9'!A:A,'Página9'!F:F,"")</f>
        <v>-158</v>
      </c>
      <c r="H736" s="39">
        <f t="array" ref="H736">XLOOKUP(B736,'Página9'!A:A,'Página9'!C:C,"")</f>
        <v>40</v>
      </c>
      <c r="I736" s="35" t="str">
        <f t="array" ref="I736">XLOOKUP(B736,'Página9'!A:A,'Página9'!G:G,"")</f>
        <v>REPOR ESTOQUE</v>
      </c>
      <c r="J736" s="25" t="str">
        <f t="shared" si="1"/>
        <v/>
      </c>
      <c r="K736" s="25" t="str">
        <f>IFERROR(__xludf.DUMMYFUNCTION("""COMPUTED_VALUE"""),"Francisco Samuel Trindade Nascimento")</f>
        <v>Francisco Samuel Trindade Nascimento</v>
      </c>
    </row>
    <row r="737">
      <c r="A737" s="37">
        <f>IFERROR(__xludf.DUMMYFUNCTION("""COMPUTED_VALUE"""),46077.0)</f>
        <v>46077</v>
      </c>
      <c r="B737" s="42" t="str">
        <f>IFERROR(__xludf.DUMMYFUNCTION("""COMPUTED_VALUE"""),"MCC046UC0082")</f>
        <v>MCC046UC0082</v>
      </c>
      <c r="C737" s="31" t="str">
        <f>IFERROR(__xludf.DUMMYFUNCTION("""COMPUTED_VALUE"""),"PAPEL SULFITE A4 75G 500 FOLHAS")</f>
        <v>PAPEL SULFITE A4 75G 500 FOLHAS</v>
      </c>
      <c r="D737" s="39">
        <f>IFERROR(__xludf.DUMMYFUNCTION("""COMPUTED_VALUE"""),1.0)</f>
        <v>1</v>
      </c>
      <c r="E737" s="34" t="str">
        <f>IFERROR(__xludf.DUMMYFUNCTION("""COMPUTED_VALUE"""),"Saída")</f>
        <v>Saída</v>
      </c>
      <c r="F737" s="34"/>
      <c r="G737" s="39">
        <f t="array" ref="G737">XLOOKUP(B737,'Página9'!A:A,'Página9'!F:F,"")</f>
        <v>163</v>
      </c>
      <c r="H737" s="39">
        <f t="array" ref="H737">XLOOKUP(B737,'Página9'!A:A,'Página9'!C:C,"")</f>
        <v>10</v>
      </c>
      <c r="I737" s="35" t="str">
        <f t="array" ref="I737">XLOOKUP(B737,'Página9'!A:A,'Página9'!G:G,"")</f>
        <v>OK</v>
      </c>
      <c r="J737" s="25" t="str">
        <f t="shared" si="1"/>
        <v/>
      </c>
      <c r="K737" s="25" t="str">
        <f>IFERROR(__xludf.DUMMYFUNCTION("""COMPUTED_VALUE"""),"Suellen Aguiar Da Silva")</f>
        <v>Suellen Aguiar Da Silva</v>
      </c>
    </row>
    <row r="738">
      <c r="A738" s="37">
        <f>IFERROR(__xludf.DUMMYFUNCTION("""COMPUTED_VALUE"""),46077.0)</f>
        <v>46077</v>
      </c>
      <c r="B738" s="42" t="str">
        <f>IFERROR(__xludf.DUMMYFUNCTION("""COMPUTED_VALUE"""),"MCC046UC0687")</f>
        <v>MCC046UC0687</v>
      </c>
      <c r="C738" s="31" t="str">
        <f>IFERROR(__xludf.DUMMYFUNCTION("""COMPUTED_VALUE"""),"ETIQUETA COUCHE - 100X100X 1")</f>
        <v>ETIQUETA COUCHE - 100X100X 1</v>
      </c>
      <c r="D738" s="39">
        <f>IFERROR(__xludf.DUMMYFUNCTION("""COMPUTED_VALUE"""),1.0)</f>
        <v>1</v>
      </c>
      <c r="E738" s="34" t="str">
        <f>IFERROR(__xludf.DUMMYFUNCTION("""COMPUTED_VALUE"""),"Saída")</f>
        <v>Saída</v>
      </c>
      <c r="F738" s="34"/>
      <c r="G738" s="39">
        <f t="array" ref="G738">XLOOKUP(B738,'Página9'!A:A,'Página9'!F:F,"")</f>
        <v>335</v>
      </c>
      <c r="H738" s="39">
        <f t="array" ref="H738">XLOOKUP(B738,'Página9'!A:A,'Página9'!C:C,"")</f>
        <v>20</v>
      </c>
      <c r="I738" s="35" t="str">
        <f t="array" ref="I738">XLOOKUP(B738,'Página9'!A:A,'Página9'!G:G,"")</f>
        <v>OK</v>
      </c>
      <c r="J738" s="25" t="str">
        <f t="shared" si="1"/>
        <v/>
      </c>
      <c r="K738" s="25" t="str">
        <f>IFERROR(__xludf.DUMMYFUNCTION("""COMPUTED_VALUE"""),"Suellen Aguiar Da Silva")</f>
        <v>Suellen Aguiar Da Silva</v>
      </c>
    </row>
    <row r="739">
      <c r="A739" s="37">
        <f>IFERROR(__xludf.DUMMYFUNCTION("""COMPUTED_VALUE"""),46077.0)</f>
        <v>46077</v>
      </c>
      <c r="B739" s="42" t="str">
        <f>IFERROR(__xludf.DUMMYFUNCTION("""COMPUTED_VALUE"""),"MCC015UC0008")</f>
        <v>MCC015UC0008</v>
      </c>
      <c r="C739" s="31" t="str">
        <f>IFERROR(__xludf.DUMMYFUNCTION("""COMPUTED_VALUE"""),"FILME STRETCH 500X25")</f>
        <v>FILME STRETCH 500X25</v>
      </c>
      <c r="D739" s="39">
        <f>IFERROR(__xludf.DUMMYFUNCTION("""COMPUTED_VALUE"""),6.0)</f>
        <v>6</v>
      </c>
      <c r="E739" s="34" t="str">
        <f>IFERROR(__xludf.DUMMYFUNCTION("""COMPUTED_VALUE"""),"Saída")</f>
        <v>Saída</v>
      </c>
      <c r="F739" s="34"/>
      <c r="G739" s="39">
        <f t="array" ref="G739">XLOOKUP(B739,'Página9'!A:A,'Página9'!F:F,"")</f>
        <v>-158</v>
      </c>
      <c r="H739" s="39">
        <f t="array" ref="H739">XLOOKUP(B739,'Página9'!A:A,'Página9'!C:C,"")</f>
        <v>40</v>
      </c>
      <c r="I739" s="35" t="str">
        <f t="array" ref="I739">XLOOKUP(B739,'Página9'!A:A,'Página9'!G:G,"")</f>
        <v>REPOR ESTOQUE</v>
      </c>
      <c r="J739" s="25" t="str">
        <f t="shared" si="1"/>
        <v/>
      </c>
      <c r="K739" s="25" t="str">
        <f>IFERROR(__xludf.DUMMYFUNCTION("""COMPUTED_VALUE"""),"Yago Rocha Fernandes")</f>
        <v>Yago Rocha Fernandes</v>
      </c>
    </row>
    <row r="740">
      <c r="A740" s="37">
        <f>IFERROR(__xludf.DUMMYFUNCTION("""COMPUTED_VALUE"""),46077.0)</f>
        <v>46077</v>
      </c>
      <c r="B740" s="42" t="str">
        <f>IFERROR(__xludf.DUMMYFUNCTION("""COMPUTED_VALUE"""),"MCC015UC0008")</f>
        <v>MCC015UC0008</v>
      </c>
      <c r="C740" s="31" t="str">
        <f>IFERROR(__xludf.DUMMYFUNCTION("""COMPUTED_VALUE"""),"FILME STRETCH 500X25")</f>
        <v>FILME STRETCH 500X25</v>
      </c>
      <c r="D740" s="39">
        <f>IFERROR(__xludf.DUMMYFUNCTION("""COMPUTED_VALUE"""),10.0)</f>
        <v>10</v>
      </c>
      <c r="E740" s="34" t="str">
        <f>IFERROR(__xludf.DUMMYFUNCTION("""COMPUTED_VALUE"""),"Saída")</f>
        <v>Saída</v>
      </c>
      <c r="F740" s="34"/>
      <c r="G740" s="39">
        <f t="array" ref="G740">XLOOKUP(B740,'Página9'!A:A,'Página9'!F:F,"")</f>
        <v>-158</v>
      </c>
      <c r="H740" s="39">
        <f t="array" ref="H740">XLOOKUP(B740,'Página9'!A:A,'Página9'!C:C,"")</f>
        <v>40</v>
      </c>
      <c r="I740" s="35" t="str">
        <f t="array" ref="I740">XLOOKUP(B740,'Página9'!A:A,'Página9'!G:G,"")</f>
        <v>REPOR ESTOQUE</v>
      </c>
      <c r="J740" s="25" t="str">
        <f t="shared" si="1"/>
        <v/>
      </c>
      <c r="K740" s="25" t="str">
        <f>IFERROR(__xludf.DUMMYFUNCTION("""COMPUTED_VALUE"""),"Gabriel De Sousa Freitas")</f>
        <v>Gabriel De Sousa Freitas</v>
      </c>
    </row>
    <row r="741">
      <c r="A741" s="45">
        <f>IFERROR(__xludf.DUMMYFUNCTION("""COMPUTED_VALUE"""),46077.0)</f>
        <v>46077</v>
      </c>
      <c r="B741" s="46" t="str">
        <f>IFERROR(__xludf.DUMMYFUNCTION("""COMPUTED_VALUE"""),"MCC046UC0638")</f>
        <v>MCC046UC0638</v>
      </c>
      <c r="C741" s="47" t="str">
        <f>IFERROR(__xludf.DUMMYFUNCTION("""COMPUTED_VALUE"""),"PILHA ALCALINA ELGIN PALITO AAA")</f>
        <v>PILHA ALCALINA ELGIN PALITO AAA</v>
      </c>
      <c r="D741" s="48">
        <f>IFERROR(__xludf.DUMMYFUNCTION("""COMPUTED_VALUE"""),1.0)</f>
        <v>1</v>
      </c>
      <c r="E741" s="49" t="str">
        <f>IFERROR(__xludf.DUMMYFUNCTION("""COMPUTED_VALUE"""),"Saída")</f>
        <v>Saída</v>
      </c>
      <c r="F741" s="49"/>
      <c r="G741" s="39">
        <f t="array" ref="G741">XLOOKUP(B741,'Página9'!A:A,'Página9'!F:F,"")</f>
        <v>32</v>
      </c>
      <c r="H741" s="39">
        <f t="array" ref="H741">XLOOKUP(B741,'Página9'!A:A,'Página9'!C:C,"")</f>
        <v>4</v>
      </c>
      <c r="I741" s="35" t="str">
        <f t="array" ref="I741">XLOOKUP(B741,'Página9'!A:A,'Página9'!G:G,"")</f>
        <v>OK</v>
      </c>
      <c r="J741" s="25" t="str">
        <f t="shared" si="1"/>
        <v/>
      </c>
      <c r="K741" s="25" t="str">
        <f>IFERROR(__xludf.DUMMYFUNCTION("""COMPUTED_VALUE"""),"Gabriel De Sousa Freitas")</f>
        <v>Gabriel De Sousa Freitas</v>
      </c>
    </row>
    <row r="742">
      <c r="A742" s="45">
        <f>IFERROR(__xludf.DUMMYFUNCTION("""COMPUTED_VALUE"""),46077.0)</f>
        <v>46077</v>
      </c>
      <c r="B742" s="46" t="str">
        <f>IFERROR(__xludf.DUMMYFUNCTION("""COMPUTED_VALUE"""),"MCC015UC0008")</f>
        <v>MCC015UC0008</v>
      </c>
      <c r="C742" s="47" t="str">
        <f>IFERROR(__xludf.DUMMYFUNCTION("""COMPUTED_VALUE"""),"FILME STRETCH 500X25")</f>
        <v>FILME STRETCH 500X25</v>
      </c>
      <c r="D742" s="48">
        <f>IFERROR(__xludf.DUMMYFUNCTION("""COMPUTED_VALUE"""),50.0)</f>
        <v>50</v>
      </c>
      <c r="E742" s="49" t="str">
        <f>IFERROR(__xludf.DUMMYFUNCTION("""COMPUTED_VALUE"""),"Saída")</f>
        <v>Saída</v>
      </c>
      <c r="F742" s="49"/>
      <c r="G742" s="39">
        <f t="array" ref="G742">XLOOKUP(B742,'Página9'!A:A,'Página9'!F:F,"")</f>
        <v>-158</v>
      </c>
      <c r="H742" s="39">
        <f t="array" ref="H742">XLOOKUP(B742,'Página9'!A:A,'Página9'!C:C,"")</f>
        <v>40</v>
      </c>
      <c r="I742" s="35" t="str">
        <f t="array" ref="I742">XLOOKUP(B742,'Página9'!A:A,'Página9'!G:G,"")</f>
        <v>REPOR ESTOQUE</v>
      </c>
      <c r="J742" s="25" t="str">
        <f t="shared" si="1"/>
        <v/>
      </c>
      <c r="K742" s="25" t="str">
        <f>IFERROR(__xludf.DUMMYFUNCTION("""COMPUTED_VALUE"""),"Marcio Sthefani Bessa De Oliveira")</f>
        <v>Marcio Sthefani Bessa De Oliveira</v>
      </c>
    </row>
    <row r="743">
      <c r="A743" s="45">
        <f>IFERROR(__xludf.DUMMYFUNCTION("""COMPUTED_VALUE"""),46077.0)</f>
        <v>46077</v>
      </c>
      <c r="B743" s="46" t="str">
        <f>IFERROR(__xludf.DUMMYFUNCTION("""COMPUTED_VALUE"""),"MCC015UC0045")</f>
        <v>MCC015UC0045</v>
      </c>
      <c r="C743" s="47" t="str">
        <f>IFERROR(__xludf.DUMMYFUNCTION("""COMPUTED_VALUE"""),"FITA ADESIVA 69MM X 100M")</f>
        <v>FITA ADESIVA 69MM X 100M</v>
      </c>
      <c r="D743" s="48">
        <f>IFERROR(__xludf.DUMMYFUNCTION("""COMPUTED_VALUE"""),12.0)</f>
        <v>12</v>
      </c>
      <c r="E743" s="49" t="str">
        <f>IFERROR(__xludf.DUMMYFUNCTION("""COMPUTED_VALUE"""),"Saída")</f>
        <v>Saída</v>
      </c>
      <c r="F743" s="49"/>
      <c r="G743" s="39">
        <f t="array" ref="G743">XLOOKUP(B743,'Página9'!A:A,'Página9'!F:F,"")</f>
        <v>287</v>
      </c>
      <c r="H743" s="39">
        <f t="array" ref="H743">XLOOKUP(B743,'Página9'!A:A,'Página9'!C:C,"")</f>
        <v>20</v>
      </c>
      <c r="I743" s="35" t="str">
        <f t="array" ref="I743">XLOOKUP(B743,'Página9'!A:A,'Página9'!G:G,"")</f>
        <v>OK</v>
      </c>
      <c r="J743" s="25" t="str">
        <f t="shared" si="1"/>
        <v/>
      </c>
      <c r="K743" s="25" t="str">
        <f>IFERROR(__xludf.DUMMYFUNCTION("""COMPUTED_VALUE"""),"Yago Rocha Fernandes")</f>
        <v>Yago Rocha Fernandes</v>
      </c>
    </row>
    <row r="744">
      <c r="A744" s="45">
        <f>IFERROR(__xludf.DUMMYFUNCTION("""COMPUTED_VALUE"""),46077.0)</f>
        <v>46077</v>
      </c>
      <c r="B744" s="46" t="str">
        <f>IFERROR(__xludf.DUMMYFUNCTION("""COMPUTED_VALUE"""),"MCC015UC0008")</f>
        <v>MCC015UC0008</v>
      </c>
      <c r="C744" s="47" t="str">
        <f>IFERROR(__xludf.DUMMYFUNCTION("""COMPUTED_VALUE"""),"FILME STRETCH 500X25")</f>
        <v>FILME STRETCH 500X25</v>
      </c>
      <c r="D744" s="48">
        <f>IFERROR(__xludf.DUMMYFUNCTION("""COMPUTED_VALUE"""),7.0)</f>
        <v>7</v>
      </c>
      <c r="E744" s="49" t="str">
        <f>IFERROR(__xludf.DUMMYFUNCTION("""COMPUTED_VALUE"""),"Saída")</f>
        <v>Saída</v>
      </c>
      <c r="F744" s="49"/>
      <c r="G744" s="39">
        <f t="array" ref="G744">XLOOKUP(B744,'Página9'!A:A,'Página9'!F:F,"")</f>
        <v>-158</v>
      </c>
      <c r="H744" s="39">
        <f t="array" ref="H744">XLOOKUP(B744,'Página9'!A:A,'Página9'!C:C,"")</f>
        <v>40</v>
      </c>
      <c r="I744" s="35" t="str">
        <f t="array" ref="I744">XLOOKUP(B744,'Página9'!A:A,'Página9'!G:G,"")</f>
        <v>REPOR ESTOQUE</v>
      </c>
      <c r="J744" s="25" t="str">
        <f t="shared" si="1"/>
        <v/>
      </c>
      <c r="K744" s="25" t="str">
        <f>IFERROR(__xludf.DUMMYFUNCTION("""COMPUTED_VALUE"""),"Matheus De Almeida Rodrigues")</f>
        <v>Matheus De Almeida Rodrigues</v>
      </c>
    </row>
    <row r="745">
      <c r="A745" s="45">
        <f>IFERROR(__xludf.DUMMYFUNCTION("""COMPUTED_VALUE"""),46077.0)</f>
        <v>46077</v>
      </c>
      <c r="B745" s="46" t="str">
        <f>IFERROR(__xludf.DUMMYFUNCTION("""COMPUTED_VALUE"""),"MCC046UC0526")</f>
        <v>MCC046UC0526</v>
      </c>
      <c r="C745" s="47" t="str">
        <f>IFERROR(__xludf.DUMMYFUNCTION("""COMPUTED_VALUE"""),"CANETA PINCEL ATOMICO PRETA PILOT 1100")</f>
        <v>CANETA PINCEL ATOMICO PRETA PILOT 1100</v>
      </c>
      <c r="D745" s="48">
        <f>IFERROR(__xludf.DUMMYFUNCTION("""COMPUTED_VALUE"""),1.0)</f>
        <v>1</v>
      </c>
      <c r="E745" s="49" t="str">
        <f>IFERROR(__xludf.DUMMYFUNCTION("""COMPUTED_VALUE"""),"Saída")</f>
        <v>Saída</v>
      </c>
      <c r="F745" s="49"/>
      <c r="G745" s="39">
        <f t="array" ref="G745">XLOOKUP(B745,'Página9'!A:A,'Página9'!F:F,"")</f>
        <v>1</v>
      </c>
      <c r="H745" s="39">
        <f t="array" ref="H745">XLOOKUP(B745,'Página9'!A:A,'Página9'!C:C,"")</f>
        <v>3</v>
      </c>
      <c r="I745" s="35" t="str">
        <f t="array" ref="I745">XLOOKUP(B745,'Página9'!A:A,'Página9'!G:G,"")</f>
        <v>REPOR ESTOQUE</v>
      </c>
      <c r="J745" s="25" t="str">
        <f t="shared" si="1"/>
        <v/>
      </c>
      <c r="K745" s="25" t="str">
        <f>IFERROR(__xludf.DUMMYFUNCTION("""COMPUTED_VALUE"""),"Jose Antoniel Silva Mesquita")</f>
        <v>Jose Antoniel Silva Mesquita</v>
      </c>
    </row>
    <row r="746">
      <c r="A746" s="45">
        <f>IFERROR(__xludf.DUMMYFUNCTION("""COMPUTED_VALUE"""),46077.0)</f>
        <v>46077</v>
      </c>
      <c r="B746" s="46" t="str">
        <f>IFERROR(__xludf.DUMMYFUNCTION("""COMPUTED_VALUE"""),"MCC046UC0525")</f>
        <v>MCC046UC0525</v>
      </c>
      <c r="C746" s="47" t="str">
        <f>IFERROR(__xludf.DUMMYFUNCTION("""COMPUTED_VALUE"""),"CANETA PINCEL ATOMICO AZUL PILOT 1100")</f>
        <v>CANETA PINCEL ATOMICO AZUL PILOT 1100</v>
      </c>
      <c r="D746" s="48">
        <f>IFERROR(__xludf.DUMMYFUNCTION("""COMPUTED_VALUE"""),1.0)</f>
        <v>1</v>
      </c>
      <c r="E746" s="49" t="str">
        <f>IFERROR(__xludf.DUMMYFUNCTION("""COMPUTED_VALUE"""),"Saída")</f>
        <v>Saída</v>
      </c>
      <c r="F746" s="49"/>
      <c r="G746" s="39">
        <f t="array" ref="G746">XLOOKUP(B746,'Página9'!A:A,'Página9'!F:F,"")</f>
        <v>5</v>
      </c>
      <c r="H746" s="39">
        <f t="array" ref="H746">XLOOKUP(B746,'Página9'!A:A,'Página9'!C:C,"")</f>
        <v>3</v>
      </c>
      <c r="I746" s="35" t="str">
        <f t="array" ref="I746">XLOOKUP(B746,'Página9'!A:A,'Página9'!G:G,"")</f>
        <v>OK</v>
      </c>
      <c r="J746" s="25" t="str">
        <f t="shared" si="1"/>
        <v/>
      </c>
      <c r="K746" s="25" t="str">
        <f>IFERROR(__xludf.DUMMYFUNCTION("""COMPUTED_VALUE"""),"Jose Antoniel Silva Mesquita")</f>
        <v>Jose Antoniel Silva Mesquita</v>
      </c>
    </row>
    <row r="747">
      <c r="A747" s="45">
        <f>IFERROR(__xludf.DUMMYFUNCTION("""COMPUTED_VALUE"""),46077.0)</f>
        <v>46077</v>
      </c>
      <c r="B747" s="46" t="str">
        <f>IFERROR(__xludf.DUMMYFUNCTION("""COMPUTED_VALUE"""),"MCC046UC0215")</f>
        <v>MCC046UC0215</v>
      </c>
      <c r="C747" s="47" t="str">
        <f>IFERROR(__xludf.DUMMYFUNCTION("""COMPUTED_VALUE"""),"CANETA ESFEROGRAFICA ECONOMIC AZUL BIC")</f>
        <v>CANETA ESFEROGRAFICA ECONOMIC AZUL BIC</v>
      </c>
      <c r="D747" s="48">
        <f>IFERROR(__xludf.DUMMYFUNCTION("""COMPUTED_VALUE"""),2.0)</f>
        <v>2</v>
      </c>
      <c r="E747" s="49" t="str">
        <f>IFERROR(__xludf.DUMMYFUNCTION("""COMPUTED_VALUE"""),"Saída")</f>
        <v>Saída</v>
      </c>
      <c r="F747" s="49"/>
      <c r="G747" s="39">
        <f t="array" ref="G747">XLOOKUP(B747,'Página9'!A:A,'Página9'!F:F,"")</f>
        <v>-20</v>
      </c>
      <c r="H747" s="39">
        <f t="array" ref="H747">XLOOKUP(B747,'Página9'!A:A,'Página9'!C:C,"")</f>
        <v>15</v>
      </c>
      <c r="I747" s="35" t="str">
        <f t="array" ref="I747">XLOOKUP(B747,'Página9'!A:A,'Página9'!G:G,"")</f>
        <v>REPOR ESTOQUE</v>
      </c>
      <c r="J747" s="25" t="str">
        <f t="shared" si="1"/>
        <v/>
      </c>
      <c r="K747" s="25" t="str">
        <f>IFERROR(__xludf.DUMMYFUNCTION("""COMPUTED_VALUE"""),"Jose Antoniel Silva Mesquita")</f>
        <v>Jose Antoniel Silva Mesquita</v>
      </c>
    </row>
    <row r="748">
      <c r="A748" s="45">
        <f>IFERROR(__xludf.DUMMYFUNCTION("""COMPUTED_VALUE"""),46078.0)</f>
        <v>46078</v>
      </c>
      <c r="B748" s="46" t="str">
        <f>IFERROR(__xludf.DUMMYFUNCTION("""COMPUTED_VALUE"""),"MCC015UC0045")</f>
        <v>MCC015UC0045</v>
      </c>
      <c r="C748" s="47" t="str">
        <f>IFERROR(__xludf.DUMMYFUNCTION("""COMPUTED_VALUE"""),"FITA ADESIVA 69MM X 100M")</f>
        <v>FITA ADESIVA 69MM X 100M</v>
      </c>
      <c r="D748" s="48">
        <f>IFERROR(__xludf.DUMMYFUNCTION("""COMPUTED_VALUE"""),24.0)</f>
        <v>24</v>
      </c>
      <c r="E748" s="49" t="str">
        <f>IFERROR(__xludf.DUMMYFUNCTION("""COMPUTED_VALUE"""),"Saída")</f>
        <v>Saída</v>
      </c>
      <c r="F748" s="49"/>
      <c r="G748" s="39">
        <f t="array" ref="G748">XLOOKUP(B748,'Página9'!A:A,'Página9'!F:F,"")</f>
        <v>287</v>
      </c>
      <c r="H748" s="39">
        <f t="array" ref="H748">XLOOKUP(B748,'Página9'!A:A,'Página9'!C:C,"")</f>
        <v>20</v>
      </c>
      <c r="I748" s="35" t="str">
        <f t="array" ref="I748">XLOOKUP(B748,'Página9'!A:A,'Página9'!G:G,"")</f>
        <v>OK</v>
      </c>
      <c r="J748" s="25" t="str">
        <f t="shared" si="1"/>
        <v/>
      </c>
      <c r="K748" s="25" t="str">
        <f>IFERROR(__xludf.DUMMYFUNCTION("""COMPUTED_VALUE"""),"Silvana Da Silva Pereira")</f>
        <v>Silvana Da Silva Pereira</v>
      </c>
    </row>
    <row r="749">
      <c r="A749" s="45">
        <f>IFERROR(__xludf.DUMMYFUNCTION("""COMPUTED_VALUE"""),46078.0)</f>
        <v>46078</v>
      </c>
      <c r="B749" s="46" t="str">
        <f>IFERROR(__xludf.DUMMYFUNCTION("""COMPUTED_VALUE"""),"MCC046UC0695")</f>
        <v>MCC046UC0695</v>
      </c>
      <c r="C749" s="47" t="str">
        <f>IFERROR(__xludf.DUMMYFUNCTION("""COMPUTED_VALUE"""),"ETIQUETA COUCHE 98X50X1")</f>
        <v>ETIQUETA COUCHE 98X50X1</v>
      </c>
      <c r="D749" s="48">
        <f>IFERROR(__xludf.DUMMYFUNCTION("""COMPUTED_VALUE"""),4.0)</f>
        <v>4</v>
      </c>
      <c r="E749" s="49" t="str">
        <f>IFERROR(__xludf.DUMMYFUNCTION("""COMPUTED_VALUE"""),"Entrada")</f>
        <v>Entrada</v>
      </c>
      <c r="F749" s="49"/>
      <c r="G749" s="39">
        <f t="array" ref="G749">XLOOKUP(B749,'Página9'!A:A,'Página9'!F:F,"")</f>
        <v>256</v>
      </c>
      <c r="H749" s="39">
        <f t="array" ref="H749">XLOOKUP(B749,'Página9'!A:A,'Página9'!C:C,"")</f>
        <v>20</v>
      </c>
      <c r="I749" s="35" t="str">
        <f t="array" ref="I749">XLOOKUP(B749,'Página9'!A:A,'Página9'!G:G,"")</f>
        <v>OK</v>
      </c>
      <c r="J749" s="25" t="str">
        <f t="shared" si="1"/>
        <v/>
      </c>
      <c r="K749" s="25" t="str">
        <f>IFERROR(__xludf.DUMMYFUNCTION("""COMPUTED_VALUE"""),"Jose Antoniel Silva Mesquita")</f>
        <v>Jose Antoniel Silva Mesquita</v>
      </c>
    </row>
    <row r="750">
      <c r="A750" s="45">
        <f>IFERROR(__xludf.DUMMYFUNCTION("""COMPUTED_VALUE"""),46078.0)</f>
        <v>46078</v>
      </c>
      <c r="B750" s="46" t="str">
        <f>IFERROR(__xludf.DUMMYFUNCTION("""COMPUTED_VALUE"""),"MCC015UC0038")</f>
        <v>MCC015UC0038</v>
      </c>
      <c r="C750" s="47" t="str">
        <f>IFERROR(__xludf.DUMMYFUNCTION("""COMPUTED_VALUE"""),"BOBINA SHRINK 500MM")</f>
        <v>BOBINA SHRINK 500MM</v>
      </c>
      <c r="D750" s="48">
        <f>IFERROR(__xludf.DUMMYFUNCTION("""COMPUTED_VALUE"""),1.0)</f>
        <v>1</v>
      </c>
      <c r="E750" s="49" t="str">
        <f>IFERROR(__xludf.DUMMYFUNCTION("""COMPUTED_VALUE"""),"Entrada")</f>
        <v>Entrada</v>
      </c>
      <c r="F750" s="49"/>
      <c r="G750" s="39">
        <f t="array" ref="G750">XLOOKUP(B750,'Página9'!A:A,'Página9'!F:F,"")</f>
        <v>13</v>
      </c>
      <c r="H750" s="39">
        <f t="array" ref="H750">XLOOKUP(B750,'Página9'!A:A,'Página9'!C:C,"")</f>
        <v>3</v>
      </c>
      <c r="I750" s="35" t="str">
        <f t="array" ref="I750">XLOOKUP(B750,'Página9'!A:A,'Página9'!G:G,"")</f>
        <v>OK</v>
      </c>
      <c r="J750" s="25" t="str">
        <f t="shared" si="1"/>
        <v/>
      </c>
      <c r="K750" s="25" t="str">
        <f>IFERROR(__xludf.DUMMYFUNCTION("""COMPUTED_VALUE"""),"Jose Antoniel Silva Mesquita")</f>
        <v>Jose Antoniel Silva Mesquita</v>
      </c>
    </row>
    <row r="751">
      <c r="A751" s="45">
        <f>IFERROR(__xludf.DUMMYFUNCTION("""COMPUTED_VALUE"""),46079.0)</f>
        <v>46079</v>
      </c>
      <c r="B751" s="46" t="str">
        <f>IFERROR(__xludf.DUMMYFUNCTION("""COMPUTED_VALUE"""),"MCC046UC0520")</f>
        <v>MCC046UC0520</v>
      </c>
      <c r="C751" s="47" t="str">
        <f>IFERROR(__xludf.DUMMYFUNCTION("""COMPUTED_VALUE"""),"MARCA TEXTO LARANJA LUMICOLOR 200-SL PILOT")</f>
        <v>MARCA TEXTO LARANJA LUMICOLOR 200-SL PILOT</v>
      </c>
      <c r="D751" s="48">
        <f>IFERROR(__xludf.DUMMYFUNCTION("""COMPUTED_VALUE"""),1.0)</f>
        <v>1</v>
      </c>
      <c r="E751" s="49" t="str">
        <f>IFERROR(__xludf.DUMMYFUNCTION("""COMPUTED_VALUE"""),"Entrada")</f>
        <v>Entrada</v>
      </c>
      <c r="F751" s="49"/>
      <c r="G751" s="39">
        <f t="array" ref="G751">XLOOKUP(B751,'Página9'!A:A,'Página9'!F:F,"")</f>
        <v>20</v>
      </c>
      <c r="H751" s="39">
        <f t="array" ref="H751">XLOOKUP(B751,'Página9'!A:A,'Página9'!C:C,"")</f>
        <v>3</v>
      </c>
      <c r="I751" s="35" t="str">
        <f t="array" ref="I751">XLOOKUP(B751,'Página9'!A:A,'Página9'!G:G,"")</f>
        <v>OK</v>
      </c>
      <c r="J751" s="25" t="str">
        <f t="shared" si="1"/>
        <v/>
      </c>
      <c r="K751" s="25" t="str">
        <f>IFERROR(__xludf.DUMMYFUNCTION("""COMPUTED_VALUE"""),"Jenifer da Silva Sousa")</f>
        <v>Jenifer da Silva Sousa</v>
      </c>
    </row>
    <row r="752">
      <c r="A752" s="45">
        <f>IFERROR(__xludf.DUMMYFUNCTION("""COMPUTED_VALUE"""),46079.0)</f>
        <v>46079</v>
      </c>
      <c r="B752" s="46" t="str">
        <f>IFERROR(__xludf.DUMMYFUNCTION("""COMPUTED_VALUE"""),"MCC046UC0540")</f>
        <v>MCC046UC0540</v>
      </c>
      <c r="C752" s="47" t="str">
        <f>IFERROR(__xludf.DUMMYFUNCTION("""COMPUTED_VALUE"""),"POST-IT 653 C/4 BL 38X50MM VERDE/ROSA 100FLS 3M")</f>
        <v>POST-IT 653 C/4 BL 38X50MM VERDE/ROSA 100FLS 3M</v>
      </c>
      <c r="D752" s="48">
        <f>IFERROR(__xludf.DUMMYFUNCTION("""COMPUTED_VALUE"""),1.0)</f>
        <v>1</v>
      </c>
      <c r="E752" s="49" t="str">
        <f>IFERROR(__xludf.DUMMYFUNCTION("""COMPUTED_VALUE"""),"Entrada")</f>
        <v>Entrada</v>
      </c>
      <c r="F752" s="49"/>
      <c r="G752" s="39">
        <f t="array" ref="G752">XLOOKUP(B752,'Página9'!A:A,'Página9'!F:F,"")</f>
        <v>0</v>
      </c>
      <c r="H752" s="39">
        <f t="array" ref="H752">XLOOKUP(B752,'Página9'!A:A,'Página9'!C:C,"")</f>
        <v>3</v>
      </c>
      <c r="I752" s="35" t="str">
        <f t="array" ref="I752">XLOOKUP(B752,'Página9'!A:A,'Página9'!G:G,"")</f>
        <v>REPOR ESTOQUE</v>
      </c>
      <c r="J752" s="25" t="str">
        <f t="shared" si="1"/>
        <v/>
      </c>
      <c r="K752" s="25" t="str">
        <f>IFERROR(__xludf.DUMMYFUNCTION("""COMPUTED_VALUE"""),"Jenifer da Silva Sousa")</f>
        <v>Jenifer da Silva Sousa</v>
      </c>
    </row>
    <row r="753">
      <c r="A753" s="45">
        <f>IFERROR(__xludf.DUMMYFUNCTION("""COMPUTED_VALUE"""),46080.0)</f>
        <v>46080</v>
      </c>
      <c r="B753" s="46" t="str">
        <f>IFERROR(__xludf.DUMMYFUNCTION("""COMPUTED_VALUE"""),"MCC015UC0008")</f>
        <v>MCC015UC0008</v>
      </c>
      <c r="C753" s="47" t="str">
        <f>IFERROR(__xludf.DUMMYFUNCTION("""COMPUTED_VALUE"""),"FILME STRETCH 500X25")</f>
        <v>FILME STRETCH 500X25</v>
      </c>
      <c r="D753" s="48">
        <f>IFERROR(__xludf.DUMMYFUNCTION("""COMPUTED_VALUE"""),8.0)</f>
        <v>8</v>
      </c>
      <c r="E753" s="49" t="str">
        <f>IFERROR(__xludf.DUMMYFUNCTION("""COMPUTED_VALUE"""),"Entrada")</f>
        <v>Entrada</v>
      </c>
      <c r="F753" s="49"/>
      <c r="G753" s="39">
        <f t="array" ref="G753">XLOOKUP(B753,'Página9'!A:A,'Página9'!F:F,"")</f>
        <v>-158</v>
      </c>
      <c r="H753" s="39">
        <f t="array" ref="H753">XLOOKUP(B753,'Página9'!A:A,'Página9'!C:C,"")</f>
        <v>40</v>
      </c>
      <c r="I753" s="35" t="str">
        <f t="array" ref="I753">XLOOKUP(B753,'Página9'!A:A,'Página9'!G:G,"")</f>
        <v>REPOR ESTOQUE</v>
      </c>
      <c r="J753" s="25" t="str">
        <f t="shared" si="1"/>
        <v/>
      </c>
      <c r="K753" s="25" t="str">
        <f>IFERROR(__xludf.DUMMYFUNCTION("""COMPUTED_VALUE"""),"Rejane Fontes De Sousa")</f>
        <v>Rejane Fontes De Sousa</v>
      </c>
    </row>
    <row r="754">
      <c r="A754" s="45">
        <f>IFERROR(__xludf.DUMMYFUNCTION("""COMPUTED_VALUE"""),46080.0)</f>
        <v>46080</v>
      </c>
      <c r="B754" s="46" t="str">
        <f>IFERROR(__xludf.DUMMYFUNCTION("""COMPUTED_VALUE"""),"MCC015UC0045")</f>
        <v>MCC015UC0045</v>
      </c>
      <c r="C754" s="47" t="str">
        <f>IFERROR(__xludf.DUMMYFUNCTION("""COMPUTED_VALUE"""),"FITA ADESIVA 69MM X 100M")</f>
        <v>FITA ADESIVA 69MM X 100M</v>
      </c>
      <c r="D754" s="48">
        <f>IFERROR(__xludf.DUMMYFUNCTION("""COMPUTED_VALUE"""),24.0)</f>
        <v>24</v>
      </c>
      <c r="E754" s="49" t="str">
        <f>IFERROR(__xludf.DUMMYFUNCTION("""COMPUTED_VALUE"""),"Entrada")</f>
        <v>Entrada</v>
      </c>
      <c r="F754" s="49"/>
      <c r="G754" s="39">
        <f t="array" ref="G754">XLOOKUP(B754,'Página9'!A:A,'Página9'!F:F,"")</f>
        <v>287</v>
      </c>
      <c r="H754" s="39">
        <f t="array" ref="H754">XLOOKUP(B754,'Página9'!A:A,'Página9'!C:C,"")</f>
        <v>20</v>
      </c>
      <c r="I754" s="35" t="str">
        <f t="array" ref="I754">XLOOKUP(B754,'Página9'!A:A,'Página9'!G:G,"")</f>
        <v>OK</v>
      </c>
      <c r="J754" s="25" t="str">
        <f t="shared" si="1"/>
        <v/>
      </c>
      <c r="K754" s="25" t="str">
        <f>IFERROR(__xludf.DUMMYFUNCTION("""COMPUTED_VALUE"""),"Allison Breno Da Costa Borges Soares")</f>
        <v>Allison Breno Da Costa Borges Soares</v>
      </c>
    </row>
    <row r="755">
      <c r="A755" s="45">
        <f>IFERROR(__xludf.DUMMYFUNCTION("""COMPUTED_VALUE"""),46080.0)</f>
        <v>46080</v>
      </c>
      <c r="B755" s="46" t="str">
        <f>IFERROR(__xludf.DUMMYFUNCTION("""COMPUTED_VALUE"""),"MCC015UC0038")</f>
        <v>MCC015UC0038</v>
      </c>
      <c r="C755" s="47" t="str">
        <f>IFERROR(__xludf.DUMMYFUNCTION("""COMPUTED_VALUE"""),"BOBINA SHRINK 500MM")</f>
        <v>BOBINA SHRINK 500MM</v>
      </c>
      <c r="D755" s="48">
        <f>IFERROR(__xludf.DUMMYFUNCTION("""COMPUTED_VALUE"""),1.0)</f>
        <v>1</v>
      </c>
      <c r="E755" s="49" t="str">
        <f>IFERROR(__xludf.DUMMYFUNCTION("""COMPUTED_VALUE"""),"Entrada")</f>
        <v>Entrada</v>
      </c>
      <c r="F755" s="49"/>
      <c r="G755" s="39">
        <f t="array" ref="G755">XLOOKUP(B755,'Página9'!A:A,'Página9'!F:F,"")</f>
        <v>13</v>
      </c>
      <c r="H755" s="39">
        <f t="array" ref="H755">XLOOKUP(B755,'Página9'!A:A,'Página9'!C:C,"")</f>
        <v>3</v>
      </c>
      <c r="I755" s="35" t="str">
        <f t="array" ref="I755">XLOOKUP(B755,'Página9'!A:A,'Página9'!G:G,"")</f>
        <v>OK</v>
      </c>
      <c r="J755" s="25" t="str">
        <f t="shared" si="1"/>
        <v/>
      </c>
      <c r="K755" s="25" t="str">
        <f>IFERROR(__xludf.DUMMYFUNCTION("""COMPUTED_VALUE"""),"Jose Antoniel Silva Mesquita")</f>
        <v>Jose Antoniel Silva Mesquita</v>
      </c>
    </row>
    <row r="756">
      <c r="A756" s="45">
        <f>IFERROR(__xludf.DUMMYFUNCTION("""COMPUTED_VALUE"""),46080.0)</f>
        <v>46080</v>
      </c>
      <c r="B756" s="46" t="str">
        <f>IFERROR(__xludf.DUMMYFUNCTION("""COMPUTED_VALUE"""),"MCC046UC0695")</f>
        <v>MCC046UC0695</v>
      </c>
      <c r="C756" s="47" t="str">
        <f>IFERROR(__xludf.DUMMYFUNCTION("""COMPUTED_VALUE"""),"ETIQUETA COUCHE 98X50X1")</f>
        <v>ETIQUETA COUCHE 98X50X1</v>
      </c>
      <c r="D756" s="48">
        <f>IFERROR(__xludf.DUMMYFUNCTION("""COMPUTED_VALUE"""),10.0)</f>
        <v>10</v>
      </c>
      <c r="E756" s="49" t="str">
        <f>IFERROR(__xludf.DUMMYFUNCTION("""COMPUTED_VALUE"""),"Entrada")</f>
        <v>Entrada</v>
      </c>
      <c r="F756" s="49"/>
      <c r="G756" s="39">
        <f t="array" ref="G756">XLOOKUP(B756,'Página9'!A:A,'Página9'!F:F,"")</f>
        <v>256</v>
      </c>
      <c r="H756" s="39">
        <f t="array" ref="H756">XLOOKUP(B756,'Página9'!A:A,'Página9'!C:C,"")</f>
        <v>20</v>
      </c>
      <c r="I756" s="35" t="str">
        <f t="array" ref="I756">XLOOKUP(B756,'Página9'!A:A,'Página9'!G:G,"")</f>
        <v>OK</v>
      </c>
      <c r="J756" s="25" t="str">
        <f t="shared" si="1"/>
        <v/>
      </c>
      <c r="K756" s="25" t="str">
        <f>IFERROR(__xludf.DUMMYFUNCTION("""COMPUTED_VALUE"""),"Jose Antoniel Silva Mesquita")</f>
        <v>Jose Antoniel Silva Mesquita</v>
      </c>
    </row>
    <row r="757">
      <c r="A757" s="45">
        <f>IFERROR(__xludf.DUMMYFUNCTION("""COMPUTED_VALUE"""),46083.0)</f>
        <v>46083</v>
      </c>
      <c r="B757" s="46" t="str">
        <f>IFERROR(__xludf.DUMMYFUNCTION("""COMPUTED_VALUE"""),"MCC015UC0045")</f>
        <v>MCC015UC0045</v>
      </c>
      <c r="C757" s="47" t="str">
        <f>IFERROR(__xludf.DUMMYFUNCTION("""COMPUTED_VALUE"""),"FITA ADESIVA 69MM X 100M")</f>
        <v>FITA ADESIVA 69MM X 100M</v>
      </c>
      <c r="D757" s="48">
        <f>IFERROR(__xludf.DUMMYFUNCTION("""COMPUTED_VALUE"""),8.0)</f>
        <v>8</v>
      </c>
      <c r="E757" s="49" t="str">
        <f>IFERROR(__xludf.DUMMYFUNCTION("""COMPUTED_VALUE"""),"Entrada")</f>
        <v>Entrada</v>
      </c>
      <c r="F757" s="49"/>
      <c r="G757" s="39">
        <f t="array" ref="G757">XLOOKUP(B757,'Página9'!A:A,'Página9'!F:F,"")</f>
        <v>287</v>
      </c>
      <c r="H757" s="39">
        <f t="array" ref="H757">XLOOKUP(B757,'Página9'!A:A,'Página9'!C:C,"")</f>
        <v>20</v>
      </c>
      <c r="I757" s="35" t="str">
        <f t="array" ref="I757">XLOOKUP(B757,'Página9'!A:A,'Página9'!G:G,"")</f>
        <v>OK</v>
      </c>
      <c r="J757" s="25" t="str">
        <f t="shared" si="1"/>
        <v/>
      </c>
      <c r="K757" s="25" t="str">
        <f>IFERROR(__xludf.DUMMYFUNCTION("""COMPUTED_VALUE"""),"Jackson Alves Sales")</f>
        <v>Jackson Alves Sales</v>
      </c>
    </row>
    <row r="758">
      <c r="A758" s="45">
        <f>IFERROR(__xludf.DUMMYFUNCTION("""COMPUTED_VALUE"""),46083.0)</f>
        <v>46083</v>
      </c>
      <c r="B758" s="46" t="str">
        <f>IFERROR(__xludf.DUMMYFUNCTION("""COMPUTED_VALUE"""),"MCC049UC0609")</f>
        <v>MCC049UC0609</v>
      </c>
      <c r="C758" s="47" t="str">
        <f>IFERROR(__xludf.DUMMYFUNCTION("""COMPUTED_VALUE"""),"PINCEL ATOMICO VERMELHO PERMANENTE")</f>
        <v>PINCEL ATOMICO VERMELHO PERMANENTE</v>
      </c>
      <c r="D758" s="48">
        <f>IFERROR(__xludf.DUMMYFUNCTION("""COMPUTED_VALUE"""),1.0)</f>
        <v>1</v>
      </c>
      <c r="E758" s="49" t="str">
        <f>IFERROR(__xludf.DUMMYFUNCTION("""COMPUTED_VALUE"""),"Entrada")</f>
        <v>Entrada</v>
      </c>
      <c r="F758" s="49"/>
      <c r="G758" s="39">
        <f t="array" ref="G758">XLOOKUP(B758,'Página9'!A:A,'Página9'!F:F,"")</f>
        <v>31</v>
      </c>
      <c r="H758" s="39">
        <f t="array" ref="H758">XLOOKUP(B758,'Página9'!A:A,'Página9'!C:C,"")</f>
        <v>3</v>
      </c>
      <c r="I758" s="35" t="str">
        <f t="array" ref="I758">XLOOKUP(B758,'Página9'!A:A,'Página9'!G:G,"")</f>
        <v>OK</v>
      </c>
      <c r="J758" s="25" t="str">
        <f t="shared" si="1"/>
        <v/>
      </c>
      <c r="K758" s="25" t="str">
        <f>IFERROR(__xludf.DUMMYFUNCTION("""COMPUTED_VALUE"""),"Cosme Marcio Barros Barbosa")</f>
        <v>Cosme Marcio Barros Barbosa</v>
      </c>
    </row>
    <row r="759">
      <c r="A759" s="45">
        <f>IFERROR(__xludf.DUMMYFUNCTION("""COMPUTED_VALUE"""),46083.0)</f>
        <v>46083</v>
      </c>
      <c r="B759" s="46" t="str">
        <f>IFERROR(__xludf.DUMMYFUNCTION("""COMPUTED_VALUE"""),"MCC015UC0008")</f>
        <v>MCC015UC0008</v>
      </c>
      <c r="C759" s="47" t="str">
        <f>IFERROR(__xludf.DUMMYFUNCTION("""COMPUTED_VALUE"""),"FILME STRETCH 500X25")</f>
        <v>FILME STRETCH 500X25</v>
      </c>
      <c r="D759" s="48">
        <f>IFERROR(__xludf.DUMMYFUNCTION("""COMPUTED_VALUE"""),50.0)</f>
        <v>50</v>
      </c>
      <c r="E759" s="49" t="str">
        <f>IFERROR(__xludf.DUMMYFUNCTION("""COMPUTED_VALUE"""),"Entrada")</f>
        <v>Entrada</v>
      </c>
      <c r="F759" s="49"/>
      <c r="G759" s="39">
        <f t="array" ref="G759">XLOOKUP(B759,'Página9'!A:A,'Página9'!F:F,"")</f>
        <v>-158</v>
      </c>
      <c r="H759" s="39">
        <f t="array" ref="H759">XLOOKUP(B759,'Página9'!A:A,'Página9'!C:C,"")</f>
        <v>40</v>
      </c>
      <c r="I759" s="35" t="str">
        <f t="array" ref="I759">XLOOKUP(B759,'Página9'!A:A,'Página9'!G:G,"")</f>
        <v>REPOR ESTOQUE</v>
      </c>
      <c r="J759" s="25" t="str">
        <f t="shared" si="1"/>
        <v/>
      </c>
      <c r="K759" s="25" t="str">
        <f>IFERROR(__xludf.DUMMYFUNCTION("""COMPUTED_VALUE"""),"Allison Breno Da Costa Borges Soares")</f>
        <v>Allison Breno Da Costa Borges Soares</v>
      </c>
    </row>
    <row r="760">
      <c r="A760" s="45">
        <f>IFERROR(__xludf.DUMMYFUNCTION("""COMPUTED_VALUE"""),46084.0)</f>
        <v>46084</v>
      </c>
      <c r="B760" s="46" t="str">
        <f>IFERROR(__xludf.DUMMYFUNCTION("""COMPUTED_VALUE"""),"MCC015UC0008")</f>
        <v>MCC015UC0008</v>
      </c>
      <c r="C760" s="47" t="str">
        <f>IFERROR(__xludf.DUMMYFUNCTION("""COMPUTED_VALUE"""),"FILME STRETCH 500X25")</f>
        <v>FILME STRETCH 500X25</v>
      </c>
      <c r="D760" s="48">
        <f>IFERROR(__xludf.DUMMYFUNCTION("""COMPUTED_VALUE"""),6.0)</f>
        <v>6</v>
      </c>
      <c r="E760" s="49" t="str">
        <f>IFERROR(__xludf.DUMMYFUNCTION("""COMPUTED_VALUE"""),"Entrada")</f>
        <v>Entrada</v>
      </c>
      <c r="F760" s="49"/>
      <c r="G760" s="39">
        <f t="array" ref="G760">XLOOKUP(B760,'Página9'!A:A,'Página9'!F:F,"")</f>
        <v>-158</v>
      </c>
      <c r="H760" s="39">
        <f t="array" ref="H760">XLOOKUP(B760,'Página9'!A:A,'Página9'!C:C,"")</f>
        <v>40</v>
      </c>
      <c r="I760" s="35" t="str">
        <f t="array" ref="I760">XLOOKUP(B760,'Página9'!A:A,'Página9'!G:G,"")</f>
        <v>REPOR ESTOQUE</v>
      </c>
      <c r="J760" s="25" t="str">
        <f t="shared" si="1"/>
        <v/>
      </c>
      <c r="K760" s="25" t="str">
        <f>IFERROR(__xludf.DUMMYFUNCTION("""COMPUTED_VALUE"""),"Yago Rocha Fernandes")</f>
        <v>Yago Rocha Fernandes</v>
      </c>
    </row>
    <row r="761">
      <c r="A761" s="45">
        <f>IFERROR(__xludf.DUMMYFUNCTION("""COMPUTED_VALUE"""),46084.0)</f>
        <v>46084</v>
      </c>
      <c r="B761" s="46" t="str">
        <f>IFERROR(__xludf.DUMMYFUNCTION("""COMPUTED_VALUE"""),"MCC046UC0215")</f>
        <v>MCC046UC0215</v>
      </c>
      <c r="C761" s="47" t="str">
        <f>IFERROR(__xludf.DUMMYFUNCTION("""COMPUTED_VALUE"""),"CANETA ESFEROGRAFICA ECONOMIC AZUL BIC")</f>
        <v>CANETA ESFEROGRAFICA ECONOMIC AZUL BIC</v>
      </c>
      <c r="D761" s="48">
        <f>IFERROR(__xludf.DUMMYFUNCTION("""COMPUTED_VALUE"""),5.0)</f>
        <v>5</v>
      </c>
      <c r="E761" s="49" t="str">
        <f>IFERROR(__xludf.DUMMYFUNCTION("""COMPUTED_VALUE"""),"Entrada")</f>
        <v>Entrada</v>
      </c>
      <c r="F761" s="49"/>
      <c r="G761" s="39">
        <f t="array" ref="G761">XLOOKUP(B761,'Página9'!A:A,'Página9'!F:F,"")</f>
        <v>-20</v>
      </c>
      <c r="H761" s="39">
        <f t="array" ref="H761">XLOOKUP(B761,'Página9'!A:A,'Página9'!C:C,"")</f>
        <v>15</v>
      </c>
      <c r="I761" s="35" t="str">
        <f t="array" ref="I761">XLOOKUP(B761,'Página9'!A:A,'Página9'!G:G,"")</f>
        <v>REPOR ESTOQUE</v>
      </c>
      <c r="J761" s="25" t="str">
        <f t="shared" si="1"/>
        <v/>
      </c>
      <c r="K761" s="25" t="str">
        <f>IFERROR(__xludf.DUMMYFUNCTION("""COMPUTED_VALUE"""),"Jose Edervanio Lima Mateus")</f>
        <v>Jose Edervanio Lima Mateus</v>
      </c>
    </row>
    <row r="762">
      <c r="A762" s="45">
        <f>IFERROR(__xludf.DUMMYFUNCTION("""COMPUTED_VALUE"""),46084.0)</f>
        <v>46084</v>
      </c>
      <c r="B762" s="46" t="str">
        <f>IFERROR(__xludf.DUMMYFUNCTION("""COMPUTED_VALUE"""),"MCC046UC0216")</f>
        <v>MCC046UC0216</v>
      </c>
      <c r="C762" s="47" t="str">
        <f>IFERROR(__xludf.DUMMYFUNCTION("""COMPUTED_VALUE"""),"CANETA ESFEROGRAFICA ECONOMIC PRETA BIC")</f>
        <v>CANETA ESFEROGRAFICA ECONOMIC PRETA BIC</v>
      </c>
      <c r="D762" s="48">
        <f>IFERROR(__xludf.DUMMYFUNCTION("""COMPUTED_VALUE"""),5.0)</f>
        <v>5</v>
      </c>
      <c r="E762" s="49" t="str">
        <f>IFERROR(__xludf.DUMMYFUNCTION("""COMPUTED_VALUE"""),"Entrada")</f>
        <v>Entrada</v>
      </c>
      <c r="F762" s="49"/>
      <c r="G762" s="39">
        <f t="array" ref="G762">XLOOKUP(B762,'Página9'!A:A,'Página9'!F:F,"")</f>
        <v>89</v>
      </c>
      <c r="H762" s="39">
        <f t="array" ref="H762">XLOOKUP(B762,'Página9'!A:A,'Página9'!C:C,"")</f>
        <v>15</v>
      </c>
      <c r="I762" s="35" t="str">
        <f t="array" ref="I762">XLOOKUP(B762,'Página9'!A:A,'Página9'!G:G,"")</f>
        <v>OK</v>
      </c>
      <c r="J762" s="25" t="str">
        <f t="shared" si="1"/>
        <v/>
      </c>
      <c r="K762" s="25" t="str">
        <f>IFERROR(__xludf.DUMMYFUNCTION("""COMPUTED_VALUE"""),"Jose Edervanio Lima Mateus")</f>
        <v>Jose Edervanio Lima Mateus</v>
      </c>
    </row>
    <row r="763">
      <c r="A763" s="45">
        <f>IFERROR(__xludf.DUMMYFUNCTION("""COMPUTED_VALUE"""),46084.0)</f>
        <v>46084</v>
      </c>
      <c r="B763" s="46" t="str">
        <f>IFERROR(__xludf.DUMMYFUNCTION("""COMPUTED_VALUE"""),"MCC046UC0695")</f>
        <v>MCC046UC0695</v>
      </c>
      <c r="C763" s="47" t="str">
        <f>IFERROR(__xludf.DUMMYFUNCTION("""COMPUTED_VALUE"""),"ETIQUETA COUCHE 98X50X1")</f>
        <v>ETIQUETA COUCHE 98X50X1</v>
      </c>
      <c r="D763" s="48">
        <f>IFERROR(__xludf.DUMMYFUNCTION("""COMPUTED_VALUE"""),14.0)</f>
        <v>14</v>
      </c>
      <c r="E763" s="49" t="str">
        <f>IFERROR(__xludf.DUMMYFUNCTION("""COMPUTED_VALUE"""),"Entrada")</f>
        <v>Entrada</v>
      </c>
      <c r="F763" s="49"/>
      <c r="G763" s="39">
        <f t="array" ref="G763">XLOOKUP(B763,'Página9'!A:A,'Página9'!F:F,"")</f>
        <v>256</v>
      </c>
      <c r="H763" s="39">
        <f t="array" ref="H763">XLOOKUP(B763,'Página9'!A:A,'Página9'!C:C,"")</f>
        <v>20</v>
      </c>
      <c r="I763" s="35" t="str">
        <f t="array" ref="I763">XLOOKUP(B763,'Página9'!A:A,'Página9'!G:G,"")</f>
        <v>OK</v>
      </c>
      <c r="J763" s="25" t="str">
        <f t="shared" si="1"/>
        <v/>
      </c>
      <c r="K763" s="25" t="str">
        <f>IFERROR(__xludf.DUMMYFUNCTION("""COMPUTED_VALUE"""),"Jose Antoniel Silva Mesquita")</f>
        <v>Jose Antoniel Silva Mesquita</v>
      </c>
    </row>
    <row r="764">
      <c r="A764" s="45">
        <f>IFERROR(__xludf.DUMMYFUNCTION("""COMPUTED_VALUE"""),46084.0)</f>
        <v>46084</v>
      </c>
      <c r="B764" s="46" t="str">
        <f>IFERROR(__xludf.DUMMYFUNCTION("""COMPUTED_VALUE"""),"MCC046UC0638")</f>
        <v>MCC046UC0638</v>
      </c>
      <c r="C764" s="47" t="str">
        <f>IFERROR(__xludf.DUMMYFUNCTION("""COMPUTED_VALUE"""),"PILHA ALCALINA ELGIN PALITO AAA")</f>
        <v>PILHA ALCALINA ELGIN PALITO AAA</v>
      </c>
      <c r="D764" s="48">
        <f>IFERROR(__xludf.DUMMYFUNCTION("""COMPUTED_VALUE"""),2.0)</f>
        <v>2</v>
      </c>
      <c r="E764" s="49" t="str">
        <f>IFERROR(__xludf.DUMMYFUNCTION("""COMPUTED_VALUE"""),"Entrada")</f>
        <v>Entrada</v>
      </c>
      <c r="F764" s="49"/>
      <c r="G764" s="39">
        <f t="array" ref="G764">XLOOKUP(B764,'Página9'!A:A,'Página9'!F:F,"")</f>
        <v>32</v>
      </c>
      <c r="H764" s="39">
        <f t="array" ref="H764">XLOOKUP(B764,'Página9'!A:A,'Página9'!C:C,"")</f>
        <v>4</v>
      </c>
      <c r="I764" s="35" t="str">
        <f t="array" ref="I764">XLOOKUP(B764,'Página9'!A:A,'Página9'!G:G,"")</f>
        <v>OK</v>
      </c>
      <c r="J764" s="25" t="str">
        <f t="shared" si="1"/>
        <v/>
      </c>
      <c r="K764" s="25" t="str">
        <f>IFERROR(__xludf.DUMMYFUNCTION("""COMPUTED_VALUE"""),"Paulo Henrique Chagas De Oliveira")</f>
        <v>Paulo Henrique Chagas De Oliveira</v>
      </c>
    </row>
    <row r="765">
      <c r="A765" s="45">
        <f>IFERROR(__xludf.DUMMYFUNCTION("""COMPUTED_VALUE"""),46084.0)</f>
        <v>46084</v>
      </c>
      <c r="B765" s="46" t="str">
        <f>IFERROR(__xludf.DUMMYFUNCTION("""COMPUTED_VALUE"""),"MCC046UC0617")</f>
        <v>MCC046UC0617</v>
      </c>
      <c r="C765" s="47" t="str">
        <f>IFERROR(__xludf.DUMMYFUNCTION("""COMPUTED_VALUE"""),"CLIPS CHAPARRAU 2/0 CX C/100 UN GALV.")</f>
        <v>CLIPS CHAPARRAU 2/0 CX C/100 UN GALV.</v>
      </c>
      <c r="D765" s="48">
        <f>IFERROR(__xludf.DUMMYFUNCTION("""COMPUTED_VALUE"""),1.0)</f>
        <v>1</v>
      </c>
      <c r="E765" s="49" t="str">
        <f>IFERROR(__xludf.DUMMYFUNCTION("""COMPUTED_VALUE"""),"Entrada")</f>
        <v>Entrada</v>
      </c>
      <c r="F765" s="49"/>
      <c r="G765" s="39">
        <f t="array" ref="G765">XLOOKUP(B765,'Página9'!A:A,'Página9'!F:F,"")</f>
        <v>16</v>
      </c>
      <c r="H765" s="39">
        <f t="array" ref="H765">XLOOKUP(B765,'Página9'!A:A,'Página9'!C:C,"")</f>
        <v>2</v>
      </c>
      <c r="I765" s="35" t="str">
        <f t="array" ref="I765">XLOOKUP(B765,'Página9'!A:A,'Página9'!G:G,"")</f>
        <v>OK</v>
      </c>
      <c r="J765" s="25" t="str">
        <f t="shared" si="1"/>
        <v/>
      </c>
      <c r="K765" s="25" t="str">
        <f>IFERROR(__xludf.DUMMYFUNCTION("""COMPUTED_VALUE"""),"Ana Virginia De Castro Costa")</f>
        <v>Ana Virginia De Castro Costa</v>
      </c>
    </row>
    <row r="766">
      <c r="A766" s="45">
        <f>IFERROR(__xludf.DUMMYFUNCTION("""COMPUTED_VALUE"""),46084.0)</f>
        <v>46084</v>
      </c>
      <c r="B766" s="46" t="str">
        <f>IFERROR(__xludf.DUMMYFUNCTION("""COMPUTED_VALUE"""),"MCC049UC0603")</f>
        <v>MCC049UC0603</v>
      </c>
      <c r="C766" s="47" t="str">
        <f>IFERROR(__xludf.DUMMYFUNCTION("""COMPUTED_VALUE"""),"PLASTICO PLASTIF. A-4 220/307 C/100 UN PROLAM")</f>
        <v>PLASTICO PLASTIF. A-4 220/307 C/100 UN PROLAM</v>
      </c>
      <c r="D766" s="48">
        <f>IFERROR(__xludf.DUMMYFUNCTION("""COMPUTED_VALUE"""),20.0)</f>
        <v>20</v>
      </c>
      <c r="E766" s="49" t="str">
        <f>IFERROR(__xludf.DUMMYFUNCTION("""COMPUTED_VALUE"""),"Entrada")</f>
        <v>Entrada</v>
      </c>
      <c r="F766" s="49"/>
      <c r="G766" s="39">
        <f t="array" ref="G766">XLOOKUP(B766,'Página9'!A:A,'Página9'!F:F,"")</f>
        <v>-504</v>
      </c>
      <c r="H766" s="39">
        <f t="array" ref="H766">XLOOKUP(B766,'Página9'!A:A,'Página9'!C:C,"")</f>
        <v>150</v>
      </c>
      <c r="I766" s="35" t="str">
        <f t="array" ref="I766">XLOOKUP(B766,'Página9'!A:A,'Página9'!G:G,"")</f>
        <v>REPOR ESTOQUE</v>
      </c>
      <c r="J766" s="25" t="str">
        <f t="shared" si="1"/>
        <v/>
      </c>
      <c r="K766" s="25" t="str">
        <f>IFERROR(__xludf.DUMMYFUNCTION("""COMPUTED_VALUE"""),"Allison Breno Da Costa Borges Soares")</f>
        <v>Allison Breno Da Costa Borges Soares</v>
      </c>
    </row>
    <row r="767">
      <c r="A767" s="45">
        <f>IFERROR(__xludf.DUMMYFUNCTION("""COMPUTED_VALUE"""),46084.0)</f>
        <v>46084</v>
      </c>
      <c r="B767" s="46" t="str">
        <f>IFERROR(__xludf.DUMMYFUNCTION("""COMPUTED_VALUE"""),"MCC046UC0596")</f>
        <v>MCC046UC0596</v>
      </c>
      <c r="C767" s="47" t="str">
        <f>IFERROR(__xludf.DUMMYFUNCTION("""COMPUTED_VALUE"""),"ETIQUETA ADESIVA COUCHE BRANCA   - 105X150MM SAS")</f>
        <v>ETIQUETA ADESIVA COUCHE BRANCA   - 105X150MM SAS</v>
      </c>
      <c r="D767" s="48">
        <f>IFERROR(__xludf.DUMMYFUNCTION("""COMPUTED_VALUE"""),10.0)</f>
        <v>10</v>
      </c>
      <c r="E767" s="49" t="str">
        <f>IFERROR(__xludf.DUMMYFUNCTION("""COMPUTED_VALUE"""),"Entrada")</f>
        <v>Entrada</v>
      </c>
      <c r="F767" s="49"/>
      <c r="G767" s="39">
        <f t="array" ref="G767">XLOOKUP(B767,'Página9'!A:A,'Página9'!F:F,"")</f>
        <v>157</v>
      </c>
      <c r="H767" s="39">
        <f t="array" ref="H767">XLOOKUP(B767,'Página9'!A:A,'Página9'!C:C,"")</f>
        <v>20</v>
      </c>
      <c r="I767" s="35" t="str">
        <f t="array" ref="I767">XLOOKUP(B767,'Página9'!A:A,'Página9'!G:G,"")</f>
        <v>OK</v>
      </c>
      <c r="J767" s="25" t="str">
        <f t="shared" si="1"/>
        <v/>
      </c>
      <c r="K767" s="25" t="str">
        <f>IFERROR(__xludf.DUMMYFUNCTION("""COMPUTED_VALUE"""),"Ana Virginia De Castro Costa")</f>
        <v>Ana Virginia De Castro Costa</v>
      </c>
    </row>
    <row r="768">
      <c r="A768" s="45">
        <f>IFERROR(__xludf.DUMMYFUNCTION("""COMPUTED_VALUE"""),46084.0)</f>
        <v>46084</v>
      </c>
      <c r="B768" s="46" t="str">
        <f>IFERROR(__xludf.DUMMYFUNCTION("""COMPUTED_VALUE"""),"MCC015UC0008")</f>
        <v>MCC015UC0008</v>
      </c>
      <c r="C768" s="47" t="str">
        <f>IFERROR(__xludf.DUMMYFUNCTION("""COMPUTED_VALUE"""),"FILME STRETCH 500X25")</f>
        <v>FILME STRETCH 500X25</v>
      </c>
      <c r="D768" s="48">
        <f>IFERROR(__xludf.DUMMYFUNCTION("""COMPUTED_VALUE"""),10.0)</f>
        <v>10</v>
      </c>
      <c r="E768" s="49" t="str">
        <f>IFERROR(__xludf.DUMMYFUNCTION("""COMPUTED_VALUE"""),"Entrada")</f>
        <v>Entrada</v>
      </c>
      <c r="F768" s="49"/>
      <c r="G768" s="39">
        <f t="array" ref="G768">XLOOKUP(B768,'Página9'!A:A,'Página9'!F:F,"")</f>
        <v>-158</v>
      </c>
      <c r="H768" s="39">
        <f t="array" ref="H768">XLOOKUP(B768,'Página9'!A:A,'Página9'!C:C,"")</f>
        <v>40</v>
      </c>
      <c r="I768" s="35" t="str">
        <f t="array" ref="I768">XLOOKUP(B768,'Página9'!A:A,'Página9'!G:G,"")</f>
        <v>REPOR ESTOQUE</v>
      </c>
      <c r="J768" s="25" t="str">
        <f t="shared" si="1"/>
        <v/>
      </c>
      <c r="K768" s="25" t="str">
        <f>IFERROR(__xludf.DUMMYFUNCTION("""COMPUTED_VALUE"""),"Jackson Alves Sales")</f>
        <v>Jackson Alves Sales</v>
      </c>
    </row>
    <row r="769">
      <c r="A769" s="45">
        <f>IFERROR(__xludf.DUMMYFUNCTION("""COMPUTED_VALUE"""),46085.0)</f>
        <v>46085</v>
      </c>
      <c r="B769" s="46" t="str">
        <f>IFERROR(__xludf.DUMMYFUNCTION("""COMPUTED_VALUE"""),"MCC015UC0045")</f>
        <v>MCC015UC0045</v>
      </c>
      <c r="C769" s="47" t="str">
        <f>IFERROR(__xludf.DUMMYFUNCTION("""COMPUTED_VALUE"""),"FITA ADESIVA 69MM X 100M")</f>
        <v>FITA ADESIVA 69MM X 100M</v>
      </c>
      <c r="D769" s="48">
        <f>IFERROR(__xludf.DUMMYFUNCTION("""COMPUTED_VALUE"""),1.0)</f>
        <v>1</v>
      </c>
      <c r="E769" s="49" t="str">
        <f>IFERROR(__xludf.DUMMYFUNCTION("""COMPUTED_VALUE"""),"Entrada")</f>
        <v>Entrada</v>
      </c>
      <c r="F769" s="49"/>
      <c r="G769" s="39">
        <f t="array" ref="G769">XLOOKUP(B769,'Página9'!A:A,'Página9'!F:F,"")</f>
        <v>287</v>
      </c>
      <c r="H769" s="39">
        <f t="array" ref="H769">XLOOKUP(B769,'Página9'!A:A,'Página9'!C:C,"")</f>
        <v>20</v>
      </c>
      <c r="I769" s="35" t="str">
        <f t="array" ref="I769">XLOOKUP(B769,'Página9'!A:A,'Página9'!G:G,"")</f>
        <v>OK</v>
      </c>
      <c r="J769" s="25" t="str">
        <f t="shared" si="1"/>
        <v/>
      </c>
      <c r="K769" s="25" t="str">
        <f>IFERROR(__xludf.DUMMYFUNCTION("""COMPUTED_VALUE"""),"Francisco Samuel Trindade Nascimento")</f>
        <v>Francisco Samuel Trindade Nascimento</v>
      </c>
    </row>
    <row r="770">
      <c r="A770" s="45">
        <f>IFERROR(__xludf.DUMMYFUNCTION("""COMPUTED_VALUE"""),46085.0)</f>
        <v>46085</v>
      </c>
      <c r="B770" s="46" t="str">
        <f>IFERROR(__xludf.DUMMYFUNCTION("""COMPUTED_VALUE"""),"MCC015UC0008")</f>
        <v>MCC015UC0008</v>
      </c>
      <c r="C770" s="47" t="str">
        <f>IFERROR(__xludf.DUMMYFUNCTION("""COMPUTED_VALUE"""),"FILME STRETCH 500X25")</f>
        <v>FILME STRETCH 500X25</v>
      </c>
      <c r="D770" s="48">
        <f>IFERROR(__xludf.DUMMYFUNCTION("""COMPUTED_VALUE"""),15.0)</f>
        <v>15</v>
      </c>
      <c r="E770" s="49" t="str">
        <f>IFERROR(__xludf.DUMMYFUNCTION("""COMPUTED_VALUE"""),"Entrada")</f>
        <v>Entrada</v>
      </c>
      <c r="F770" s="49"/>
      <c r="G770" s="39">
        <f t="array" ref="G770">XLOOKUP(B770,'Página9'!A:A,'Página9'!F:F,"")</f>
        <v>-158</v>
      </c>
      <c r="H770" s="39">
        <f t="array" ref="H770">XLOOKUP(B770,'Página9'!A:A,'Página9'!C:C,"")</f>
        <v>40</v>
      </c>
      <c r="I770" s="35" t="str">
        <f t="array" ref="I770">XLOOKUP(B770,'Página9'!A:A,'Página9'!G:G,"")</f>
        <v>REPOR ESTOQUE</v>
      </c>
      <c r="J770" s="25" t="str">
        <f t="shared" si="1"/>
        <v/>
      </c>
      <c r="K770" s="25" t="str">
        <f>IFERROR(__xludf.DUMMYFUNCTION("""COMPUTED_VALUE"""),"Matheus De Almeida Rodrigues")</f>
        <v>Matheus De Almeida Rodrigues</v>
      </c>
    </row>
    <row r="771">
      <c r="A771" s="45">
        <f>IFERROR(__xludf.DUMMYFUNCTION("""COMPUTED_VALUE"""),46086.0)</f>
        <v>46086</v>
      </c>
      <c r="B771" s="46" t="str">
        <f>IFERROR(__xludf.DUMMYFUNCTION("""COMPUTED_VALUE"""),"MCC046UC0525")</f>
        <v>MCC046UC0525</v>
      </c>
      <c r="C771" s="47" t="str">
        <f>IFERROR(__xludf.DUMMYFUNCTION("""COMPUTED_VALUE"""),"CANETA PINCEL ATOMICO AZUL PILOT 1100")</f>
        <v>CANETA PINCEL ATOMICO AZUL PILOT 1100</v>
      </c>
      <c r="D771" s="48">
        <f>IFERROR(__xludf.DUMMYFUNCTION("""COMPUTED_VALUE"""),12.0)</f>
        <v>12</v>
      </c>
      <c r="E771" s="49" t="str">
        <f>IFERROR(__xludf.DUMMYFUNCTION("""COMPUTED_VALUE"""),"Entrada")</f>
        <v>Entrada</v>
      </c>
      <c r="F771" s="49"/>
      <c r="G771" s="39">
        <f t="array" ref="G771">XLOOKUP(B771,'Página9'!A:A,'Página9'!F:F,"")</f>
        <v>5</v>
      </c>
      <c r="H771" s="39">
        <f t="array" ref="H771">XLOOKUP(B771,'Página9'!A:A,'Página9'!C:C,"")</f>
        <v>3</v>
      </c>
      <c r="I771" s="35" t="str">
        <f t="array" ref="I771">XLOOKUP(B771,'Página9'!A:A,'Página9'!G:G,"")</f>
        <v>OK</v>
      </c>
      <c r="J771" s="25" t="str">
        <f t="shared" si="1"/>
        <v/>
      </c>
      <c r="K771" s="25" t="str">
        <f>IFERROR(__xludf.DUMMYFUNCTION("""COMPUTED_VALUE"""),"Rubens Ribeiro Lisboa")</f>
        <v>Rubens Ribeiro Lisboa</v>
      </c>
    </row>
    <row r="772">
      <c r="A772" s="45">
        <f>IFERROR(__xludf.DUMMYFUNCTION("""COMPUTED_VALUE"""),46086.0)</f>
        <v>46086</v>
      </c>
      <c r="B772" s="46" t="str">
        <f>IFERROR(__xludf.DUMMYFUNCTION("""COMPUTED_VALUE"""),"MCC049UC0603")</f>
        <v>MCC049UC0603</v>
      </c>
      <c r="C772" s="47" t="str">
        <f>IFERROR(__xludf.DUMMYFUNCTION("""COMPUTED_VALUE"""),"PLASTICO PLASTIF. A-4 220/307 C/100 UN PROLAM")</f>
        <v>PLASTICO PLASTIF. A-4 220/307 C/100 UN PROLAM</v>
      </c>
      <c r="D772" s="48">
        <f>IFERROR(__xludf.DUMMYFUNCTION("""COMPUTED_VALUE"""),1.0)</f>
        <v>1</v>
      </c>
      <c r="E772" s="49" t="str">
        <f>IFERROR(__xludf.DUMMYFUNCTION("""COMPUTED_VALUE"""),"Entrada")</f>
        <v>Entrada</v>
      </c>
      <c r="F772" s="49"/>
      <c r="G772" s="39">
        <f t="array" ref="G772">XLOOKUP(B772,'Página9'!A:A,'Página9'!F:F,"")</f>
        <v>-504</v>
      </c>
      <c r="H772" s="39">
        <f t="array" ref="H772">XLOOKUP(B772,'Página9'!A:A,'Página9'!C:C,"")</f>
        <v>150</v>
      </c>
      <c r="I772" s="35" t="str">
        <f t="array" ref="I772">XLOOKUP(B772,'Página9'!A:A,'Página9'!G:G,"")</f>
        <v>REPOR ESTOQUE</v>
      </c>
      <c r="J772" s="25" t="str">
        <f t="shared" si="1"/>
        <v/>
      </c>
      <c r="K772" s="25" t="str">
        <f>IFERROR(__xludf.DUMMYFUNCTION("""COMPUTED_VALUE"""),"Jose Antoniel Silva Mesquita")</f>
        <v>Jose Antoniel Silva Mesquita</v>
      </c>
    </row>
    <row r="773">
      <c r="A773" s="45">
        <f>IFERROR(__xludf.DUMMYFUNCTION("""COMPUTED_VALUE"""),46086.0)</f>
        <v>46086</v>
      </c>
      <c r="B773" s="46" t="str">
        <f>IFERROR(__xludf.DUMMYFUNCTION("""COMPUTED_VALUE"""),"MCC015UC0008")</f>
        <v>MCC015UC0008</v>
      </c>
      <c r="C773" s="47" t="str">
        <f>IFERROR(__xludf.DUMMYFUNCTION("""COMPUTED_VALUE"""),"FILME STRETCH 500X25")</f>
        <v>FILME STRETCH 500X25</v>
      </c>
      <c r="D773" s="48">
        <f>IFERROR(__xludf.DUMMYFUNCTION("""COMPUTED_VALUE"""),2.0)</f>
        <v>2</v>
      </c>
      <c r="E773" s="49" t="str">
        <f>IFERROR(__xludf.DUMMYFUNCTION("""COMPUTED_VALUE"""),"Entrada")</f>
        <v>Entrada</v>
      </c>
      <c r="F773" s="49"/>
      <c r="G773" s="39">
        <f t="array" ref="G773">XLOOKUP(B773,'Página9'!A:A,'Página9'!F:F,"")</f>
        <v>-158</v>
      </c>
      <c r="H773" s="39">
        <f t="array" ref="H773">XLOOKUP(B773,'Página9'!A:A,'Página9'!C:C,"")</f>
        <v>40</v>
      </c>
      <c r="I773" s="35" t="str">
        <f t="array" ref="I773">XLOOKUP(B773,'Página9'!A:A,'Página9'!G:G,"")</f>
        <v>REPOR ESTOQUE</v>
      </c>
      <c r="J773" s="25" t="str">
        <f t="shared" si="1"/>
        <v/>
      </c>
      <c r="K773" s="25" t="str">
        <f>IFERROR(__xludf.DUMMYFUNCTION("""COMPUTED_VALUE"""),"Yago Rocha Fernandes")</f>
        <v>Yago Rocha Fernandes</v>
      </c>
    </row>
    <row r="774">
      <c r="A774" s="45">
        <f>IFERROR(__xludf.DUMMYFUNCTION("""COMPUTED_VALUE"""),46086.0)</f>
        <v>46086</v>
      </c>
      <c r="B774" s="46" t="str">
        <f>IFERROR(__xludf.DUMMYFUNCTION("""COMPUTED_VALUE"""),"MCC015UC0045")</f>
        <v>MCC015UC0045</v>
      </c>
      <c r="C774" s="47" t="str">
        <f>IFERROR(__xludf.DUMMYFUNCTION("""COMPUTED_VALUE"""),"FITA ADESIVA 69MM X 100M")</f>
        <v>FITA ADESIVA 69MM X 100M</v>
      </c>
      <c r="D774" s="48">
        <f>IFERROR(__xludf.DUMMYFUNCTION("""COMPUTED_VALUE"""),24.0)</f>
        <v>24</v>
      </c>
      <c r="E774" s="49" t="str">
        <f>IFERROR(__xludf.DUMMYFUNCTION("""COMPUTED_VALUE"""),"Entrada")</f>
        <v>Entrada</v>
      </c>
      <c r="F774" s="49"/>
      <c r="G774" s="39">
        <f t="array" ref="G774">XLOOKUP(B774,'Página9'!A:A,'Página9'!F:F,"")</f>
        <v>287</v>
      </c>
      <c r="H774" s="39">
        <f t="array" ref="H774">XLOOKUP(B774,'Página9'!A:A,'Página9'!C:C,"")</f>
        <v>20</v>
      </c>
      <c r="I774" s="35" t="str">
        <f t="array" ref="I774">XLOOKUP(B774,'Página9'!A:A,'Página9'!G:G,"")</f>
        <v>OK</v>
      </c>
      <c r="J774" s="25" t="str">
        <f t="shared" si="1"/>
        <v/>
      </c>
      <c r="K774" s="25" t="str">
        <f>IFERROR(__xludf.DUMMYFUNCTION("""COMPUTED_VALUE"""),"Rejane Fontes De Sousa")</f>
        <v>Rejane Fontes De Sousa</v>
      </c>
    </row>
    <row r="775">
      <c r="A775" s="45">
        <f>IFERROR(__xludf.DUMMYFUNCTION("""COMPUTED_VALUE"""),46086.0)</f>
        <v>46086</v>
      </c>
      <c r="B775" s="46" t="str">
        <f>IFERROR(__xludf.DUMMYFUNCTION("""COMPUTED_VALUE"""),"MCC049UC0607")</f>
        <v>MCC049UC0607</v>
      </c>
      <c r="C775" s="47" t="str">
        <f>IFERROR(__xludf.DUMMYFUNCTION("""COMPUTED_VALUE"""),"PAPEL A3 RESMA COM 500 FLS")</f>
        <v>PAPEL A3 RESMA COM 500 FLS</v>
      </c>
      <c r="D775" s="48">
        <f>IFERROR(__xludf.DUMMYFUNCTION("""COMPUTED_VALUE"""),10.0)</f>
        <v>10</v>
      </c>
      <c r="E775" s="49" t="str">
        <f>IFERROR(__xludf.DUMMYFUNCTION("""COMPUTED_VALUE"""),"Entrada")</f>
        <v>Entrada</v>
      </c>
      <c r="F775" s="49"/>
      <c r="G775" s="39">
        <f t="array" ref="G775">XLOOKUP(B775,'Página9'!A:A,'Página9'!F:F,"")</f>
        <v>-47</v>
      </c>
      <c r="H775" s="39">
        <f t="array" ref="H775">XLOOKUP(B775,'Página9'!A:A,'Página9'!C:C,"")</f>
        <v>3</v>
      </c>
      <c r="I775" s="35" t="str">
        <f t="array" ref="I775">XLOOKUP(B775,'Página9'!A:A,'Página9'!G:G,"")</f>
        <v>REPOR ESTOQUE</v>
      </c>
      <c r="J775" s="25" t="str">
        <f t="shared" si="1"/>
        <v/>
      </c>
      <c r="K775" s="25" t="str">
        <f>IFERROR(__xludf.DUMMYFUNCTION("""COMPUTED_VALUE"""),"Francisco Renato Da Silva De Oliveira Junior")</f>
        <v>Francisco Renato Da Silva De Oliveira Junior</v>
      </c>
    </row>
    <row r="776">
      <c r="A776" s="45">
        <f>IFERROR(__xludf.DUMMYFUNCTION("""COMPUTED_VALUE"""),46086.0)</f>
        <v>46086</v>
      </c>
      <c r="B776" s="46" t="str">
        <f>IFERROR(__xludf.DUMMYFUNCTION("""COMPUTED_VALUE"""),"MCC015UC0008")</f>
        <v>MCC015UC0008</v>
      </c>
      <c r="C776" s="47" t="str">
        <f>IFERROR(__xludf.DUMMYFUNCTION("""COMPUTED_VALUE"""),"FILME STRETCH 500X25")</f>
        <v>FILME STRETCH 500X25</v>
      </c>
      <c r="D776" s="48">
        <f>IFERROR(__xludf.DUMMYFUNCTION("""COMPUTED_VALUE"""),20.0)</f>
        <v>20</v>
      </c>
      <c r="E776" s="49" t="str">
        <f>IFERROR(__xludf.DUMMYFUNCTION("""COMPUTED_VALUE"""),"Entrada")</f>
        <v>Entrada</v>
      </c>
      <c r="F776" s="49"/>
      <c r="G776" s="39">
        <f t="array" ref="G776">XLOOKUP(B776,'Página9'!A:A,'Página9'!F:F,"")</f>
        <v>-158</v>
      </c>
      <c r="H776" s="39">
        <f t="array" ref="H776">XLOOKUP(B776,'Página9'!A:A,'Página9'!C:C,"")</f>
        <v>40</v>
      </c>
      <c r="I776" s="35" t="str">
        <f t="array" ref="I776">XLOOKUP(B776,'Página9'!A:A,'Página9'!G:G,"")</f>
        <v>REPOR ESTOQUE</v>
      </c>
      <c r="J776" s="25" t="str">
        <f t="shared" si="1"/>
        <v/>
      </c>
      <c r="K776" s="25" t="str">
        <f>IFERROR(__xludf.DUMMYFUNCTION("""COMPUTED_VALUE"""),"Rodrigo Aragao Goncalves")</f>
        <v>Rodrigo Aragao Goncalves</v>
      </c>
    </row>
    <row r="777">
      <c r="A777" s="45">
        <f>IFERROR(__xludf.DUMMYFUNCTION("""COMPUTED_VALUE"""),46086.0)</f>
        <v>46086</v>
      </c>
      <c r="B777" s="46" t="str">
        <f>IFERROR(__xludf.DUMMYFUNCTION("""COMPUTED_VALUE"""),"MCC046UC0387")</f>
        <v>MCC046UC0387</v>
      </c>
      <c r="C777" s="47" t="str">
        <f>IFERROR(__xludf.DUMMYFUNCTION("""COMPUTED_VALUE"""),"GRAMPEADOR PLUS LINE CIS PRETO 26/6 P/20")</f>
        <v>GRAMPEADOR PLUS LINE CIS PRETO 26/6 P/20</v>
      </c>
      <c r="D777" s="48">
        <f>IFERROR(__xludf.DUMMYFUNCTION("""COMPUTED_VALUE"""),1.0)</f>
        <v>1</v>
      </c>
      <c r="E777" s="49" t="str">
        <f>IFERROR(__xludf.DUMMYFUNCTION("""COMPUTED_VALUE"""),"Entrada")</f>
        <v>Entrada</v>
      </c>
      <c r="F777" s="49"/>
      <c r="G777" s="39">
        <f t="array" ref="G777">XLOOKUP(B777,'Página9'!A:A,'Página9'!F:F,"")</f>
        <v>0</v>
      </c>
      <c r="H777" s="39">
        <f t="array" ref="H777">XLOOKUP(B777,'Página9'!A:A,'Página9'!C:C,"")</f>
        <v>1</v>
      </c>
      <c r="I777" s="35" t="str">
        <f t="array" ref="I777">XLOOKUP(B777,'Página9'!A:A,'Página9'!G:G,"")</f>
        <v>REPOR ESTOQUE</v>
      </c>
      <c r="J777" s="25" t="str">
        <f t="shared" si="1"/>
        <v/>
      </c>
      <c r="K777" s="25" t="str">
        <f>IFERROR(__xludf.DUMMYFUNCTION("""COMPUTED_VALUE"""),"Ana Virginia De Castro Costa")</f>
        <v>Ana Virginia De Castro Costa</v>
      </c>
    </row>
    <row r="778">
      <c r="A778" s="45">
        <f>IFERROR(__xludf.DUMMYFUNCTION("""COMPUTED_VALUE"""),46087.0)</f>
        <v>46087</v>
      </c>
      <c r="B778" s="46" t="str">
        <f>IFERROR(__xludf.DUMMYFUNCTION("""COMPUTED_VALUE"""),"MCC046UC0082")</f>
        <v>MCC046UC0082</v>
      </c>
      <c r="C778" s="47" t="str">
        <f>IFERROR(__xludf.DUMMYFUNCTION("""COMPUTED_VALUE"""),"PAPEL SULFITE A4 75G 500 FOLHAS")</f>
        <v>PAPEL SULFITE A4 75G 500 FOLHAS</v>
      </c>
      <c r="D778" s="48">
        <f>IFERROR(__xludf.DUMMYFUNCTION("""COMPUTED_VALUE"""),1.0)</f>
        <v>1</v>
      </c>
      <c r="E778" s="49" t="str">
        <f>IFERROR(__xludf.DUMMYFUNCTION("""COMPUTED_VALUE"""),"Entrada")</f>
        <v>Entrada</v>
      </c>
      <c r="F778" s="49"/>
      <c r="G778" s="39">
        <f t="array" ref="G778">XLOOKUP(B778,'Página9'!A:A,'Página9'!F:F,"")</f>
        <v>163</v>
      </c>
      <c r="H778" s="39">
        <f t="array" ref="H778">XLOOKUP(B778,'Página9'!A:A,'Página9'!C:C,"")</f>
        <v>10</v>
      </c>
      <c r="I778" s="35" t="str">
        <f t="array" ref="I778">XLOOKUP(B778,'Página9'!A:A,'Página9'!G:G,"")</f>
        <v>OK</v>
      </c>
      <c r="J778" s="25" t="str">
        <f t="shared" si="1"/>
        <v/>
      </c>
      <c r="K778" s="25" t="str">
        <f>IFERROR(__xludf.DUMMYFUNCTION("""COMPUTED_VALUE"""),"Suellen Aguiar Da Silva")</f>
        <v>Suellen Aguiar Da Silva</v>
      </c>
    </row>
    <row r="779">
      <c r="A779" s="45">
        <f>IFERROR(__xludf.DUMMYFUNCTION("""COMPUTED_VALUE"""),46087.0)</f>
        <v>46087</v>
      </c>
      <c r="B779" s="46" t="str">
        <f>IFERROR(__xludf.DUMMYFUNCTION("""COMPUTED_VALUE"""),"MCC049UC0600")</f>
        <v>MCC049UC0600</v>
      </c>
      <c r="C779" s="47" t="str">
        <f>IFERROR(__xludf.DUMMYFUNCTION("""COMPUTED_VALUE"""),"FITA ADESIVA P/ CACHORRO PERSONALIZADA")</f>
        <v>FITA ADESIVA P/ CACHORRO PERSONALIZADA</v>
      </c>
      <c r="D779" s="48">
        <f>IFERROR(__xludf.DUMMYFUNCTION("""COMPUTED_VALUE"""),10.0)</f>
        <v>10</v>
      </c>
      <c r="E779" s="49" t="str">
        <f>IFERROR(__xludf.DUMMYFUNCTION("""COMPUTED_VALUE"""),"Entrada")</f>
        <v>Entrada</v>
      </c>
      <c r="F779" s="49"/>
      <c r="G779" s="39">
        <f t="array" ref="G779">XLOOKUP(B779,'Página9'!A:A,'Página9'!F:F,"")</f>
        <v>156</v>
      </c>
      <c r="H779" s="39">
        <f t="array" ref="H779">XLOOKUP(B779,'Página9'!A:A,'Página9'!C:C,"")</f>
        <v>10</v>
      </c>
      <c r="I779" s="35" t="str">
        <f t="array" ref="I779">XLOOKUP(B779,'Página9'!A:A,'Página9'!G:G,"")</f>
        <v>OK</v>
      </c>
      <c r="J779" s="25" t="str">
        <f t="shared" si="1"/>
        <v/>
      </c>
      <c r="K779" s="25" t="str">
        <f>IFERROR(__xludf.DUMMYFUNCTION("""COMPUTED_VALUE"""),"Jose Edervanio Lima Mateus")</f>
        <v>Jose Edervanio Lima Mateus</v>
      </c>
    </row>
    <row r="780">
      <c r="A780" s="45">
        <f>IFERROR(__xludf.DUMMYFUNCTION("""COMPUTED_VALUE"""),46087.0)</f>
        <v>46087</v>
      </c>
      <c r="B780" s="46" t="str">
        <f>IFERROR(__xludf.DUMMYFUNCTION("""COMPUTED_VALUE"""),"MCC046UC0599")</f>
        <v>MCC046UC0599</v>
      </c>
      <c r="C780" s="47" t="str">
        <f>IFERROR(__xludf.DUMMYFUNCTION("""COMPUTED_VALUE"""),"ETIQUETA ADESIVA COUCHE AMARELA  - 105X150MM SAS")</f>
        <v>ETIQUETA ADESIVA COUCHE AMARELA  - 105X150MM SAS</v>
      </c>
      <c r="D780" s="48">
        <f>IFERROR(__xludf.DUMMYFUNCTION("""COMPUTED_VALUE"""),20.0)</f>
        <v>20</v>
      </c>
      <c r="E780" s="49" t="str">
        <f>IFERROR(__xludf.DUMMYFUNCTION("""COMPUTED_VALUE"""),"Entrada")</f>
        <v>Entrada</v>
      </c>
      <c r="F780" s="49"/>
      <c r="G780" s="39">
        <f t="array" ref="G780">XLOOKUP(B780,'Página9'!A:A,'Página9'!F:F,"")</f>
        <v>25</v>
      </c>
      <c r="H780" s="39">
        <f t="array" ref="H780">XLOOKUP(B780,'Página9'!A:A,'Página9'!C:C,"")</f>
        <v>5</v>
      </c>
      <c r="I780" s="35" t="str">
        <f t="array" ref="I780">XLOOKUP(B780,'Página9'!A:A,'Página9'!G:G,"")</f>
        <v>OK</v>
      </c>
      <c r="J780" s="25" t="str">
        <f t="shared" si="1"/>
        <v/>
      </c>
      <c r="K780" s="25" t="str">
        <f>IFERROR(__xludf.DUMMYFUNCTION("""COMPUTED_VALUE"""),"Philipe Araujo Barroso")</f>
        <v>Philipe Araujo Barroso</v>
      </c>
    </row>
    <row r="781">
      <c r="A781" s="45">
        <f>IFERROR(__xludf.DUMMYFUNCTION("""COMPUTED_VALUE"""),46087.0)</f>
        <v>46087</v>
      </c>
      <c r="B781" s="46" t="str">
        <f>IFERROR(__xludf.DUMMYFUNCTION("""COMPUTED_VALUE"""),"MCC046UC0639")</f>
        <v>MCC046UC0639</v>
      </c>
      <c r="C781" s="47" t="str">
        <f>IFERROR(__xludf.DUMMYFUNCTION("""COMPUTED_VALUE"""),"PILHA ALCALINA ELGIN PEQ.AA")</f>
        <v>PILHA ALCALINA ELGIN PEQ.AA</v>
      </c>
      <c r="D781" s="48">
        <f>IFERROR(__xludf.DUMMYFUNCTION("""COMPUTED_VALUE"""),1.0)</f>
        <v>1</v>
      </c>
      <c r="E781" s="49" t="str">
        <f>IFERROR(__xludf.DUMMYFUNCTION("""COMPUTED_VALUE"""),"Entrada")</f>
        <v>Entrada</v>
      </c>
      <c r="F781" s="49"/>
      <c r="G781" s="39">
        <f t="array" ref="G781">XLOOKUP(B781,'Página9'!A:A,'Página9'!F:F,"")</f>
        <v>-5</v>
      </c>
      <c r="H781" s="39">
        <f t="array" ref="H781">XLOOKUP(B781,'Página9'!A:A,'Página9'!C:C,"")</f>
        <v>4</v>
      </c>
      <c r="I781" s="35" t="str">
        <f t="array" ref="I781">XLOOKUP(B781,'Página9'!A:A,'Página9'!G:G,"")</f>
        <v>REPOR ESTOQUE</v>
      </c>
      <c r="J781" s="25" t="str">
        <f t="shared" si="1"/>
        <v/>
      </c>
      <c r="K781" s="25" t="str">
        <f>IFERROR(__xludf.DUMMYFUNCTION("""COMPUTED_VALUE"""),"Suellen Aguiar Da Silva")</f>
        <v>Suellen Aguiar Da Silva</v>
      </c>
    </row>
    <row r="782">
      <c r="A782" s="45">
        <f>IFERROR(__xludf.DUMMYFUNCTION("""COMPUTED_VALUE"""),46087.0)</f>
        <v>46087</v>
      </c>
      <c r="B782" s="46" t="str">
        <f>IFERROR(__xludf.DUMMYFUNCTION("""COMPUTED_VALUE"""),"MCC046UC0599")</f>
        <v>MCC046UC0599</v>
      </c>
      <c r="C782" s="47" t="str">
        <f>IFERROR(__xludf.DUMMYFUNCTION("""COMPUTED_VALUE"""),"ETIQUETA ADESIVA COUCHE AMARELA  - 105X150MM SAS")</f>
        <v>ETIQUETA ADESIVA COUCHE AMARELA  - 105X150MM SAS</v>
      </c>
      <c r="D782" s="48">
        <f>IFERROR(__xludf.DUMMYFUNCTION("""COMPUTED_VALUE"""),8.0)</f>
        <v>8</v>
      </c>
      <c r="E782" s="49" t="str">
        <f>IFERROR(__xludf.DUMMYFUNCTION("""COMPUTED_VALUE"""),"Entrada")</f>
        <v>Entrada</v>
      </c>
      <c r="F782" s="49"/>
      <c r="G782" s="39">
        <f t="array" ref="G782">XLOOKUP(B782,'Página9'!A:A,'Página9'!F:F,"")</f>
        <v>25</v>
      </c>
      <c r="H782" s="39">
        <f t="array" ref="H782">XLOOKUP(B782,'Página9'!A:A,'Página9'!C:C,"")</f>
        <v>5</v>
      </c>
      <c r="I782" s="35" t="str">
        <f t="array" ref="I782">XLOOKUP(B782,'Página9'!A:A,'Página9'!G:G,"")</f>
        <v>OK</v>
      </c>
      <c r="J782" s="25" t="str">
        <f t="shared" si="1"/>
        <v/>
      </c>
      <c r="K782" s="25" t="str">
        <f>IFERROR(__xludf.DUMMYFUNCTION("""COMPUTED_VALUE"""),"Rejane Fontes De Sousa")</f>
        <v>Rejane Fontes De Sousa</v>
      </c>
    </row>
    <row r="783">
      <c r="A783" s="45">
        <f>IFERROR(__xludf.DUMMYFUNCTION("""COMPUTED_VALUE"""),46087.0)</f>
        <v>46087</v>
      </c>
      <c r="B783" s="46" t="str">
        <f>IFERROR(__xludf.DUMMYFUNCTION("""COMPUTED_VALUE"""),"MCC049UC0288")</f>
        <v>MCC049UC0288</v>
      </c>
      <c r="C783" s="47" t="str">
        <f>IFERROR(__xludf.DUMMYFUNCTION("""COMPUTED_VALUE"""),"FITILHO POLIPROPILENO P/EMBALAGEM")</f>
        <v>FITILHO POLIPROPILENO P/EMBALAGEM</v>
      </c>
      <c r="D783" s="48">
        <f>IFERROR(__xludf.DUMMYFUNCTION("""COMPUTED_VALUE"""),5.0)</f>
        <v>5</v>
      </c>
      <c r="E783" s="49" t="str">
        <f>IFERROR(__xludf.DUMMYFUNCTION("""COMPUTED_VALUE"""),"Entrada")</f>
        <v>Entrada</v>
      </c>
      <c r="F783" s="49"/>
      <c r="G783" s="39">
        <f t="array" ref="G783">XLOOKUP(B783,'Página9'!A:A,'Página9'!F:F,"")</f>
        <v>-24</v>
      </c>
      <c r="H783" s="39">
        <f t="array" ref="H783">XLOOKUP(B783,'Página9'!A:A,'Página9'!C:C,"")</f>
        <v>2</v>
      </c>
      <c r="I783" s="35" t="str">
        <f t="array" ref="I783">XLOOKUP(B783,'Página9'!A:A,'Página9'!G:G,"")</f>
        <v>REPOR ESTOQUE</v>
      </c>
      <c r="J783" s="25" t="str">
        <f t="shared" si="1"/>
        <v/>
      </c>
      <c r="K783" s="25" t="str">
        <f>IFERROR(__xludf.DUMMYFUNCTION("""COMPUTED_VALUE"""),"Rejane Fontes De Sousa")</f>
        <v>Rejane Fontes De Sousa</v>
      </c>
    </row>
    <row r="784">
      <c r="A784" s="45">
        <f>IFERROR(__xludf.DUMMYFUNCTION("""COMPUTED_VALUE"""),46087.0)</f>
        <v>46087</v>
      </c>
      <c r="B784" s="46" t="str">
        <f>IFERROR(__xludf.DUMMYFUNCTION("""COMPUTED_VALUE"""),"MCC015UC0008")</f>
        <v>MCC015UC0008</v>
      </c>
      <c r="C784" s="47" t="str">
        <f>IFERROR(__xludf.DUMMYFUNCTION("""COMPUTED_VALUE"""),"FILME STRETCH 500X25")</f>
        <v>FILME STRETCH 500X25</v>
      </c>
      <c r="D784" s="48">
        <f>IFERROR(__xludf.DUMMYFUNCTION("""COMPUTED_VALUE"""),20.0)</f>
        <v>20</v>
      </c>
      <c r="E784" s="49" t="str">
        <f>IFERROR(__xludf.DUMMYFUNCTION("""COMPUTED_VALUE"""),"Entrada")</f>
        <v>Entrada</v>
      </c>
      <c r="F784" s="49"/>
      <c r="G784" s="39">
        <f t="array" ref="G784">XLOOKUP(B784,'Página9'!A:A,'Página9'!F:F,"")</f>
        <v>-158</v>
      </c>
      <c r="H784" s="39">
        <f t="array" ref="H784">XLOOKUP(B784,'Página9'!A:A,'Página9'!C:C,"")</f>
        <v>40</v>
      </c>
      <c r="I784" s="35" t="str">
        <f t="array" ref="I784">XLOOKUP(B784,'Página9'!A:A,'Página9'!G:G,"")</f>
        <v>REPOR ESTOQUE</v>
      </c>
      <c r="J784" s="25" t="str">
        <f t="shared" si="1"/>
        <v/>
      </c>
      <c r="K784" s="25" t="str">
        <f>IFERROR(__xludf.DUMMYFUNCTION("""COMPUTED_VALUE"""),"Rejane Fontes De Sousa")</f>
        <v>Rejane Fontes De Sousa</v>
      </c>
    </row>
    <row r="785">
      <c r="A785" s="45">
        <f>IFERROR(__xludf.DUMMYFUNCTION("""COMPUTED_VALUE"""),46087.0)</f>
        <v>46087</v>
      </c>
      <c r="B785" s="46" t="str">
        <f>IFERROR(__xludf.DUMMYFUNCTION("""COMPUTED_VALUE"""),"MCC015UC0008")</f>
        <v>MCC015UC0008</v>
      </c>
      <c r="C785" s="47" t="str">
        <f>IFERROR(__xludf.DUMMYFUNCTION("""COMPUTED_VALUE"""),"FILME STRETCH 500X25")</f>
        <v>FILME STRETCH 500X25</v>
      </c>
      <c r="D785" s="48">
        <f>IFERROR(__xludf.DUMMYFUNCTION("""COMPUTED_VALUE"""),10.0)</f>
        <v>10</v>
      </c>
      <c r="E785" s="49" t="str">
        <f>IFERROR(__xludf.DUMMYFUNCTION("""COMPUTED_VALUE"""),"Entrada")</f>
        <v>Entrada</v>
      </c>
      <c r="F785" s="49"/>
      <c r="G785" s="39">
        <f t="array" ref="G785">XLOOKUP(B785,'Página9'!A:A,'Página9'!F:F,"")</f>
        <v>-158</v>
      </c>
      <c r="H785" s="39">
        <f t="array" ref="H785">XLOOKUP(B785,'Página9'!A:A,'Página9'!C:C,"")</f>
        <v>40</v>
      </c>
      <c r="I785" s="35" t="str">
        <f t="array" ref="I785">XLOOKUP(B785,'Página9'!A:A,'Página9'!G:G,"")</f>
        <v>REPOR ESTOQUE</v>
      </c>
      <c r="J785" s="25" t="str">
        <f t="shared" si="1"/>
        <v/>
      </c>
      <c r="K785" s="25" t="str">
        <f>IFERROR(__xludf.DUMMYFUNCTION("""COMPUTED_VALUE"""),"Matheus De Almeida Rodrigues")</f>
        <v>Matheus De Almeida Rodrigues</v>
      </c>
    </row>
    <row r="786">
      <c r="A786" s="45">
        <f>IFERROR(__xludf.DUMMYFUNCTION("""COMPUTED_VALUE"""),46090.0)</f>
        <v>46090</v>
      </c>
      <c r="B786" s="46" t="str">
        <f>IFERROR(__xludf.DUMMYFUNCTION("""COMPUTED_VALUE"""),"MCC015UC0033")</f>
        <v>MCC015UC0033</v>
      </c>
      <c r="C786" s="47" t="str">
        <f>IFERROR(__xludf.DUMMYFUNCTION("""COMPUTED_VALUE"""),"FITA DE ARQUEAR PET VERDE 16MM X 0,8MM C/ 13KG")</f>
        <v>FITA DE ARQUEAR PET VERDE 16MM X 0,8MM C/ 13KG</v>
      </c>
      <c r="D786" s="48">
        <f>IFERROR(__xludf.DUMMYFUNCTION("""COMPUTED_VALUE"""),2.0)</f>
        <v>2</v>
      </c>
      <c r="E786" s="49" t="str">
        <f>IFERROR(__xludf.DUMMYFUNCTION("""COMPUTED_VALUE"""),"Entrada")</f>
        <v>Entrada</v>
      </c>
      <c r="F786" s="49"/>
      <c r="G786" s="39">
        <f t="array" ref="G786">XLOOKUP(B786,'Página9'!A:A,'Página9'!F:F,"")</f>
        <v>4</v>
      </c>
      <c r="H786" s="39">
        <f t="array" ref="H786">XLOOKUP(B786,'Página9'!A:A,'Página9'!C:C,"")</f>
        <v>3</v>
      </c>
      <c r="I786" s="35" t="str">
        <f t="array" ref="I786">XLOOKUP(B786,'Página9'!A:A,'Página9'!G:G,"")</f>
        <v>OK</v>
      </c>
      <c r="J786" s="25" t="str">
        <f t="shared" si="1"/>
        <v/>
      </c>
      <c r="K786" s="25" t="str">
        <f>IFERROR(__xludf.DUMMYFUNCTION("""COMPUTED_VALUE"""),"Allison Breno Da Costa Borges Soares")</f>
        <v>Allison Breno Da Costa Borges Soares</v>
      </c>
    </row>
    <row r="787">
      <c r="A787" s="45">
        <f>IFERROR(__xludf.DUMMYFUNCTION("""COMPUTED_VALUE"""),46090.0)</f>
        <v>46090</v>
      </c>
      <c r="B787" s="46" t="str">
        <f>IFERROR(__xludf.DUMMYFUNCTION("""COMPUTED_VALUE"""),"MCC046UC0668")</f>
        <v>MCC046UC0668</v>
      </c>
      <c r="C787" s="47" t="str">
        <f>IFERROR(__xludf.DUMMYFUNCTION("""COMPUTED_VALUE"""),"ETIQUETA ADESIVA COUCHE CINZA 100X150X1")</f>
        <v>ETIQUETA ADESIVA COUCHE CINZA 100X150X1</v>
      </c>
      <c r="D787" s="48">
        <f>IFERROR(__xludf.DUMMYFUNCTION("""COMPUTED_VALUE"""),4.0)</f>
        <v>4</v>
      </c>
      <c r="E787" s="49" t="str">
        <f>IFERROR(__xludf.DUMMYFUNCTION("""COMPUTED_VALUE"""),"Entrada")</f>
        <v>Entrada</v>
      </c>
      <c r="F787" s="49"/>
      <c r="G787" s="39">
        <f t="array" ref="G787">XLOOKUP(B787,'Página9'!A:A,'Página9'!F:F,"")</f>
        <v>104</v>
      </c>
      <c r="H787" s="39">
        <f t="array" ref="H787">XLOOKUP(B787,'Página9'!A:A,'Página9'!C:C,"")</f>
        <v>5</v>
      </c>
      <c r="I787" s="35" t="str">
        <f t="array" ref="I787">XLOOKUP(B787,'Página9'!A:A,'Página9'!G:G,"")</f>
        <v>OK</v>
      </c>
      <c r="J787" s="25" t="str">
        <f t="shared" si="1"/>
        <v/>
      </c>
      <c r="K787" s="25" t="str">
        <f>IFERROR(__xludf.DUMMYFUNCTION("""COMPUTED_VALUE"""),"Silvana Da Silva Pereira")</f>
        <v>Silvana Da Silva Pereira</v>
      </c>
    </row>
    <row r="788">
      <c r="A788" s="45">
        <f>IFERROR(__xludf.DUMMYFUNCTION("""COMPUTED_VALUE"""),46090.0)</f>
        <v>46090</v>
      </c>
      <c r="B788" s="46" t="str">
        <f>IFERROR(__xludf.DUMMYFUNCTION("""COMPUTED_VALUE"""),"MCC015UC0045")</f>
        <v>MCC015UC0045</v>
      </c>
      <c r="C788" s="47" t="str">
        <f>IFERROR(__xludf.DUMMYFUNCTION("""COMPUTED_VALUE"""),"FITA ADESIVA 69MM X 100M")</f>
        <v>FITA ADESIVA 69MM X 100M</v>
      </c>
      <c r="D788" s="48">
        <f>IFERROR(__xludf.DUMMYFUNCTION("""COMPUTED_VALUE"""),10.0)</f>
        <v>10</v>
      </c>
      <c r="E788" s="49" t="str">
        <f>IFERROR(__xludf.DUMMYFUNCTION("""COMPUTED_VALUE"""),"Entrada")</f>
        <v>Entrada</v>
      </c>
      <c r="F788" s="49"/>
      <c r="G788" s="39">
        <f t="array" ref="G788">XLOOKUP(B788,'Página9'!A:A,'Página9'!F:F,"")</f>
        <v>287</v>
      </c>
      <c r="H788" s="39">
        <f t="array" ref="H788">XLOOKUP(B788,'Página9'!A:A,'Página9'!C:C,"")</f>
        <v>20</v>
      </c>
      <c r="I788" s="35" t="str">
        <f t="array" ref="I788">XLOOKUP(B788,'Página9'!A:A,'Página9'!G:G,"")</f>
        <v>OK</v>
      </c>
      <c r="J788" s="25" t="str">
        <f t="shared" si="1"/>
        <v/>
      </c>
      <c r="K788" s="25" t="str">
        <f>IFERROR(__xludf.DUMMYFUNCTION("""COMPUTED_VALUE"""),"Ana Virginia De Castro Costa")</f>
        <v>Ana Virginia De Castro Costa</v>
      </c>
    </row>
    <row r="789">
      <c r="A789" s="45">
        <f>IFERROR(__xludf.DUMMYFUNCTION("""COMPUTED_VALUE"""),46090.0)</f>
        <v>46090</v>
      </c>
      <c r="B789" s="46" t="str">
        <f>IFERROR(__xludf.DUMMYFUNCTION("""COMPUTED_VALUE"""),"MCC046UC0596")</f>
        <v>MCC046UC0596</v>
      </c>
      <c r="C789" s="47" t="str">
        <f>IFERROR(__xludf.DUMMYFUNCTION("""COMPUTED_VALUE"""),"ETIQUETA ADESIVA COUCHE BRANCA   - 105X150MM SAS")</f>
        <v>ETIQUETA ADESIVA COUCHE BRANCA   - 105X150MM SAS</v>
      </c>
      <c r="D789" s="48">
        <f>IFERROR(__xludf.DUMMYFUNCTION("""COMPUTED_VALUE"""),8.0)</f>
        <v>8</v>
      </c>
      <c r="E789" s="49" t="str">
        <f>IFERROR(__xludf.DUMMYFUNCTION("""COMPUTED_VALUE"""),"Entrada")</f>
        <v>Entrada</v>
      </c>
      <c r="F789" s="49"/>
      <c r="G789" s="39">
        <f t="array" ref="G789">XLOOKUP(B789,'Página9'!A:A,'Página9'!F:F,"")</f>
        <v>157</v>
      </c>
      <c r="H789" s="39">
        <f t="array" ref="H789">XLOOKUP(B789,'Página9'!A:A,'Página9'!C:C,"")</f>
        <v>20</v>
      </c>
      <c r="I789" s="35" t="str">
        <f t="array" ref="I789">XLOOKUP(B789,'Página9'!A:A,'Página9'!G:G,"")</f>
        <v>OK</v>
      </c>
      <c r="J789" s="25" t="str">
        <f t="shared" si="1"/>
        <v/>
      </c>
      <c r="K789" s="25" t="str">
        <f>IFERROR(__xludf.DUMMYFUNCTION("""COMPUTED_VALUE"""),"Silvana Da Silva Pereira")</f>
        <v>Silvana Da Silva Pereira</v>
      </c>
    </row>
    <row r="790">
      <c r="A790" s="45">
        <f>IFERROR(__xludf.DUMMYFUNCTION("""COMPUTED_VALUE"""),46090.0)</f>
        <v>46090</v>
      </c>
      <c r="B790" s="46" t="str">
        <f>IFERROR(__xludf.DUMMYFUNCTION("""COMPUTED_VALUE"""),"MCC046UC0360")</f>
        <v>MCC046UC0360</v>
      </c>
      <c r="C790" s="47" t="str">
        <f>IFERROR(__xludf.DUMMYFUNCTION("""COMPUTED_VALUE"""),"FITA ADESIVA DUPLA FACE 12mm X 20m 4910 VHB 3M")</f>
        <v>FITA ADESIVA DUPLA FACE 12mm X 20m 4910 VHB 3M</v>
      </c>
      <c r="D790" s="48">
        <f>IFERROR(__xludf.DUMMYFUNCTION("""COMPUTED_VALUE"""),24.0)</f>
        <v>24</v>
      </c>
      <c r="E790" s="49" t="str">
        <f>IFERROR(__xludf.DUMMYFUNCTION("""COMPUTED_VALUE"""),"Entrada")</f>
        <v>Entrada</v>
      </c>
      <c r="F790" s="49"/>
      <c r="G790" s="39">
        <f t="array" ref="G790">XLOOKUP(B790,'Página9'!A:A,'Página9'!F:F,"")</f>
        <v>-124</v>
      </c>
      <c r="H790" s="39">
        <f t="array" ref="H790">XLOOKUP(B790,'Página9'!A:A,'Página9'!C:C,"")</f>
        <v>1</v>
      </c>
      <c r="I790" s="35" t="str">
        <f t="array" ref="I790">XLOOKUP(B790,'Página9'!A:A,'Página9'!G:G,"")</f>
        <v>REPOR ESTOQUE</v>
      </c>
      <c r="J790" s="25" t="str">
        <f t="shared" si="1"/>
        <v/>
      </c>
      <c r="K790" s="25" t="str">
        <f>IFERROR(__xludf.DUMMYFUNCTION("""COMPUTED_VALUE"""),"Silvana Da Silva Pereira")</f>
        <v>Silvana Da Silva Pereira</v>
      </c>
    </row>
    <row r="791">
      <c r="A791" s="45">
        <f>IFERROR(__xludf.DUMMYFUNCTION("""COMPUTED_VALUE"""),46090.0)</f>
        <v>46090</v>
      </c>
      <c r="B791" s="46" t="str">
        <f>IFERROR(__xludf.DUMMYFUNCTION("""COMPUTED_VALUE"""),"MCC046UC0596")</f>
        <v>MCC046UC0596</v>
      </c>
      <c r="C791" s="47" t="str">
        <f>IFERROR(__xludf.DUMMYFUNCTION("""COMPUTED_VALUE"""),"ETIQUETA ADESIVA COUCHE BRANCA   - 105X150MM SAS")</f>
        <v>ETIQUETA ADESIVA COUCHE BRANCA   - 105X150MM SAS</v>
      </c>
      <c r="D791" s="48">
        <f>IFERROR(__xludf.DUMMYFUNCTION("""COMPUTED_VALUE"""),10.0)</f>
        <v>10</v>
      </c>
      <c r="E791" s="49" t="str">
        <f>IFERROR(__xludf.DUMMYFUNCTION("""COMPUTED_VALUE"""),"Entrada")</f>
        <v>Entrada</v>
      </c>
      <c r="F791" s="49"/>
      <c r="G791" s="39">
        <f t="array" ref="G791">XLOOKUP(B791,'Página9'!A:A,'Página9'!F:F,"")</f>
        <v>157</v>
      </c>
      <c r="H791" s="39">
        <f t="array" ref="H791">XLOOKUP(B791,'Página9'!A:A,'Página9'!C:C,"")</f>
        <v>20</v>
      </c>
      <c r="I791" s="35" t="str">
        <f t="array" ref="I791">XLOOKUP(B791,'Página9'!A:A,'Página9'!G:G,"")</f>
        <v>OK</v>
      </c>
      <c r="J791" s="25" t="str">
        <f t="shared" si="1"/>
        <v/>
      </c>
      <c r="K791" s="25" t="str">
        <f>IFERROR(__xludf.DUMMYFUNCTION("""COMPUTED_VALUE"""),"Ana Virginia De Castro Costa")</f>
        <v>Ana Virginia De Castro Costa</v>
      </c>
    </row>
    <row r="792">
      <c r="A792" s="45">
        <f>IFERROR(__xludf.DUMMYFUNCTION("""COMPUTED_VALUE"""),46090.0)</f>
        <v>46090</v>
      </c>
      <c r="B792" s="46" t="str">
        <f>IFERROR(__xludf.DUMMYFUNCTION("""COMPUTED_VALUE"""),"MCC046UC0598")</f>
        <v>MCC046UC0598</v>
      </c>
      <c r="C792" s="47" t="str">
        <f>IFERROR(__xludf.DUMMYFUNCTION("""COMPUTED_VALUE"""),"ETIQUETA ADESIVA COUCHE AZUL - 105X150MM SAS")</f>
        <v>ETIQUETA ADESIVA COUCHE AZUL - 105X150MM SAS</v>
      </c>
      <c r="D792" s="48">
        <f>IFERROR(__xludf.DUMMYFUNCTION("""COMPUTED_VALUE"""),5.0)</f>
        <v>5</v>
      </c>
      <c r="E792" s="49" t="str">
        <f>IFERROR(__xludf.DUMMYFUNCTION("""COMPUTED_VALUE"""),"Entrada")</f>
        <v>Entrada</v>
      </c>
      <c r="F792" s="49"/>
      <c r="G792" s="39">
        <f t="array" ref="G792">XLOOKUP(B792,'Página9'!A:A,'Página9'!F:F,"")</f>
        <v>40</v>
      </c>
      <c r="H792" s="39">
        <f t="array" ref="H792">XLOOKUP(B792,'Página9'!A:A,'Página9'!C:C,"")</f>
        <v>5</v>
      </c>
      <c r="I792" s="35" t="str">
        <f t="array" ref="I792">XLOOKUP(B792,'Página9'!A:A,'Página9'!G:G,"")</f>
        <v>OK</v>
      </c>
      <c r="J792" s="25" t="str">
        <f t="shared" si="1"/>
        <v/>
      </c>
      <c r="K792" s="25" t="str">
        <f>IFERROR(__xludf.DUMMYFUNCTION("""COMPUTED_VALUE"""),"Silvana Da Silva Pereira")</f>
        <v>Silvana Da Silva Pereira</v>
      </c>
    </row>
    <row r="793">
      <c r="A793" s="45">
        <f>IFERROR(__xludf.DUMMYFUNCTION("""COMPUTED_VALUE"""),46090.0)</f>
        <v>46090</v>
      </c>
      <c r="B793" s="46" t="str">
        <f>IFERROR(__xludf.DUMMYFUNCTION("""COMPUTED_VALUE"""),"MCC046UC0598")</f>
        <v>MCC046UC0598</v>
      </c>
      <c r="C793" s="47" t="str">
        <f>IFERROR(__xludf.DUMMYFUNCTION("""COMPUTED_VALUE"""),"ETIQUETA ADESIVA COUCHE AZUL - 105X150MM SAS")</f>
        <v>ETIQUETA ADESIVA COUCHE AZUL - 105X150MM SAS</v>
      </c>
      <c r="D793" s="48">
        <f>IFERROR(__xludf.DUMMYFUNCTION("""COMPUTED_VALUE"""),4.0)</f>
        <v>4</v>
      </c>
      <c r="E793" s="49" t="str">
        <f>IFERROR(__xludf.DUMMYFUNCTION("""COMPUTED_VALUE"""),"Entrada")</f>
        <v>Entrada</v>
      </c>
      <c r="F793" s="49"/>
      <c r="G793" s="39">
        <f t="array" ref="G793">XLOOKUP(B793,'Página9'!A:A,'Página9'!F:F,"")</f>
        <v>40</v>
      </c>
      <c r="H793" s="39">
        <f t="array" ref="H793">XLOOKUP(B793,'Página9'!A:A,'Página9'!C:C,"")</f>
        <v>5</v>
      </c>
      <c r="I793" s="35" t="str">
        <f t="array" ref="I793">XLOOKUP(B793,'Página9'!A:A,'Página9'!G:G,"")</f>
        <v>OK</v>
      </c>
      <c r="J793" s="25" t="str">
        <f t="shared" si="1"/>
        <v/>
      </c>
      <c r="K793" s="25" t="str">
        <f>IFERROR(__xludf.DUMMYFUNCTION("""COMPUTED_VALUE"""),"Philipe Araujo Barroso")</f>
        <v>Philipe Araujo Barroso</v>
      </c>
    </row>
    <row r="794">
      <c r="A794" s="45">
        <f>IFERROR(__xludf.DUMMYFUNCTION("""COMPUTED_VALUE"""),46091.0)</f>
        <v>46091</v>
      </c>
      <c r="B794" s="46" t="str">
        <f>IFERROR(__xludf.DUMMYFUNCTION("""COMPUTED_VALUE"""),"MCC015UC0045")</f>
        <v>MCC015UC0045</v>
      </c>
      <c r="C794" s="47" t="str">
        <f>IFERROR(__xludf.DUMMYFUNCTION("""COMPUTED_VALUE"""),"FITA ADESIVA 69MM X 100M")</f>
        <v>FITA ADESIVA 69MM X 100M</v>
      </c>
      <c r="D794" s="48">
        <f>IFERROR(__xludf.DUMMYFUNCTION("""COMPUTED_VALUE"""),6.0)</f>
        <v>6</v>
      </c>
      <c r="E794" s="49" t="str">
        <f>IFERROR(__xludf.DUMMYFUNCTION("""COMPUTED_VALUE"""),"Entrada")</f>
        <v>Entrada</v>
      </c>
      <c r="F794" s="49"/>
      <c r="G794" s="39">
        <f t="array" ref="G794">XLOOKUP(B794,'Página9'!A:A,'Página9'!F:F,"")</f>
        <v>287</v>
      </c>
      <c r="H794" s="39">
        <f t="array" ref="H794">XLOOKUP(B794,'Página9'!A:A,'Página9'!C:C,"")</f>
        <v>20</v>
      </c>
      <c r="I794" s="35" t="str">
        <f t="array" ref="I794">XLOOKUP(B794,'Página9'!A:A,'Página9'!G:G,"")</f>
        <v>OK</v>
      </c>
      <c r="J794" s="25" t="str">
        <f t="shared" si="1"/>
        <v/>
      </c>
      <c r="K794" s="25" t="str">
        <f>IFERROR(__xludf.DUMMYFUNCTION("""COMPUTED_VALUE"""),"Philipe Araujo Barroso")</f>
        <v>Philipe Araujo Barroso</v>
      </c>
    </row>
    <row r="795">
      <c r="A795" s="45">
        <f>IFERROR(__xludf.DUMMYFUNCTION("""COMPUTED_VALUE"""),46091.0)</f>
        <v>46091</v>
      </c>
      <c r="B795" s="46" t="str">
        <f>IFERROR(__xludf.DUMMYFUNCTION("""COMPUTED_VALUE"""),"MCC015UC0045")</f>
        <v>MCC015UC0045</v>
      </c>
      <c r="C795" s="47" t="str">
        <f>IFERROR(__xludf.DUMMYFUNCTION("""COMPUTED_VALUE"""),"FITA ADESIVA 69MM X 100M")</f>
        <v>FITA ADESIVA 69MM X 100M</v>
      </c>
      <c r="D795" s="48">
        <f>IFERROR(__xludf.DUMMYFUNCTION("""COMPUTED_VALUE"""),8.0)</f>
        <v>8</v>
      </c>
      <c r="E795" s="49" t="str">
        <f>IFERROR(__xludf.DUMMYFUNCTION("""COMPUTED_VALUE"""),"Entrada")</f>
        <v>Entrada</v>
      </c>
      <c r="F795" s="49"/>
      <c r="G795" s="39">
        <f t="array" ref="G795">XLOOKUP(B795,'Página9'!A:A,'Página9'!F:F,"")</f>
        <v>287</v>
      </c>
      <c r="H795" s="39">
        <f t="array" ref="H795">XLOOKUP(B795,'Página9'!A:A,'Página9'!C:C,"")</f>
        <v>20</v>
      </c>
      <c r="I795" s="35" t="str">
        <f t="array" ref="I795">XLOOKUP(B795,'Página9'!A:A,'Página9'!G:G,"")</f>
        <v>OK</v>
      </c>
      <c r="J795" s="25" t="str">
        <f t="shared" si="1"/>
        <v/>
      </c>
      <c r="K795" s="25" t="str">
        <f>IFERROR(__xludf.DUMMYFUNCTION("""COMPUTED_VALUE"""),"Yago Rocha Fernandes")</f>
        <v>Yago Rocha Fernandes</v>
      </c>
    </row>
    <row r="796">
      <c r="A796" s="45">
        <f>IFERROR(__xludf.DUMMYFUNCTION("""COMPUTED_VALUE"""),46092.0)</f>
        <v>46092</v>
      </c>
      <c r="B796" s="46" t="str">
        <f>IFERROR(__xludf.DUMMYFUNCTION("""COMPUTED_VALUE"""),"MCC015UC0045")</f>
        <v>MCC015UC0045</v>
      </c>
      <c r="C796" s="47" t="str">
        <f>IFERROR(__xludf.DUMMYFUNCTION("""COMPUTED_VALUE"""),"FITA ADESIVA 69MM X 100M")</f>
        <v>FITA ADESIVA 69MM X 100M</v>
      </c>
      <c r="D796" s="48">
        <f>IFERROR(__xludf.DUMMYFUNCTION("""COMPUTED_VALUE"""),18.0)</f>
        <v>18</v>
      </c>
      <c r="E796" s="49" t="str">
        <f>IFERROR(__xludf.DUMMYFUNCTION("""COMPUTED_VALUE"""),"Entrada")</f>
        <v>Entrada</v>
      </c>
      <c r="F796" s="49"/>
      <c r="G796" s="39">
        <f t="array" ref="G796">XLOOKUP(B796,'Página9'!A:A,'Página9'!F:F,"")</f>
        <v>287</v>
      </c>
      <c r="H796" s="39">
        <f t="array" ref="H796">XLOOKUP(B796,'Página9'!A:A,'Página9'!C:C,"")</f>
        <v>20</v>
      </c>
      <c r="I796" s="35" t="str">
        <f t="array" ref="I796">XLOOKUP(B796,'Página9'!A:A,'Página9'!G:G,"")</f>
        <v>OK</v>
      </c>
      <c r="J796" s="25" t="str">
        <f t="shared" si="1"/>
        <v/>
      </c>
      <c r="K796" s="25" t="str">
        <f>IFERROR(__xludf.DUMMYFUNCTION("""COMPUTED_VALUE"""),"Philipe Araujo Barroso")</f>
        <v>Philipe Araujo Barroso</v>
      </c>
    </row>
    <row r="797">
      <c r="A797" s="45">
        <f>IFERROR(__xludf.DUMMYFUNCTION("""COMPUTED_VALUE"""),46092.0)</f>
        <v>46092</v>
      </c>
      <c r="B797" s="46" t="str">
        <f>IFERROR(__xludf.DUMMYFUNCTION("""COMPUTED_VALUE"""),"MCC046UC0638")</f>
        <v>MCC046UC0638</v>
      </c>
      <c r="C797" s="47" t="str">
        <f>IFERROR(__xludf.DUMMYFUNCTION("""COMPUTED_VALUE"""),"PILHA ALCALINA ELGIN PALITO AAA")</f>
        <v>PILHA ALCALINA ELGIN PALITO AAA</v>
      </c>
      <c r="D797" s="48">
        <f>IFERROR(__xludf.DUMMYFUNCTION("""COMPUTED_VALUE"""),4.0)</f>
        <v>4</v>
      </c>
      <c r="E797" s="49" t="str">
        <f>IFERROR(__xludf.DUMMYFUNCTION("""COMPUTED_VALUE"""),"Entrada")</f>
        <v>Entrada</v>
      </c>
      <c r="F797" s="49"/>
      <c r="G797" s="39">
        <f t="array" ref="G797">XLOOKUP(B797,'Página9'!A:A,'Página9'!F:F,"")</f>
        <v>32</v>
      </c>
      <c r="H797" s="39">
        <f t="array" ref="H797">XLOOKUP(B797,'Página9'!A:A,'Página9'!C:C,"")</f>
        <v>4</v>
      </c>
      <c r="I797" s="35" t="str">
        <f t="array" ref="I797">XLOOKUP(B797,'Página9'!A:A,'Página9'!G:G,"")</f>
        <v>OK</v>
      </c>
      <c r="J797" s="25" t="str">
        <f t="shared" si="1"/>
        <v/>
      </c>
      <c r="K797" s="25" t="str">
        <f>IFERROR(__xludf.DUMMYFUNCTION("""COMPUTED_VALUE"""),"Fabio Ferreira Pessoa")</f>
        <v>Fabio Ferreira Pessoa</v>
      </c>
    </row>
    <row r="798">
      <c r="A798" s="45">
        <f>IFERROR(__xludf.DUMMYFUNCTION("""COMPUTED_VALUE"""),46092.0)</f>
        <v>46092</v>
      </c>
      <c r="B798" s="46" t="str">
        <f>IFERROR(__xludf.DUMMYFUNCTION("""COMPUTED_VALUE"""),"MCC015UC0008")</f>
        <v>MCC015UC0008</v>
      </c>
      <c r="C798" s="47" t="str">
        <f>IFERROR(__xludf.DUMMYFUNCTION("""COMPUTED_VALUE"""),"FILME STRETCH 500X25")</f>
        <v>FILME STRETCH 500X25</v>
      </c>
      <c r="D798" s="48">
        <f>IFERROR(__xludf.DUMMYFUNCTION("""COMPUTED_VALUE"""),8.0)</f>
        <v>8</v>
      </c>
      <c r="E798" s="49" t="str">
        <f>IFERROR(__xludf.DUMMYFUNCTION("""COMPUTED_VALUE"""),"Entrada")</f>
        <v>Entrada</v>
      </c>
      <c r="F798" s="49"/>
      <c r="G798" s="39">
        <f t="array" ref="G798">XLOOKUP(B798,'Página9'!A:A,'Página9'!F:F,"")</f>
        <v>-158</v>
      </c>
      <c r="H798" s="39">
        <f t="array" ref="H798">XLOOKUP(B798,'Página9'!A:A,'Página9'!C:C,"")</f>
        <v>40</v>
      </c>
      <c r="I798" s="35" t="str">
        <f t="array" ref="I798">XLOOKUP(B798,'Página9'!A:A,'Página9'!G:G,"")</f>
        <v>REPOR ESTOQUE</v>
      </c>
      <c r="J798" s="25" t="str">
        <f t="shared" si="1"/>
        <v/>
      </c>
      <c r="K798" s="25" t="str">
        <f>IFERROR(__xludf.DUMMYFUNCTION("""COMPUTED_VALUE"""),"Yago Rocha Fernandes")</f>
        <v>Yago Rocha Fernandes</v>
      </c>
    </row>
    <row r="799">
      <c r="A799" s="45">
        <f>IFERROR(__xludf.DUMMYFUNCTION("""COMPUTED_VALUE"""),46092.0)</f>
        <v>46092</v>
      </c>
      <c r="B799" s="46" t="str">
        <f>IFERROR(__xludf.DUMMYFUNCTION("""COMPUTED_VALUE"""),"MCC046UC0659")</f>
        <v>MCC046UC0659</v>
      </c>
      <c r="C799" s="47" t="str">
        <f>IFERROR(__xludf.DUMMYFUNCTION("""COMPUTED_VALUE"""),"ETIQUETA 70MM PROFESSOR")</f>
        <v>ETIQUETA 70MM PROFESSOR</v>
      </c>
      <c r="D799" s="48">
        <f>IFERROR(__xludf.DUMMYFUNCTION("""COMPUTED_VALUE"""),5.0)</f>
        <v>5</v>
      </c>
      <c r="E799" s="49" t="str">
        <f>IFERROR(__xludf.DUMMYFUNCTION("""COMPUTED_VALUE"""),"Entrada")</f>
        <v>Entrada</v>
      </c>
      <c r="F799" s="49"/>
      <c r="G799" s="39">
        <f t="array" ref="G799">XLOOKUP(B799,'Página9'!A:A,'Página9'!F:F,"")</f>
        <v>25</v>
      </c>
      <c r="H799" s="39">
        <f t="array" ref="H799">XLOOKUP(B799,'Página9'!A:A,'Página9'!C:C,"")</f>
        <v>5</v>
      </c>
      <c r="I799" s="35" t="str">
        <f t="array" ref="I799">XLOOKUP(B799,'Página9'!A:A,'Página9'!G:G,"")</f>
        <v>OK</v>
      </c>
      <c r="J799" s="25" t="str">
        <f t="shared" si="1"/>
        <v/>
      </c>
      <c r="K799" s="25" t="str">
        <f>IFERROR(__xludf.DUMMYFUNCTION("""COMPUTED_VALUE"""),"Rubens Ribeiro Lisboa")</f>
        <v>Rubens Ribeiro Lisboa</v>
      </c>
    </row>
    <row r="800">
      <c r="A800" s="45">
        <f>IFERROR(__xludf.DUMMYFUNCTION("""COMPUTED_VALUE"""),46092.0)</f>
        <v>46092</v>
      </c>
      <c r="B800" s="46" t="str">
        <f>IFERROR(__xludf.DUMMYFUNCTION("""COMPUTED_VALUE"""),"MCC046UC0660")</f>
        <v>MCC046UC0660</v>
      </c>
      <c r="C800" s="47" t="str">
        <f>IFERROR(__xludf.DUMMYFUNCTION("""COMPUTED_VALUE"""),"ETIQUETA 70MM COORDENACAO")</f>
        <v>ETIQUETA 70MM COORDENACAO</v>
      </c>
      <c r="D800" s="48">
        <f>IFERROR(__xludf.DUMMYFUNCTION("""COMPUTED_VALUE"""),5.0)</f>
        <v>5</v>
      </c>
      <c r="E800" s="49" t="str">
        <f>IFERROR(__xludf.DUMMYFUNCTION("""COMPUTED_VALUE"""),"Entrada")</f>
        <v>Entrada</v>
      </c>
      <c r="F800" s="49"/>
      <c r="G800" s="39">
        <f t="array" ref="G800">XLOOKUP(B800,'Página9'!A:A,'Página9'!F:F,"")</f>
        <v>35</v>
      </c>
      <c r="H800" s="39">
        <f t="array" ref="H800">XLOOKUP(B800,'Página9'!A:A,'Página9'!C:C,"")</f>
        <v>5</v>
      </c>
      <c r="I800" s="35" t="str">
        <f t="array" ref="I800">XLOOKUP(B800,'Página9'!A:A,'Página9'!G:G,"")</f>
        <v>OK</v>
      </c>
      <c r="J800" s="25" t="str">
        <f t="shared" si="1"/>
        <v/>
      </c>
      <c r="K800" s="25" t="str">
        <f>IFERROR(__xludf.DUMMYFUNCTION("""COMPUTED_VALUE"""),"Rubens Ribeiro Lisboa")</f>
        <v>Rubens Ribeiro Lisboa</v>
      </c>
    </row>
    <row r="801">
      <c r="A801" s="45">
        <f>IFERROR(__xludf.DUMMYFUNCTION("""COMPUTED_VALUE"""),46092.0)</f>
        <v>46092</v>
      </c>
      <c r="B801" s="46" t="str">
        <f>IFERROR(__xludf.DUMMYFUNCTION("""COMPUTED_VALUE"""),"MCC046UC0596")</f>
        <v>MCC046UC0596</v>
      </c>
      <c r="C801" s="47" t="str">
        <f>IFERROR(__xludf.DUMMYFUNCTION("""COMPUTED_VALUE"""),"ETIQUETA ADESIVA COUCHE BRANCA   - 105X150MM SAS")</f>
        <v>ETIQUETA ADESIVA COUCHE BRANCA   - 105X150MM SAS</v>
      </c>
      <c r="D801" s="48">
        <f>IFERROR(__xludf.DUMMYFUNCTION("""COMPUTED_VALUE"""),10.0)</f>
        <v>10</v>
      </c>
      <c r="E801" s="49" t="str">
        <f>IFERROR(__xludf.DUMMYFUNCTION("""COMPUTED_VALUE"""),"Entrada")</f>
        <v>Entrada</v>
      </c>
      <c r="F801" s="49"/>
      <c r="G801" s="39">
        <f t="array" ref="G801">XLOOKUP(B801,'Página9'!A:A,'Página9'!F:F,"")</f>
        <v>157</v>
      </c>
      <c r="H801" s="39">
        <f t="array" ref="H801">XLOOKUP(B801,'Página9'!A:A,'Página9'!C:C,"")</f>
        <v>20</v>
      </c>
      <c r="I801" s="35" t="str">
        <f t="array" ref="I801">XLOOKUP(B801,'Página9'!A:A,'Página9'!G:G,"")</f>
        <v>OK</v>
      </c>
      <c r="J801" s="25" t="str">
        <f t="shared" si="1"/>
        <v/>
      </c>
      <c r="K801" s="25" t="str">
        <f>IFERROR(__xludf.DUMMYFUNCTION("""COMPUTED_VALUE"""),"Silvana Da Silva Pereira")</f>
        <v>Silvana Da Silva Pereira</v>
      </c>
    </row>
    <row r="802">
      <c r="A802" s="45">
        <f>IFERROR(__xludf.DUMMYFUNCTION("""COMPUTED_VALUE"""),46092.0)</f>
        <v>46092</v>
      </c>
      <c r="B802" s="46" t="str">
        <f>IFERROR(__xludf.DUMMYFUNCTION("""COMPUTED_VALUE"""),"MCC046UC0082")</f>
        <v>MCC046UC0082</v>
      </c>
      <c r="C802" s="47" t="str">
        <f>IFERROR(__xludf.DUMMYFUNCTION("""COMPUTED_VALUE"""),"PAPEL SULFITE A4 75G 500 FOLHAS")</f>
        <v>PAPEL SULFITE A4 75G 500 FOLHAS</v>
      </c>
      <c r="D802" s="48">
        <f>IFERROR(__xludf.DUMMYFUNCTION("""COMPUTED_VALUE"""),1.0)</f>
        <v>1</v>
      </c>
      <c r="E802" s="49" t="str">
        <f>IFERROR(__xludf.DUMMYFUNCTION("""COMPUTED_VALUE"""),"Entrada")</f>
        <v>Entrada</v>
      </c>
      <c r="F802" s="49"/>
      <c r="G802" s="39">
        <f t="array" ref="G802">XLOOKUP(B802,'Página9'!A:A,'Página9'!F:F,"")</f>
        <v>163</v>
      </c>
      <c r="H802" s="39">
        <f t="array" ref="H802">XLOOKUP(B802,'Página9'!A:A,'Página9'!C:C,"")</f>
        <v>10</v>
      </c>
      <c r="I802" s="35" t="str">
        <f t="array" ref="I802">XLOOKUP(B802,'Página9'!A:A,'Página9'!G:G,"")</f>
        <v>OK</v>
      </c>
      <c r="J802" s="25" t="str">
        <f t="shared" si="1"/>
        <v/>
      </c>
      <c r="K802" s="25" t="str">
        <f>IFERROR(__xludf.DUMMYFUNCTION("""COMPUTED_VALUE"""),"Suellen Aguiar Da Silva")</f>
        <v>Suellen Aguiar Da Silva</v>
      </c>
    </row>
    <row r="803">
      <c r="A803" s="45">
        <f>IFERROR(__xludf.DUMMYFUNCTION("""COMPUTED_VALUE"""),46092.0)</f>
        <v>46092</v>
      </c>
      <c r="B803" s="46" t="str">
        <f>IFERROR(__xludf.DUMMYFUNCTION("""COMPUTED_VALUE"""),"EMC015MO0001")</f>
        <v>EMC015MO0001</v>
      </c>
      <c r="C803" s="47" t="str">
        <f>IFERROR(__xludf.DUMMYFUNCTION("""COMPUTED_VALUE"""),"RIBBON CERA PRETO 110MMX300M")</f>
        <v>RIBBON CERA PRETO 110MMX300M</v>
      </c>
      <c r="D803" s="48">
        <f>IFERROR(__xludf.DUMMYFUNCTION("""COMPUTED_VALUE"""),1.0)</f>
        <v>1</v>
      </c>
      <c r="E803" s="49" t="str">
        <f>IFERROR(__xludf.DUMMYFUNCTION("""COMPUTED_VALUE"""),"Entrada")</f>
        <v>Entrada</v>
      </c>
      <c r="F803" s="49"/>
      <c r="G803" s="39">
        <f t="array" ref="G803">XLOOKUP(B803,'Página9'!A:A,'Página9'!F:F,"")</f>
        <v>390</v>
      </c>
      <c r="H803" s="39">
        <f t="array" ref="H803">XLOOKUP(B803,'Página9'!A:A,'Página9'!C:C,"")</f>
        <v>5</v>
      </c>
      <c r="I803" s="35" t="str">
        <f t="array" ref="I803">XLOOKUP(B803,'Página9'!A:A,'Página9'!G:G,"")</f>
        <v>OK</v>
      </c>
      <c r="J803" s="25" t="str">
        <f t="shared" si="1"/>
        <v/>
      </c>
      <c r="K803" s="25" t="str">
        <f>IFERROR(__xludf.DUMMYFUNCTION("""COMPUTED_VALUE"""),"Suellen Aguiar Da Silva")</f>
        <v>Suellen Aguiar Da Silva</v>
      </c>
    </row>
    <row r="804">
      <c r="A804" s="45">
        <f>IFERROR(__xludf.DUMMYFUNCTION("""COMPUTED_VALUE"""),46092.0)</f>
        <v>46092</v>
      </c>
      <c r="B804" s="46" t="str">
        <f>IFERROR(__xludf.DUMMYFUNCTION("""COMPUTED_VALUE"""),"MCC046UC0687")</f>
        <v>MCC046UC0687</v>
      </c>
      <c r="C804" s="47" t="str">
        <f>IFERROR(__xludf.DUMMYFUNCTION("""COMPUTED_VALUE"""),"ETIQUETA COUCHE - 100X100X 1")</f>
        <v>ETIQUETA COUCHE - 100X100X 1</v>
      </c>
      <c r="D804" s="48">
        <f>IFERROR(__xludf.DUMMYFUNCTION("""COMPUTED_VALUE"""),1.0)</f>
        <v>1</v>
      </c>
      <c r="E804" s="49" t="str">
        <f>IFERROR(__xludf.DUMMYFUNCTION("""COMPUTED_VALUE"""),"Entrada")</f>
        <v>Entrada</v>
      </c>
      <c r="F804" s="49"/>
      <c r="G804" s="39">
        <f t="array" ref="G804">XLOOKUP(B804,'Página9'!A:A,'Página9'!F:F,"")</f>
        <v>335</v>
      </c>
      <c r="H804" s="39">
        <f t="array" ref="H804">XLOOKUP(B804,'Página9'!A:A,'Página9'!C:C,"")</f>
        <v>20</v>
      </c>
      <c r="I804" s="35" t="str">
        <f t="array" ref="I804">XLOOKUP(B804,'Página9'!A:A,'Página9'!G:G,"")</f>
        <v>OK</v>
      </c>
      <c r="J804" s="25" t="str">
        <f t="shared" si="1"/>
        <v/>
      </c>
      <c r="K804" s="25" t="str">
        <f>IFERROR(__xludf.DUMMYFUNCTION("""COMPUTED_VALUE"""),"Suellen Aguiar Da Silva")</f>
        <v>Suellen Aguiar Da Silva</v>
      </c>
    </row>
    <row r="805">
      <c r="A805" s="45">
        <f>IFERROR(__xludf.DUMMYFUNCTION("""COMPUTED_VALUE"""),46093.0)</f>
        <v>46093</v>
      </c>
      <c r="B805" s="46" t="str">
        <f>IFERROR(__xludf.DUMMYFUNCTION("""COMPUTED_VALUE"""),"MCC046UC0216")</f>
        <v>MCC046UC0216</v>
      </c>
      <c r="C805" s="47" t="str">
        <f>IFERROR(__xludf.DUMMYFUNCTION("""COMPUTED_VALUE"""),"CANETA ESFEROGRAFICA ECONOMIC PRETA BIC")</f>
        <v>CANETA ESFEROGRAFICA ECONOMIC PRETA BIC</v>
      </c>
      <c r="D805" s="48">
        <f>IFERROR(__xludf.DUMMYFUNCTION("""COMPUTED_VALUE"""),1.0)</f>
        <v>1</v>
      </c>
      <c r="E805" s="49" t="str">
        <f>IFERROR(__xludf.DUMMYFUNCTION("""COMPUTED_VALUE"""),"Entrada")</f>
        <v>Entrada</v>
      </c>
      <c r="F805" s="49"/>
      <c r="G805" s="39">
        <f t="array" ref="G805">XLOOKUP(B805,'Página9'!A:A,'Página9'!F:F,"")</f>
        <v>89</v>
      </c>
      <c r="H805" s="39">
        <f t="array" ref="H805">XLOOKUP(B805,'Página9'!A:A,'Página9'!C:C,"")</f>
        <v>15</v>
      </c>
      <c r="I805" s="35" t="str">
        <f t="array" ref="I805">XLOOKUP(B805,'Página9'!A:A,'Página9'!G:G,"")</f>
        <v>OK</v>
      </c>
      <c r="J805" s="25" t="str">
        <f t="shared" si="1"/>
        <v/>
      </c>
      <c r="K805" s="25" t="str">
        <f>IFERROR(__xludf.DUMMYFUNCTION("""COMPUTED_VALUE"""),"Francisco Samuel Trindade Nascimento")</f>
        <v>Francisco Samuel Trindade Nascimento</v>
      </c>
    </row>
    <row r="806">
      <c r="A806" s="45">
        <f>IFERROR(__xludf.DUMMYFUNCTION("""COMPUTED_VALUE"""),46093.0)</f>
        <v>46093</v>
      </c>
      <c r="B806" s="46" t="str">
        <f>IFERROR(__xludf.DUMMYFUNCTION("""COMPUTED_VALUE"""),"EMC015MO0001")</f>
        <v>EMC015MO0001</v>
      </c>
      <c r="C806" s="47" t="str">
        <f>IFERROR(__xludf.DUMMYFUNCTION("""COMPUTED_VALUE"""),"RIBBON CERA PRETO 110MMX300M")</f>
        <v>RIBBON CERA PRETO 110MMX300M</v>
      </c>
      <c r="D806" s="48">
        <f>IFERROR(__xludf.DUMMYFUNCTION("""COMPUTED_VALUE"""),24.0)</f>
        <v>24</v>
      </c>
      <c r="E806" s="49" t="str">
        <f>IFERROR(__xludf.DUMMYFUNCTION("""COMPUTED_VALUE"""),"Entrada")</f>
        <v>Entrada</v>
      </c>
      <c r="F806" s="49"/>
      <c r="G806" s="39">
        <f t="array" ref="G806">XLOOKUP(B806,'Página9'!A:A,'Página9'!F:F,"")</f>
        <v>390</v>
      </c>
      <c r="H806" s="39">
        <f t="array" ref="H806">XLOOKUP(B806,'Página9'!A:A,'Página9'!C:C,"")</f>
        <v>5</v>
      </c>
      <c r="I806" s="35" t="str">
        <f t="array" ref="I806">XLOOKUP(B806,'Página9'!A:A,'Página9'!G:G,"")</f>
        <v>OK</v>
      </c>
      <c r="J806" s="25" t="str">
        <f t="shared" si="1"/>
        <v/>
      </c>
      <c r="K806" s="25" t="str">
        <f>IFERROR(__xludf.DUMMYFUNCTION("""COMPUTED_VALUE"""),"Rubens Ribeiro Lisboa")</f>
        <v>Rubens Ribeiro Lisboa</v>
      </c>
    </row>
    <row r="807">
      <c r="A807" s="45">
        <f>IFERROR(__xludf.DUMMYFUNCTION("""COMPUTED_VALUE"""),46093.0)</f>
        <v>46093</v>
      </c>
      <c r="B807" s="46" t="str">
        <f>IFERROR(__xludf.DUMMYFUNCTION("""COMPUTED_VALUE"""),"EMC015MO0001")</f>
        <v>EMC015MO0001</v>
      </c>
      <c r="C807" s="47" t="str">
        <f>IFERROR(__xludf.DUMMYFUNCTION("""COMPUTED_VALUE"""),"RIBBON CERA PRETO 110MMX300M")</f>
        <v>RIBBON CERA PRETO 110MMX300M</v>
      </c>
      <c r="D807" s="48">
        <f>IFERROR(__xludf.DUMMYFUNCTION("""COMPUTED_VALUE"""),14.0)</f>
        <v>14</v>
      </c>
      <c r="E807" s="49" t="str">
        <f>IFERROR(__xludf.DUMMYFUNCTION("""COMPUTED_VALUE"""),"Entrada")</f>
        <v>Entrada</v>
      </c>
      <c r="F807" s="49"/>
      <c r="G807" s="39">
        <f t="array" ref="G807">XLOOKUP(B807,'Página9'!A:A,'Página9'!F:F,"")</f>
        <v>390</v>
      </c>
      <c r="H807" s="39">
        <f t="array" ref="H807">XLOOKUP(B807,'Página9'!A:A,'Página9'!C:C,"")</f>
        <v>5</v>
      </c>
      <c r="I807" s="35" t="str">
        <f t="array" ref="I807">XLOOKUP(B807,'Página9'!A:A,'Página9'!G:G,"")</f>
        <v>OK</v>
      </c>
      <c r="J807" s="25" t="str">
        <f t="shared" si="1"/>
        <v/>
      </c>
      <c r="K807" s="25" t="str">
        <f>IFERROR(__xludf.DUMMYFUNCTION("""COMPUTED_VALUE"""),"Rubens Ribeiro Lisboa")</f>
        <v>Rubens Ribeiro Lisboa</v>
      </c>
    </row>
    <row r="808">
      <c r="A808" s="45">
        <f>IFERROR(__xludf.DUMMYFUNCTION("""COMPUTED_VALUE"""),46093.0)</f>
        <v>46093</v>
      </c>
      <c r="B808" s="46" t="str">
        <f>IFERROR(__xludf.DUMMYFUNCTION("""COMPUTED_VALUE"""),"MCC046UC0360")</f>
        <v>MCC046UC0360</v>
      </c>
      <c r="C808" s="47" t="str">
        <f>IFERROR(__xludf.DUMMYFUNCTION("""COMPUTED_VALUE"""),"FITA ADESIVA DUPLA FACE 12mm X 20m 4910 VHB 3M")</f>
        <v>FITA ADESIVA DUPLA FACE 12mm X 20m 4910 VHB 3M</v>
      </c>
      <c r="D808" s="48">
        <f>IFERROR(__xludf.DUMMYFUNCTION("""COMPUTED_VALUE"""),24.0)</f>
        <v>24</v>
      </c>
      <c r="E808" s="49" t="str">
        <f>IFERROR(__xludf.DUMMYFUNCTION("""COMPUTED_VALUE"""),"Entrada")</f>
        <v>Entrada</v>
      </c>
      <c r="F808" s="49"/>
      <c r="G808" s="39">
        <f t="array" ref="G808">XLOOKUP(B808,'Página9'!A:A,'Página9'!F:F,"")</f>
        <v>-124</v>
      </c>
      <c r="H808" s="39">
        <f t="array" ref="H808">XLOOKUP(B808,'Página9'!A:A,'Página9'!C:C,"")</f>
        <v>1</v>
      </c>
      <c r="I808" s="35" t="str">
        <f t="array" ref="I808">XLOOKUP(B808,'Página9'!A:A,'Página9'!G:G,"")</f>
        <v>REPOR ESTOQUE</v>
      </c>
      <c r="J808" s="25" t="str">
        <f t="shared" si="1"/>
        <v/>
      </c>
      <c r="K808" s="25" t="str">
        <f>IFERROR(__xludf.DUMMYFUNCTION("""COMPUTED_VALUE"""),"Silvana Da Silva Pereira")</f>
        <v>Silvana Da Silva Pereira</v>
      </c>
    </row>
    <row r="809">
      <c r="A809" s="45">
        <f>IFERROR(__xludf.DUMMYFUNCTION("""COMPUTED_VALUE"""),46093.0)</f>
        <v>46093</v>
      </c>
      <c r="B809" s="46" t="str">
        <f>IFERROR(__xludf.DUMMYFUNCTION("""COMPUTED_VALUE"""),"MCC015UC0045")</f>
        <v>MCC015UC0045</v>
      </c>
      <c r="C809" s="47" t="str">
        <f>IFERROR(__xludf.DUMMYFUNCTION("""COMPUTED_VALUE"""),"FITA ADESIVA 69MM X 100M")</f>
        <v>FITA ADESIVA 69MM X 100M</v>
      </c>
      <c r="D809" s="48">
        <f>IFERROR(__xludf.DUMMYFUNCTION("""COMPUTED_VALUE"""),24.0)</f>
        <v>24</v>
      </c>
      <c r="E809" s="49" t="str">
        <f>IFERROR(__xludf.DUMMYFUNCTION("""COMPUTED_VALUE"""),"Entrada")</f>
        <v>Entrada</v>
      </c>
      <c r="F809" s="49"/>
      <c r="G809" s="39">
        <f t="array" ref="G809">XLOOKUP(B809,'Página9'!A:A,'Página9'!F:F,"")</f>
        <v>287</v>
      </c>
      <c r="H809" s="39">
        <f t="array" ref="H809">XLOOKUP(B809,'Página9'!A:A,'Página9'!C:C,"")</f>
        <v>20</v>
      </c>
      <c r="I809" s="35" t="str">
        <f t="array" ref="I809">XLOOKUP(B809,'Página9'!A:A,'Página9'!G:G,"")</f>
        <v>OK</v>
      </c>
      <c r="J809" s="25" t="str">
        <f t="shared" si="1"/>
        <v/>
      </c>
      <c r="K809" s="25" t="str">
        <f>IFERROR(__xludf.DUMMYFUNCTION("""COMPUTED_VALUE"""),"Philipe Araujo Barroso")</f>
        <v>Philipe Araujo Barroso</v>
      </c>
    </row>
    <row r="810">
      <c r="A810" s="45">
        <f>IFERROR(__xludf.DUMMYFUNCTION("""COMPUTED_VALUE"""),46093.0)</f>
        <v>46093</v>
      </c>
      <c r="B810" s="46" t="str">
        <f>IFERROR(__xludf.DUMMYFUNCTION("""COMPUTED_VALUE"""),"MCC046UC0695")</f>
        <v>MCC046UC0695</v>
      </c>
      <c r="C810" s="47" t="str">
        <f>IFERROR(__xludf.DUMMYFUNCTION("""COMPUTED_VALUE"""),"ETIQUETA COUCHE 98X50X1")</f>
        <v>ETIQUETA COUCHE 98X50X1</v>
      </c>
      <c r="D810" s="48">
        <f>IFERROR(__xludf.DUMMYFUNCTION("""COMPUTED_VALUE"""),30.0)</f>
        <v>30</v>
      </c>
      <c r="E810" s="49" t="str">
        <f>IFERROR(__xludf.DUMMYFUNCTION("""COMPUTED_VALUE"""),"Entrada")</f>
        <v>Entrada</v>
      </c>
      <c r="F810" s="49"/>
      <c r="G810" s="39">
        <f t="array" ref="G810">XLOOKUP(B810,'Página9'!A:A,'Página9'!F:F,"")</f>
        <v>256</v>
      </c>
      <c r="H810" s="39">
        <f t="array" ref="H810">XLOOKUP(B810,'Página9'!A:A,'Página9'!C:C,"")</f>
        <v>20</v>
      </c>
      <c r="I810" s="35" t="str">
        <f t="array" ref="I810">XLOOKUP(B810,'Página9'!A:A,'Página9'!G:G,"")</f>
        <v>OK</v>
      </c>
      <c r="J810" s="25" t="str">
        <f t="shared" si="1"/>
        <v/>
      </c>
      <c r="K810" s="25" t="str">
        <f>IFERROR(__xludf.DUMMYFUNCTION("""COMPUTED_VALUE"""),"Jose Antoniel Silva Mesquita")</f>
        <v>Jose Antoniel Silva Mesquita</v>
      </c>
    </row>
    <row r="811">
      <c r="A811" s="45">
        <f>IFERROR(__xludf.DUMMYFUNCTION("""COMPUTED_VALUE"""),46094.0)</f>
        <v>46094</v>
      </c>
      <c r="B811" s="46" t="str">
        <f>IFERROR(__xludf.DUMMYFUNCTION("""COMPUTED_VALUE"""),"MCC046UC0596")</f>
        <v>MCC046UC0596</v>
      </c>
      <c r="C811" s="47" t="str">
        <f>IFERROR(__xludf.DUMMYFUNCTION("""COMPUTED_VALUE"""),"ETIQUETA ADESIVA COUCHE BRANCA   - 105X150MM SAS")</f>
        <v>ETIQUETA ADESIVA COUCHE BRANCA   - 105X150MM SAS</v>
      </c>
      <c r="D811" s="48">
        <f>IFERROR(__xludf.DUMMYFUNCTION("""COMPUTED_VALUE"""),10.0)</f>
        <v>10</v>
      </c>
      <c r="E811" s="49" t="str">
        <f>IFERROR(__xludf.DUMMYFUNCTION("""COMPUTED_VALUE"""),"Entrada")</f>
        <v>Entrada</v>
      </c>
      <c r="F811" s="49"/>
      <c r="G811" s="39">
        <f t="array" ref="G811">XLOOKUP(B811,'Página9'!A:A,'Página9'!F:F,"")</f>
        <v>157</v>
      </c>
      <c r="H811" s="39">
        <f t="array" ref="H811">XLOOKUP(B811,'Página9'!A:A,'Página9'!C:C,"")</f>
        <v>20</v>
      </c>
      <c r="I811" s="35" t="str">
        <f t="array" ref="I811">XLOOKUP(B811,'Página9'!A:A,'Página9'!G:G,"")</f>
        <v>OK</v>
      </c>
      <c r="J811" s="25" t="str">
        <f t="shared" si="1"/>
        <v/>
      </c>
      <c r="K811" s="25" t="str">
        <f>IFERROR(__xludf.DUMMYFUNCTION("""COMPUTED_VALUE"""),"Jose Edervanio Lima Mateus")</f>
        <v>Jose Edervanio Lima Mateus</v>
      </c>
    </row>
    <row r="812">
      <c r="A812" s="45">
        <f>IFERROR(__xludf.DUMMYFUNCTION("""COMPUTED_VALUE"""),46094.0)</f>
        <v>46094</v>
      </c>
      <c r="B812" s="46" t="str">
        <f>IFERROR(__xludf.DUMMYFUNCTION("""COMPUTED_VALUE"""),"MCC015UC0047")</f>
        <v>MCC015UC0047</v>
      </c>
      <c r="C812" s="47" t="str">
        <f>IFERROR(__xludf.DUMMYFUNCTION("""COMPUTED_VALUE"""),"ETIQUETA CORTESIA")</f>
        <v>ETIQUETA CORTESIA</v>
      </c>
      <c r="D812" s="48">
        <f>IFERROR(__xludf.DUMMYFUNCTION("""COMPUTED_VALUE"""),8.0)</f>
        <v>8</v>
      </c>
      <c r="E812" s="49" t="str">
        <f>IFERROR(__xludf.DUMMYFUNCTION("""COMPUTED_VALUE"""),"Entrada")</f>
        <v>Entrada</v>
      </c>
      <c r="F812" s="49"/>
      <c r="G812" s="39">
        <f t="array" ref="G812">XLOOKUP(B812,'Página9'!A:A,'Página9'!F:F,"")</f>
        <v>7</v>
      </c>
      <c r="H812" s="39">
        <f t="array" ref="H812">XLOOKUP(B812,'Página9'!A:A,'Página9'!C:C,"")</f>
        <v>5</v>
      </c>
      <c r="I812" s="35" t="str">
        <f t="array" ref="I812">XLOOKUP(B812,'Página9'!A:A,'Página9'!G:G,"")</f>
        <v>OK</v>
      </c>
      <c r="J812" s="25" t="str">
        <f t="shared" si="1"/>
        <v/>
      </c>
      <c r="K812" s="25" t="str">
        <f>IFERROR(__xludf.DUMMYFUNCTION("""COMPUTED_VALUE"""),"Philipe Araujo Barroso")</f>
        <v>Philipe Araujo Barroso</v>
      </c>
    </row>
    <row r="813">
      <c r="A813" s="45">
        <f>IFERROR(__xludf.DUMMYFUNCTION("""COMPUTED_VALUE"""),46094.0)</f>
        <v>46094</v>
      </c>
      <c r="B813" s="46" t="str">
        <f>IFERROR(__xludf.DUMMYFUNCTION("""COMPUTED_VALUE"""),"MCC046UC0596")</f>
        <v>MCC046UC0596</v>
      </c>
      <c r="C813" s="47" t="str">
        <f>IFERROR(__xludf.DUMMYFUNCTION("""COMPUTED_VALUE"""),"ETIQUETA ADESIVA COUCHE BRANCA   - 105X150MM SAS")</f>
        <v>ETIQUETA ADESIVA COUCHE BRANCA   - 105X150MM SAS</v>
      </c>
      <c r="D813" s="48">
        <f>IFERROR(__xludf.DUMMYFUNCTION("""COMPUTED_VALUE"""),8.0)</f>
        <v>8</v>
      </c>
      <c r="E813" s="49" t="str">
        <f>IFERROR(__xludf.DUMMYFUNCTION("""COMPUTED_VALUE"""),"Entrada")</f>
        <v>Entrada</v>
      </c>
      <c r="F813" s="49"/>
      <c r="G813" s="39">
        <f t="array" ref="G813">XLOOKUP(B813,'Página9'!A:A,'Página9'!F:F,"")</f>
        <v>157</v>
      </c>
      <c r="H813" s="39">
        <f t="array" ref="H813">XLOOKUP(B813,'Página9'!A:A,'Página9'!C:C,"")</f>
        <v>20</v>
      </c>
      <c r="I813" s="35" t="str">
        <f t="array" ref="I813">XLOOKUP(B813,'Página9'!A:A,'Página9'!G:G,"")</f>
        <v>OK</v>
      </c>
      <c r="J813" s="25" t="str">
        <f t="shared" si="1"/>
        <v/>
      </c>
      <c r="K813" s="25" t="str">
        <f>IFERROR(__xludf.DUMMYFUNCTION("""COMPUTED_VALUE"""),"Rejane Fontes De Sousa")</f>
        <v>Rejane Fontes De Sousa</v>
      </c>
    </row>
    <row r="814">
      <c r="A814" s="45">
        <f>IFERROR(__xludf.DUMMYFUNCTION("""COMPUTED_VALUE"""),46094.0)</f>
        <v>46094</v>
      </c>
      <c r="B814" s="46" t="str">
        <f>IFERROR(__xludf.DUMMYFUNCTION("""COMPUTED_VALUE"""),"MCC015UC0045")</f>
        <v>MCC015UC0045</v>
      </c>
      <c r="C814" s="47" t="str">
        <f>IFERROR(__xludf.DUMMYFUNCTION("""COMPUTED_VALUE"""),"FITA ADESIVA 69MM X 100M")</f>
        <v>FITA ADESIVA 69MM X 100M</v>
      </c>
      <c r="D814" s="48">
        <f>IFERROR(__xludf.DUMMYFUNCTION("""COMPUTED_VALUE"""),4.0)</f>
        <v>4</v>
      </c>
      <c r="E814" s="49" t="str">
        <f>IFERROR(__xludf.DUMMYFUNCTION("""COMPUTED_VALUE"""),"Entrada")</f>
        <v>Entrada</v>
      </c>
      <c r="F814" s="49"/>
      <c r="G814" s="39">
        <f t="array" ref="G814">XLOOKUP(B814,'Página9'!A:A,'Página9'!F:F,"")</f>
        <v>287</v>
      </c>
      <c r="H814" s="39">
        <f t="array" ref="H814">XLOOKUP(B814,'Página9'!A:A,'Página9'!C:C,"")</f>
        <v>20</v>
      </c>
      <c r="I814" s="35" t="str">
        <f t="array" ref="I814">XLOOKUP(B814,'Página9'!A:A,'Página9'!G:G,"")</f>
        <v>OK</v>
      </c>
      <c r="J814" s="25" t="str">
        <f t="shared" si="1"/>
        <v/>
      </c>
      <c r="K814" s="25" t="str">
        <f>IFERROR(__xludf.DUMMYFUNCTION("""COMPUTED_VALUE"""),"Matheus De Almeida Rodrigues")</f>
        <v>Matheus De Almeida Rodrigues</v>
      </c>
    </row>
    <row r="815">
      <c r="A815" s="45">
        <f>IFERROR(__xludf.DUMMYFUNCTION("""COMPUTED_VALUE"""),46094.0)</f>
        <v>46094</v>
      </c>
      <c r="B815" s="46" t="str">
        <f>IFERROR(__xludf.DUMMYFUNCTION("""COMPUTED_VALUE"""),"MCC015UC0045")</f>
        <v>MCC015UC0045</v>
      </c>
      <c r="C815" s="47" t="str">
        <f>IFERROR(__xludf.DUMMYFUNCTION("""COMPUTED_VALUE"""),"FITA ADESIVA 69MM X 100M")</f>
        <v>FITA ADESIVA 69MM X 100M</v>
      </c>
      <c r="D815" s="48">
        <f>IFERROR(__xludf.DUMMYFUNCTION("""COMPUTED_VALUE"""),24.0)</f>
        <v>24</v>
      </c>
      <c r="E815" s="49" t="str">
        <f>IFERROR(__xludf.DUMMYFUNCTION("""COMPUTED_VALUE"""),"Entrada")</f>
        <v>Entrada</v>
      </c>
      <c r="F815" s="49"/>
      <c r="G815" s="39">
        <f t="array" ref="G815">XLOOKUP(B815,'Página9'!A:A,'Página9'!F:F,"")</f>
        <v>287</v>
      </c>
      <c r="H815" s="39">
        <f t="array" ref="H815">XLOOKUP(B815,'Página9'!A:A,'Página9'!C:C,"")</f>
        <v>20</v>
      </c>
      <c r="I815" s="35" t="str">
        <f t="array" ref="I815">XLOOKUP(B815,'Página9'!A:A,'Página9'!G:G,"")</f>
        <v>OK</v>
      </c>
      <c r="J815" s="25" t="str">
        <f t="shared" si="1"/>
        <v/>
      </c>
      <c r="K815" s="25" t="str">
        <f>IFERROR(__xludf.DUMMYFUNCTION("""COMPUTED_VALUE"""),"Rejane Fontes De Sousa")</f>
        <v>Rejane Fontes De Sousa</v>
      </c>
    </row>
    <row r="816">
      <c r="A816" s="45">
        <f>IFERROR(__xludf.DUMMYFUNCTION("""COMPUTED_VALUE"""),46097.0)</f>
        <v>46097</v>
      </c>
      <c r="B816" s="46" t="str">
        <f>IFERROR(__xludf.DUMMYFUNCTION("""COMPUTED_VALUE"""),"MCC046UC0639")</f>
        <v>MCC046UC0639</v>
      </c>
      <c r="C816" s="47" t="str">
        <f>IFERROR(__xludf.DUMMYFUNCTION("""COMPUTED_VALUE"""),"PILHA ALCALINA ELGIN PEQ.AA")</f>
        <v>PILHA ALCALINA ELGIN PEQ.AA</v>
      </c>
      <c r="D816" s="48">
        <f>IFERROR(__xludf.DUMMYFUNCTION("""COMPUTED_VALUE"""),1.0)</f>
        <v>1</v>
      </c>
      <c r="E816" s="49" t="str">
        <f>IFERROR(__xludf.DUMMYFUNCTION("""COMPUTED_VALUE"""),"Entrada")</f>
        <v>Entrada</v>
      </c>
      <c r="F816" s="49"/>
      <c r="G816" s="39">
        <f t="array" ref="G816">XLOOKUP(B816,'Página9'!A:A,'Página9'!F:F,"")</f>
        <v>-5</v>
      </c>
      <c r="H816" s="39">
        <f t="array" ref="H816">XLOOKUP(B816,'Página9'!A:A,'Página9'!C:C,"")</f>
        <v>4</v>
      </c>
      <c r="I816" s="35" t="str">
        <f t="array" ref="I816">XLOOKUP(B816,'Página9'!A:A,'Página9'!G:G,"")</f>
        <v>REPOR ESTOQUE</v>
      </c>
      <c r="J816" s="25" t="str">
        <f t="shared" si="1"/>
        <v/>
      </c>
      <c r="K816" s="25" t="str">
        <f>IFERROR(__xludf.DUMMYFUNCTION("""COMPUTED_VALUE"""),"Carlos Henrique Gomes De Lima")</f>
        <v>Carlos Henrique Gomes De Lima</v>
      </c>
    </row>
    <row r="817">
      <c r="A817" s="45">
        <f>IFERROR(__xludf.DUMMYFUNCTION("""COMPUTED_VALUE"""),46097.0)</f>
        <v>46097</v>
      </c>
      <c r="B817" s="46" t="str">
        <f>IFERROR(__xludf.DUMMYFUNCTION("""COMPUTED_VALUE"""),"MCC049UC0288")</f>
        <v>MCC049UC0288</v>
      </c>
      <c r="C817" s="47" t="str">
        <f>IFERROR(__xludf.DUMMYFUNCTION("""COMPUTED_VALUE"""),"FITILHO POLIPROPILENO P/EMBALAGEM")</f>
        <v>FITILHO POLIPROPILENO P/EMBALAGEM</v>
      </c>
      <c r="D817" s="48">
        <f>IFERROR(__xludf.DUMMYFUNCTION("""COMPUTED_VALUE"""),4.0)</f>
        <v>4</v>
      </c>
      <c r="E817" s="49" t="str">
        <f>IFERROR(__xludf.DUMMYFUNCTION("""COMPUTED_VALUE"""),"Entrada")</f>
        <v>Entrada</v>
      </c>
      <c r="F817" s="49"/>
      <c r="G817" s="39">
        <f t="array" ref="G817">XLOOKUP(B817,'Página9'!A:A,'Página9'!F:F,"")</f>
        <v>-24</v>
      </c>
      <c r="H817" s="39">
        <f t="array" ref="H817">XLOOKUP(B817,'Página9'!A:A,'Página9'!C:C,"")</f>
        <v>2</v>
      </c>
      <c r="I817" s="35" t="str">
        <f t="array" ref="I817">XLOOKUP(B817,'Página9'!A:A,'Página9'!G:G,"")</f>
        <v>REPOR ESTOQUE</v>
      </c>
      <c r="J817" s="25" t="str">
        <f t="shared" si="1"/>
        <v/>
      </c>
      <c r="K817" s="25" t="str">
        <f>IFERROR(__xludf.DUMMYFUNCTION("""COMPUTED_VALUE"""),"Rejane Fontes De Sousa")</f>
        <v>Rejane Fontes De Sousa</v>
      </c>
    </row>
    <row r="818">
      <c r="A818" s="45">
        <f>IFERROR(__xludf.DUMMYFUNCTION("""COMPUTED_VALUE"""),46097.0)</f>
        <v>46097</v>
      </c>
      <c r="B818" s="46" t="str">
        <f>IFERROR(__xludf.DUMMYFUNCTION("""COMPUTED_VALUE"""),"MCC015UC0045")</f>
        <v>MCC015UC0045</v>
      </c>
      <c r="C818" s="47" t="str">
        <f>IFERROR(__xludf.DUMMYFUNCTION("""COMPUTED_VALUE"""),"FITA ADESIVA 69MM X 100M")</f>
        <v>FITA ADESIVA 69MM X 100M</v>
      </c>
      <c r="D818" s="48">
        <f>IFERROR(__xludf.DUMMYFUNCTION("""COMPUTED_VALUE"""),24.0)</f>
        <v>24</v>
      </c>
      <c r="E818" s="49" t="str">
        <f>IFERROR(__xludf.DUMMYFUNCTION("""COMPUTED_VALUE"""),"Entrada")</f>
        <v>Entrada</v>
      </c>
      <c r="F818" s="49"/>
      <c r="G818" s="39">
        <f t="array" ref="G818">XLOOKUP(B818,'Página9'!A:A,'Página9'!F:F,"")</f>
        <v>287</v>
      </c>
      <c r="H818" s="39">
        <f t="array" ref="H818">XLOOKUP(B818,'Página9'!A:A,'Página9'!C:C,"")</f>
        <v>20</v>
      </c>
      <c r="I818" s="35" t="str">
        <f t="array" ref="I818">XLOOKUP(B818,'Página9'!A:A,'Página9'!G:G,"")</f>
        <v>OK</v>
      </c>
      <c r="J818" s="25" t="str">
        <f t="shared" si="1"/>
        <v/>
      </c>
      <c r="K818" s="25" t="str">
        <f>IFERROR(__xludf.DUMMYFUNCTION("""COMPUTED_VALUE"""),"Philipe Araujo Barroso")</f>
        <v>Philipe Araujo Barroso</v>
      </c>
    </row>
    <row r="819">
      <c r="A819" s="45">
        <f>IFERROR(__xludf.DUMMYFUNCTION("""COMPUTED_VALUE"""),46098.0)</f>
        <v>46098</v>
      </c>
      <c r="B819" s="46" t="str">
        <f>IFERROR(__xludf.DUMMYFUNCTION("""COMPUTED_VALUE"""),"MCC046UC0687")</f>
        <v>MCC046UC0687</v>
      </c>
      <c r="C819" s="47" t="str">
        <f>IFERROR(__xludf.DUMMYFUNCTION("""COMPUTED_VALUE"""),"ETIQUETA COUCHE - 100X100X 1")</f>
        <v>ETIQUETA COUCHE - 100X100X 1</v>
      </c>
      <c r="D819" s="48">
        <f>IFERROR(__xludf.DUMMYFUNCTION("""COMPUTED_VALUE"""),10.0)</f>
        <v>10</v>
      </c>
      <c r="E819" s="49" t="str">
        <f>IFERROR(__xludf.DUMMYFUNCTION("""COMPUTED_VALUE"""),"Entrada")</f>
        <v>Entrada</v>
      </c>
      <c r="F819" s="49"/>
      <c r="G819" s="39">
        <f t="array" ref="G819">XLOOKUP(B819,'Página9'!A:A,'Página9'!F:F,"")</f>
        <v>335</v>
      </c>
      <c r="H819" s="39">
        <f t="array" ref="H819">XLOOKUP(B819,'Página9'!A:A,'Página9'!C:C,"")</f>
        <v>20</v>
      </c>
      <c r="I819" s="35" t="str">
        <f t="array" ref="I819">XLOOKUP(B819,'Página9'!A:A,'Página9'!G:G,"")</f>
        <v>OK</v>
      </c>
      <c r="J819" s="25" t="str">
        <f t="shared" si="1"/>
        <v/>
      </c>
      <c r="K819" s="25" t="str">
        <f>IFERROR(__xludf.DUMMYFUNCTION("""COMPUTED_VALUE"""),"Daniele Paulo Marques")</f>
        <v>Daniele Paulo Marques</v>
      </c>
    </row>
    <row r="820">
      <c r="A820" s="45">
        <f>IFERROR(__xludf.DUMMYFUNCTION("""COMPUTED_VALUE"""),46098.0)</f>
        <v>46098</v>
      </c>
      <c r="B820" s="46" t="str">
        <f>IFERROR(__xludf.DUMMYFUNCTION("""COMPUTED_VALUE"""),"MCC049UC0607")</f>
        <v>MCC049UC0607</v>
      </c>
      <c r="C820" s="47" t="str">
        <f>IFERROR(__xludf.DUMMYFUNCTION("""COMPUTED_VALUE"""),"PAPEL A3 RESMA COM 500 FLS")</f>
        <v>PAPEL A3 RESMA COM 500 FLS</v>
      </c>
      <c r="D820" s="48">
        <f>IFERROR(__xludf.DUMMYFUNCTION("""COMPUTED_VALUE"""),20.0)</f>
        <v>20</v>
      </c>
      <c r="E820" s="49" t="str">
        <f>IFERROR(__xludf.DUMMYFUNCTION("""COMPUTED_VALUE"""),"Entrada")</f>
        <v>Entrada</v>
      </c>
      <c r="F820" s="49"/>
      <c r="G820" s="39">
        <f t="array" ref="G820">XLOOKUP(B820,'Página9'!A:A,'Página9'!F:F,"")</f>
        <v>-47</v>
      </c>
      <c r="H820" s="39">
        <f t="array" ref="H820">XLOOKUP(B820,'Página9'!A:A,'Página9'!C:C,"")</f>
        <v>3</v>
      </c>
      <c r="I820" s="35" t="str">
        <f t="array" ref="I820">XLOOKUP(B820,'Página9'!A:A,'Página9'!G:G,"")</f>
        <v>REPOR ESTOQUE</v>
      </c>
      <c r="J820" s="25" t="str">
        <f t="shared" si="1"/>
        <v/>
      </c>
      <c r="K820" s="25" t="str">
        <f>IFERROR(__xludf.DUMMYFUNCTION("""COMPUTED_VALUE"""),"Ana Virginia De Castro Costa")</f>
        <v>Ana Virginia De Castro Costa</v>
      </c>
    </row>
    <row r="821">
      <c r="A821" s="45">
        <f>IFERROR(__xludf.DUMMYFUNCTION("""COMPUTED_VALUE"""),46098.0)</f>
        <v>46098</v>
      </c>
      <c r="B821" s="46" t="str">
        <f>IFERROR(__xludf.DUMMYFUNCTION("""COMPUTED_VALUE"""),"MCC046UC0687")</f>
        <v>MCC046UC0687</v>
      </c>
      <c r="C821" s="47" t="str">
        <f>IFERROR(__xludf.DUMMYFUNCTION("""COMPUTED_VALUE"""),"ETIQUETA COUCHE - 100X100X 1")</f>
        <v>ETIQUETA COUCHE - 100X100X 1</v>
      </c>
      <c r="D821" s="48">
        <f>IFERROR(__xludf.DUMMYFUNCTION("""COMPUTED_VALUE"""),24.0)</f>
        <v>24</v>
      </c>
      <c r="E821" s="49" t="str">
        <f>IFERROR(__xludf.DUMMYFUNCTION("""COMPUTED_VALUE"""),"Entrada")</f>
        <v>Entrada</v>
      </c>
      <c r="F821" s="49"/>
      <c r="G821" s="39">
        <f t="array" ref="G821">XLOOKUP(B821,'Página9'!A:A,'Página9'!F:F,"")</f>
        <v>335</v>
      </c>
      <c r="H821" s="39">
        <f t="array" ref="H821">XLOOKUP(B821,'Página9'!A:A,'Página9'!C:C,"")</f>
        <v>20</v>
      </c>
      <c r="I821" s="35" t="str">
        <f t="array" ref="I821">XLOOKUP(B821,'Página9'!A:A,'Página9'!G:G,"")</f>
        <v>OK</v>
      </c>
      <c r="J821" s="25" t="str">
        <f t="shared" si="1"/>
        <v/>
      </c>
      <c r="K821" s="25" t="str">
        <f>IFERROR(__xludf.DUMMYFUNCTION("""COMPUTED_VALUE"""),"Ana Virginia De Castro Costa")</f>
        <v>Ana Virginia De Castro Costa</v>
      </c>
    </row>
    <row r="822">
      <c r="A822" s="45">
        <f>IFERROR(__xludf.DUMMYFUNCTION("""COMPUTED_VALUE"""),46098.0)</f>
        <v>46098</v>
      </c>
      <c r="B822" s="46" t="str">
        <f>IFERROR(__xludf.DUMMYFUNCTION("""COMPUTED_VALUE"""),"MCC015UC0045")</f>
        <v>MCC015UC0045</v>
      </c>
      <c r="C822" s="47" t="str">
        <f>IFERROR(__xludf.DUMMYFUNCTION("""COMPUTED_VALUE"""),"FITA ADESIVA 69MM X 100M")</f>
        <v>FITA ADESIVA 69MM X 100M</v>
      </c>
      <c r="D822" s="48">
        <f>IFERROR(__xludf.DUMMYFUNCTION("""COMPUTED_VALUE"""),10.0)</f>
        <v>10</v>
      </c>
      <c r="E822" s="49" t="str">
        <f>IFERROR(__xludf.DUMMYFUNCTION("""COMPUTED_VALUE"""),"Entrada")</f>
        <v>Entrada</v>
      </c>
      <c r="F822" s="49"/>
      <c r="G822" s="39">
        <f t="array" ref="G822">XLOOKUP(B822,'Página9'!A:A,'Página9'!F:F,"")</f>
        <v>287</v>
      </c>
      <c r="H822" s="39">
        <f t="array" ref="H822">XLOOKUP(B822,'Página9'!A:A,'Página9'!C:C,"")</f>
        <v>20</v>
      </c>
      <c r="I822" s="35" t="str">
        <f t="array" ref="I822">XLOOKUP(B822,'Página9'!A:A,'Página9'!G:G,"")</f>
        <v>OK</v>
      </c>
      <c r="J822" s="25" t="str">
        <f t="shared" si="1"/>
        <v/>
      </c>
      <c r="K822" s="25" t="str">
        <f>IFERROR(__xludf.DUMMYFUNCTION("""COMPUTED_VALUE"""),"Ana Virginia De Castro Costa")</f>
        <v>Ana Virginia De Castro Costa</v>
      </c>
    </row>
    <row r="823">
      <c r="A823" s="45">
        <f>IFERROR(__xludf.DUMMYFUNCTION("""COMPUTED_VALUE"""),46098.0)</f>
        <v>46098</v>
      </c>
      <c r="B823" s="46" t="str">
        <f>IFERROR(__xludf.DUMMYFUNCTION("""COMPUTED_VALUE"""),"MCC015UC0045")</f>
        <v>MCC015UC0045</v>
      </c>
      <c r="C823" s="47" t="str">
        <f>IFERROR(__xludf.DUMMYFUNCTION("""COMPUTED_VALUE"""),"FITA ADESIVA 69MM X 100M")</f>
        <v>FITA ADESIVA 69MM X 100M</v>
      </c>
      <c r="D823" s="48">
        <f>IFERROR(__xludf.DUMMYFUNCTION("""COMPUTED_VALUE"""),20.0)</f>
        <v>20</v>
      </c>
      <c r="E823" s="49" t="str">
        <f>IFERROR(__xludf.DUMMYFUNCTION("""COMPUTED_VALUE"""),"Entrada")</f>
        <v>Entrada</v>
      </c>
      <c r="F823" s="49"/>
      <c r="G823" s="39">
        <f t="array" ref="G823">XLOOKUP(B823,'Página9'!A:A,'Página9'!F:F,"")</f>
        <v>287</v>
      </c>
      <c r="H823" s="39">
        <f t="array" ref="H823">XLOOKUP(B823,'Página9'!A:A,'Página9'!C:C,"")</f>
        <v>20</v>
      </c>
      <c r="I823" s="35" t="str">
        <f t="array" ref="I823">XLOOKUP(B823,'Página9'!A:A,'Página9'!G:G,"")</f>
        <v>OK</v>
      </c>
      <c r="J823" s="25" t="str">
        <f t="shared" si="1"/>
        <v/>
      </c>
      <c r="K823" s="25" t="str">
        <f>IFERROR(__xludf.DUMMYFUNCTION("""COMPUTED_VALUE"""),"Ana Virginia De Castro Costa")</f>
        <v>Ana Virginia De Castro Costa</v>
      </c>
    </row>
    <row r="824">
      <c r="A824" s="45">
        <f>IFERROR(__xludf.DUMMYFUNCTION("""COMPUTED_VALUE"""),46098.0)</f>
        <v>46098</v>
      </c>
      <c r="B824" s="46" t="str">
        <f>IFERROR(__xludf.DUMMYFUNCTION("""COMPUTED_VALUE"""),"MCC015UC0038")</f>
        <v>MCC015UC0038</v>
      </c>
      <c r="C824" s="47" t="str">
        <f>IFERROR(__xludf.DUMMYFUNCTION("""COMPUTED_VALUE"""),"BOBINA SHRINK 500MM")</f>
        <v>BOBINA SHRINK 500MM</v>
      </c>
      <c r="D824" s="48">
        <f>IFERROR(__xludf.DUMMYFUNCTION("""COMPUTED_VALUE"""),1.0)</f>
        <v>1</v>
      </c>
      <c r="E824" s="49" t="str">
        <f>IFERROR(__xludf.DUMMYFUNCTION("""COMPUTED_VALUE"""),"Entrada")</f>
        <v>Entrada</v>
      </c>
      <c r="F824" s="49"/>
      <c r="G824" s="39">
        <f t="array" ref="G824">XLOOKUP(B824,'Página9'!A:A,'Página9'!F:F,"")</f>
        <v>13</v>
      </c>
      <c r="H824" s="39">
        <f t="array" ref="H824">XLOOKUP(B824,'Página9'!A:A,'Página9'!C:C,"")</f>
        <v>3</v>
      </c>
      <c r="I824" s="35" t="str">
        <f t="array" ref="I824">XLOOKUP(B824,'Página9'!A:A,'Página9'!G:G,"")</f>
        <v>OK</v>
      </c>
      <c r="J824" s="25" t="str">
        <f t="shared" si="1"/>
        <v/>
      </c>
      <c r="K824" s="25" t="str">
        <f>IFERROR(__xludf.DUMMYFUNCTION("""COMPUTED_VALUE"""),"Yago Rocha Fernandes")</f>
        <v>Yago Rocha Fernandes</v>
      </c>
    </row>
    <row r="825">
      <c r="A825" s="45">
        <f>IFERROR(__xludf.DUMMYFUNCTION("""COMPUTED_VALUE"""),46099.0)</f>
        <v>46099</v>
      </c>
      <c r="B825" s="46" t="str">
        <f>IFERROR(__xludf.DUMMYFUNCTION("""COMPUTED_VALUE"""),"MCC046UC0216")</f>
        <v>MCC046UC0216</v>
      </c>
      <c r="C825" s="47" t="str">
        <f>IFERROR(__xludf.DUMMYFUNCTION("""COMPUTED_VALUE"""),"CANETA ESFEROGRAFICA ECONOMIC PRETA BIC")</f>
        <v>CANETA ESFEROGRAFICA ECONOMIC PRETA BIC</v>
      </c>
      <c r="D825" s="48">
        <f>IFERROR(__xludf.DUMMYFUNCTION("""COMPUTED_VALUE"""),2.0)</f>
        <v>2</v>
      </c>
      <c r="E825" s="49" t="str">
        <f>IFERROR(__xludf.DUMMYFUNCTION("""COMPUTED_VALUE"""),"Entrada")</f>
        <v>Entrada</v>
      </c>
      <c r="F825" s="49"/>
      <c r="G825" s="39">
        <f t="array" ref="G825">XLOOKUP(B825,'Página9'!A:A,'Página9'!F:F,"")</f>
        <v>89</v>
      </c>
      <c r="H825" s="39">
        <f t="array" ref="H825">XLOOKUP(B825,'Página9'!A:A,'Página9'!C:C,"")</f>
        <v>15</v>
      </c>
      <c r="I825" s="35" t="str">
        <f t="array" ref="I825">XLOOKUP(B825,'Página9'!A:A,'Página9'!G:G,"")</f>
        <v>OK</v>
      </c>
      <c r="J825" s="25" t="str">
        <f t="shared" si="1"/>
        <v/>
      </c>
      <c r="K825" s="25" t="str">
        <f>IFERROR(__xludf.DUMMYFUNCTION("""COMPUTED_VALUE"""),"Paulo Henrique Chagas De Oliveira")</f>
        <v>Paulo Henrique Chagas De Oliveira</v>
      </c>
    </row>
    <row r="826">
      <c r="A826" s="45">
        <f>IFERROR(__xludf.DUMMYFUNCTION("""COMPUTED_VALUE"""),46099.0)</f>
        <v>46099</v>
      </c>
      <c r="B826" s="46" t="str">
        <f>IFERROR(__xludf.DUMMYFUNCTION("""COMPUTED_VALUE"""),"EMC015MO0001")</f>
        <v>EMC015MO0001</v>
      </c>
      <c r="C826" s="47" t="str">
        <f>IFERROR(__xludf.DUMMYFUNCTION("""COMPUTED_VALUE"""),"RIBBON CERA PRETO 110MMX300M")</f>
        <v>RIBBON CERA PRETO 110MMX300M</v>
      </c>
      <c r="D826" s="48">
        <f>IFERROR(__xludf.DUMMYFUNCTION("""COMPUTED_VALUE"""),4.0)</f>
        <v>4</v>
      </c>
      <c r="E826" s="49" t="str">
        <f>IFERROR(__xludf.DUMMYFUNCTION("""COMPUTED_VALUE"""),"Entrada")</f>
        <v>Entrada</v>
      </c>
      <c r="F826" s="49"/>
      <c r="G826" s="39">
        <f t="array" ref="G826">XLOOKUP(B826,'Página9'!A:A,'Página9'!F:F,"")</f>
        <v>390</v>
      </c>
      <c r="H826" s="39">
        <f t="array" ref="H826">XLOOKUP(B826,'Página9'!A:A,'Página9'!C:C,"")</f>
        <v>5</v>
      </c>
      <c r="I826" s="35" t="str">
        <f t="array" ref="I826">XLOOKUP(B826,'Página9'!A:A,'Página9'!G:G,"")</f>
        <v>OK</v>
      </c>
      <c r="J826" s="25" t="str">
        <f t="shared" si="1"/>
        <v/>
      </c>
      <c r="K826" s="25" t="str">
        <f>IFERROR(__xludf.DUMMYFUNCTION("""COMPUTED_VALUE"""),"Jose Antoniel Silva Mesquita")</f>
        <v>Jose Antoniel Silva Mesquita</v>
      </c>
    </row>
    <row r="827">
      <c r="A827" s="45">
        <f>IFERROR(__xludf.DUMMYFUNCTION("""COMPUTED_VALUE"""),46099.0)</f>
        <v>46099</v>
      </c>
      <c r="B827" s="46" t="str">
        <f>IFERROR(__xludf.DUMMYFUNCTION("""COMPUTED_VALUE"""),"MCC046UC0695")</f>
        <v>MCC046UC0695</v>
      </c>
      <c r="C827" s="47" t="str">
        <f>IFERROR(__xludf.DUMMYFUNCTION("""COMPUTED_VALUE"""),"ETIQUETA COUCHE 98X50X1")</f>
        <v>ETIQUETA COUCHE 98X50X1</v>
      </c>
      <c r="D827" s="48">
        <f>IFERROR(__xludf.DUMMYFUNCTION("""COMPUTED_VALUE"""),30.0)</f>
        <v>30</v>
      </c>
      <c r="E827" s="49" t="str">
        <f>IFERROR(__xludf.DUMMYFUNCTION("""COMPUTED_VALUE"""),"Entrada")</f>
        <v>Entrada</v>
      </c>
      <c r="F827" s="49"/>
      <c r="G827" s="39">
        <f t="array" ref="G827">XLOOKUP(B827,'Página9'!A:A,'Página9'!F:F,"")</f>
        <v>256</v>
      </c>
      <c r="H827" s="39">
        <f t="array" ref="H827">XLOOKUP(B827,'Página9'!A:A,'Página9'!C:C,"")</f>
        <v>20</v>
      </c>
      <c r="I827" s="35" t="str">
        <f t="array" ref="I827">XLOOKUP(B827,'Página9'!A:A,'Página9'!G:G,"")</f>
        <v>OK</v>
      </c>
      <c r="J827" s="25" t="str">
        <f t="shared" si="1"/>
        <v/>
      </c>
      <c r="K827" s="25" t="str">
        <f>IFERROR(__xludf.DUMMYFUNCTION("""COMPUTED_VALUE"""),"Jose Antoniel Silva Mesquita")</f>
        <v>Jose Antoniel Silva Mesquita</v>
      </c>
    </row>
    <row r="828">
      <c r="A828" s="45">
        <f>IFERROR(__xludf.DUMMYFUNCTION("""COMPUTED_VALUE"""),46099.0)</f>
        <v>46099</v>
      </c>
      <c r="B828" s="46" t="str">
        <f>IFERROR(__xludf.DUMMYFUNCTION("""COMPUTED_VALUE"""),"MCC015UC0008")</f>
        <v>MCC015UC0008</v>
      </c>
      <c r="C828" s="47" t="str">
        <f>IFERROR(__xludf.DUMMYFUNCTION("""COMPUTED_VALUE"""),"FILME STRETCH 500X25")</f>
        <v>FILME STRETCH 500X25</v>
      </c>
      <c r="D828" s="48">
        <f>IFERROR(__xludf.DUMMYFUNCTION("""COMPUTED_VALUE"""),17.0)</f>
        <v>17</v>
      </c>
      <c r="E828" s="49" t="str">
        <f>IFERROR(__xludf.DUMMYFUNCTION("""COMPUTED_VALUE"""),"Entrada")</f>
        <v>Entrada</v>
      </c>
      <c r="F828" s="49"/>
      <c r="G828" s="39">
        <f t="array" ref="G828">XLOOKUP(B828,'Página9'!A:A,'Página9'!F:F,"")</f>
        <v>-158</v>
      </c>
      <c r="H828" s="39">
        <f t="array" ref="H828">XLOOKUP(B828,'Página9'!A:A,'Página9'!C:C,"")</f>
        <v>40</v>
      </c>
      <c r="I828" s="35" t="str">
        <f t="array" ref="I828">XLOOKUP(B828,'Página9'!A:A,'Página9'!G:G,"")</f>
        <v>REPOR ESTOQUE</v>
      </c>
      <c r="J828" s="25" t="str">
        <f t="shared" si="1"/>
        <v/>
      </c>
      <c r="K828" s="25" t="str">
        <f>IFERROR(__xludf.DUMMYFUNCTION("""COMPUTED_VALUE"""),"Allison Breno Da Costa Borges Soares")</f>
        <v>Allison Breno Da Costa Borges Soares</v>
      </c>
    </row>
    <row r="829">
      <c r="A829" s="45">
        <f>IFERROR(__xludf.DUMMYFUNCTION("""COMPUTED_VALUE"""),46100.0)</f>
        <v>46100</v>
      </c>
      <c r="B829" s="46" t="str">
        <f>IFERROR(__xludf.DUMMYFUNCTION("""COMPUTED_VALUE"""),"MCC015UC0045")</f>
        <v>MCC015UC0045</v>
      </c>
      <c r="C829" s="47" t="str">
        <f>IFERROR(__xludf.DUMMYFUNCTION("""COMPUTED_VALUE"""),"FITA ADESIVA 69MM X 100M")</f>
        <v>FITA ADESIVA 69MM X 100M</v>
      </c>
      <c r="D829" s="48">
        <f>IFERROR(__xludf.DUMMYFUNCTION("""COMPUTED_VALUE"""),30.0)</f>
        <v>30</v>
      </c>
      <c r="E829" s="49" t="str">
        <f>IFERROR(__xludf.DUMMYFUNCTION("""COMPUTED_VALUE"""),"Entrada")</f>
        <v>Entrada</v>
      </c>
      <c r="F829" s="49"/>
      <c r="G829" s="39">
        <f t="array" ref="G829">XLOOKUP(B829,'Página9'!A:A,'Página9'!F:F,"")</f>
        <v>287</v>
      </c>
      <c r="H829" s="39">
        <f t="array" ref="H829">XLOOKUP(B829,'Página9'!A:A,'Página9'!C:C,"")</f>
        <v>20</v>
      </c>
      <c r="I829" s="35" t="str">
        <f t="array" ref="I829">XLOOKUP(B829,'Página9'!A:A,'Página9'!G:G,"")</f>
        <v>OK</v>
      </c>
      <c r="J829" s="25" t="str">
        <f t="shared" si="1"/>
        <v/>
      </c>
      <c r="K829" s="25" t="str">
        <f>IFERROR(__xludf.DUMMYFUNCTION("""COMPUTED_VALUE"""),"Rejane Fontes De Sousa")</f>
        <v>Rejane Fontes De Sousa</v>
      </c>
    </row>
    <row r="830">
      <c r="A830" s="45">
        <f>IFERROR(__xludf.DUMMYFUNCTION("""COMPUTED_VALUE"""),46100.0)</f>
        <v>46100</v>
      </c>
      <c r="B830" s="46" t="str">
        <f>IFERROR(__xludf.DUMMYFUNCTION("""COMPUTED_VALUE"""),"MCC046UC0658")</f>
        <v>MCC046UC0658</v>
      </c>
      <c r="C830" s="47" t="str">
        <f>IFERROR(__xludf.DUMMYFUNCTION("""COMPUTED_VALUE"""),"ETIQUETA ADESIVA COUCHE LARANJA 100X150X1")</f>
        <v>ETIQUETA ADESIVA COUCHE LARANJA 100X150X1</v>
      </c>
      <c r="D830" s="48">
        <f>IFERROR(__xludf.DUMMYFUNCTION("""COMPUTED_VALUE"""),2.0)</f>
        <v>2</v>
      </c>
      <c r="E830" s="49" t="str">
        <f>IFERROR(__xludf.DUMMYFUNCTION("""COMPUTED_VALUE"""),"Entrada")</f>
        <v>Entrada</v>
      </c>
      <c r="F830" s="49"/>
      <c r="G830" s="39">
        <f t="array" ref="G830">XLOOKUP(B830,'Página9'!A:A,'Página9'!F:F,"")</f>
        <v>32</v>
      </c>
      <c r="H830" s="39">
        <f t="array" ref="H830">XLOOKUP(B830,'Página9'!A:A,'Página9'!C:C,"")</f>
        <v>5</v>
      </c>
      <c r="I830" s="35" t="str">
        <f t="array" ref="I830">XLOOKUP(B830,'Página9'!A:A,'Página9'!G:G,"")</f>
        <v>OK</v>
      </c>
      <c r="J830" s="25" t="str">
        <f t="shared" si="1"/>
        <v/>
      </c>
      <c r="K830" s="25" t="str">
        <f>IFERROR(__xludf.DUMMYFUNCTION("""COMPUTED_VALUE"""),"Jose Antoniel Silva Mesquita")</f>
        <v>Jose Antoniel Silva Mesquita</v>
      </c>
    </row>
    <row r="831">
      <c r="A831" s="45">
        <f>IFERROR(__xludf.DUMMYFUNCTION("""COMPUTED_VALUE"""),46100.0)</f>
        <v>46100</v>
      </c>
      <c r="B831" s="46" t="str">
        <f>IFERROR(__xludf.DUMMYFUNCTION("""COMPUTED_VALUE"""),"MCC046UC0360")</f>
        <v>MCC046UC0360</v>
      </c>
      <c r="C831" s="47" t="str">
        <f>IFERROR(__xludf.DUMMYFUNCTION("""COMPUTED_VALUE"""),"FITA ADESIVA DUPLA FACE 12mm X 20m 4910 VHB 3M")</f>
        <v>FITA ADESIVA DUPLA FACE 12mm X 20m 4910 VHB 3M</v>
      </c>
      <c r="D831" s="48">
        <f>IFERROR(__xludf.DUMMYFUNCTION("""COMPUTED_VALUE"""),1.0)</f>
        <v>1</v>
      </c>
      <c r="E831" s="49" t="str">
        <f>IFERROR(__xludf.DUMMYFUNCTION("""COMPUTED_VALUE"""),"Entrada")</f>
        <v>Entrada</v>
      </c>
      <c r="F831" s="49"/>
      <c r="G831" s="39">
        <f t="array" ref="G831">XLOOKUP(B831,'Página9'!A:A,'Página9'!F:F,"")</f>
        <v>-124</v>
      </c>
      <c r="H831" s="39">
        <f t="array" ref="H831">XLOOKUP(B831,'Página9'!A:A,'Página9'!C:C,"")</f>
        <v>1</v>
      </c>
      <c r="I831" s="35" t="str">
        <f t="array" ref="I831">XLOOKUP(B831,'Página9'!A:A,'Página9'!G:G,"")</f>
        <v>REPOR ESTOQUE</v>
      </c>
      <c r="J831" s="25" t="str">
        <f t="shared" si="1"/>
        <v/>
      </c>
      <c r="K831" s="25" t="str">
        <f>IFERROR(__xludf.DUMMYFUNCTION("""COMPUTED_VALUE"""),"Jose Antoniel Silva Mesquita")</f>
        <v>Jose Antoniel Silva Mesquita</v>
      </c>
    </row>
    <row r="832">
      <c r="A832" s="45">
        <f>IFERROR(__xludf.DUMMYFUNCTION("""COMPUTED_VALUE"""),46101.0)</f>
        <v>46101</v>
      </c>
      <c r="B832" s="46" t="str">
        <f>IFERROR(__xludf.DUMMYFUNCTION("""COMPUTED_VALUE"""),"MCC015UC0008")</f>
        <v>MCC015UC0008</v>
      </c>
      <c r="C832" s="47" t="str">
        <f>IFERROR(__xludf.DUMMYFUNCTION("""COMPUTED_VALUE"""),"FILME STRETCH 500X25")</f>
        <v>FILME STRETCH 500X25</v>
      </c>
      <c r="D832" s="48">
        <f>IFERROR(__xludf.DUMMYFUNCTION("""COMPUTED_VALUE"""),6.0)</f>
        <v>6</v>
      </c>
      <c r="E832" s="49" t="str">
        <f>IFERROR(__xludf.DUMMYFUNCTION("""COMPUTED_VALUE"""),"Entrada")</f>
        <v>Entrada</v>
      </c>
      <c r="F832" s="49"/>
      <c r="G832" s="39">
        <f t="array" ref="G832">XLOOKUP(B832,'Página9'!A:A,'Página9'!F:F,"")</f>
        <v>-158</v>
      </c>
      <c r="H832" s="39">
        <f t="array" ref="H832">XLOOKUP(B832,'Página9'!A:A,'Página9'!C:C,"")</f>
        <v>40</v>
      </c>
      <c r="I832" s="35" t="str">
        <f t="array" ref="I832">XLOOKUP(B832,'Página9'!A:A,'Página9'!G:G,"")</f>
        <v>REPOR ESTOQUE</v>
      </c>
      <c r="J832" s="25" t="str">
        <f t="shared" si="1"/>
        <v/>
      </c>
      <c r="K832" s="25" t="str">
        <f>IFERROR(__xludf.DUMMYFUNCTION("""COMPUTED_VALUE"""),"Jackson Alves Sales")</f>
        <v>Jackson Alves Sales</v>
      </c>
    </row>
    <row r="833">
      <c r="A833" s="45">
        <f>IFERROR(__xludf.DUMMYFUNCTION("""COMPUTED_VALUE"""),46101.0)</f>
        <v>46101</v>
      </c>
      <c r="B833" s="46" t="str">
        <f>IFERROR(__xludf.DUMMYFUNCTION("""COMPUTED_VALUE"""),"MCC046UC0540")</f>
        <v>MCC046UC0540</v>
      </c>
      <c r="C833" s="47" t="str">
        <f>IFERROR(__xludf.DUMMYFUNCTION("""COMPUTED_VALUE"""),"POST-IT 653 C/4 BL 38X50MM VERDE/ROSA 100FLS 3M")</f>
        <v>POST-IT 653 C/4 BL 38X50MM VERDE/ROSA 100FLS 3M</v>
      </c>
      <c r="D833" s="48">
        <f>IFERROR(__xludf.DUMMYFUNCTION("""COMPUTED_VALUE"""),2.0)</f>
        <v>2</v>
      </c>
      <c r="E833" s="49" t="str">
        <f>IFERROR(__xludf.DUMMYFUNCTION("""COMPUTED_VALUE"""),"Entrada")</f>
        <v>Entrada</v>
      </c>
      <c r="F833" s="49"/>
      <c r="G833" s="39">
        <f t="array" ref="G833">XLOOKUP(B833,'Página9'!A:A,'Página9'!F:F,"")</f>
        <v>0</v>
      </c>
      <c r="H833" s="39">
        <f t="array" ref="H833">XLOOKUP(B833,'Página9'!A:A,'Página9'!C:C,"")</f>
        <v>3</v>
      </c>
      <c r="I833" s="35" t="str">
        <f t="array" ref="I833">XLOOKUP(B833,'Página9'!A:A,'Página9'!G:G,"")</f>
        <v>REPOR ESTOQUE</v>
      </c>
      <c r="J833" s="25" t="str">
        <f t="shared" si="1"/>
        <v/>
      </c>
      <c r="K833" s="25" t="str">
        <f>IFERROR(__xludf.DUMMYFUNCTION("""COMPUTED_VALUE"""),"Daniele Paulo Marques")</f>
        <v>Daniele Paulo Marques</v>
      </c>
    </row>
    <row r="834">
      <c r="A834" s="45">
        <f>IFERROR(__xludf.DUMMYFUNCTION("""COMPUTED_VALUE"""),46101.0)</f>
        <v>46101</v>
      </c>
      <c r="B834" s="46" t="str">
        <f>IFERROR(__xludf.DUMMYFUNCTION("""COMPUTED_VALUE"""),"MCC015UC0008")</f>
        <v>MCC015UC0008</v>
      </c>
      <c r="C834" s="47" t="str">
        <f>IFERROR(__xludf.DUMMYFUNCTION("""COMPUTED_VALUE"""),"FILME STRETCH 500X25")</f>
        <v>FILME STRETCH 500X25</v>
      </c>
      <c r="D834" s="48">
        <f>IFERROR(__xludf.DUMMYFUNCTION("""COMPUTED_VALUE"""),4.0)</f>
        <v>4</v>
      </c>
      <c r="E834" s="49" t="str">
        <f>IFERROR(__xludf.DUMMYFUNCTION("""COMPUTED_VALUE"""),"Entrada")</f>
        <v>Entrada</v>
      </c>
      <c r="F834" s="49"/>
      <c r="G834" s="39">
        <f t="array" ref="G834">XLOOKUP(B834,'Página9'!A:A,'Página9'!F:F,"")</f>
        <v>-158</v>
      </c>
      <c r="H834" s="39">
        <f t="array" ref="H834">XLOOKUP(B834,'Página9'!A:A,'Página9'!C:C,"")</f>
        <v>40</v>
      </c>
      <c r="I834" s="35" t="str">
        <f t="array" ref="I834">XLOOKUP(B834,'Página9'!A:A,'Página9'!G:G,"")</f>
        <v>REPOR ESTOQUE</v>
      </c>
      <c r="J834" s="25" t="str">
        <f t="shared" si="1"/>
        <v/>
      </c>
      <c r="K834" s="25" t="str">
        <f>IFERROR(__xludf.DUMMYFUNCTION("""COMPUTED_VALUE"""),"Jackson Alves Sales")</f>
        <v>Jackson Alves Sales</v>
      </c>
    </row>
    <row r="835">
      <c r="A835" s="45">
        <f>IFERROR(__xludf.DUMMYFUNCTION("""COMPUTED_VALUE"""),46101.0)</f>
        <v>46101</v>
      </c>
      <c r="B835" s="46" t="str">
        <f>IFERROR(__xludf.DUMMYFUNCTION("""COMPUTED_VALUE"""),"MCC015UC0045")</f>
        <v>MCC015UC0045</v>
      </c>
      <c r="C835" s="47" t="str">
        <f>IFERROR(__xludf.DUMMYFUNCTION("""COMPUTED_VALUE"""),"FITA ADESIVA 69MM X 100M")</f>
        <v>FITA ADESIVA 69MM X 100M</v>
      </c>
      <c r="D835" s="48">
        <f>IFERROR(__xludf.DUMMYFUNCTION("""COMPUTED_VALUE"""),30.0)</f>
        <v>30</v>
      </c>
      <c r="E835" s="49" t="str">
        <f>IFERROR(__xludf.DUMMYFUNCTION("""COMPUTED_VALUE"""),"Entrada")</f>
        <v>Entrada</v>
      </c>
      <c r="F835" s="49"/>
      <c r="G835" s="39">
        <f t="array" ref="G835">XLOOKUP(B835,'Página9'!A:A,'Página9'!F:F,"")</f>
        <v>287</v>
      </c>
      <c r="H835" s="39">
        <f t="array" ref="H835">XLOOKUP(B835,'Página9'!A:A,'Página9'!C:C,"")</f>
        <v>20</v>
      </c>
      <c r="I835" s="35" t="str">
        <f t="array" ref="I835">XLOOKUP(B835,'Página9'!A:A,'Página9'!G:G,"")</f>
        <v>OK</v>
      </c>
      <c r="J835" s="25" t="str">
        <f t="shared" si="1"/>
        <v/>
      </c>
      <c r="K835" s="25" t="str">
        <f>IFERROR(__xludf.DUMMYFUNCTION("""COMPUTED_VALUE"""),"Rejane Fontes De Sousa")</f>
        <v>Rejane Fontes De Sousa</v>
      </c>
    </row>
    <row r="836">
      <c r="A836" s="45">
        <f>IFERROR(__xludf.DUMMYFUNCTION("""COMPUTED_VALUE"""),46101.0)</f>
        <v>46101</v>
      </c>
      <c r="B836" s="46" t="str">
        <f>IFERROR(__xludf.DUMMYFUNCTION("""COMPUTED_VALUE"""),"MCC046UC0687")</f>
        <v>MCC046UC0687</v>
      </c>
      <c r="C836" s="47" t="str">
        <f>IFERROR(__xludf.DUMMYFUNCTION("""COMPUTED_VALUE"""),"ETIQUETA COUCHE - 100X100X 1")</f>
        <v>ETIQUETA COUCHE - 100X100X 1</v>
      </c>
      <c r="D836" s="48">
        <f>IFERROR(__xludf.DUMMYFUNCTION("""COMPUTED_VALUE"""),10.0)</f>
        <v>10</v>
      </c>
      <c r="E836" s="49" t="str">
        <f>IFERROR(__xludf.DUMMYFUNCTION("""COMPUTED_VALUE"""),"Entrada")</f>
        <v>Entrada</v>
      </c>
      <c r="F836" s="49"/>
      <c r="G836" s="39">
        <f t="array" ref="G836">XLOOKUP(B836,'Página9'!A:A,'Página9'!F:F,"")</f>
        <v>335</v>
      </c>
      <c r="H836" s="39">
        <f t="array" ref="H836">XLOOKUP(B836,'Página9'!A:A,'Página9'!C:C,"")</f>
        <v>20</v>
      </c>
      <c r="I836" s="35" t="str">
        <f t="array" ref="I836">XLOOKUP(B836,'Página9'!A:A,'Página9'!G:G,"")</f>
        <v>OK</v>
      </c>
      <c r="J836" s="25" t="str">
        <f t="shared" si="1"/>
        <v/>
      </c>
      <c r="K836" s="25" t="str">
        <f>IFERROR(__xludf.DUMMYFUNCTION("""COMPUTED_VALUE"""),"Daniele Paulo Marques")</f>
        <v>Daniele Paulo Marques</v>
      </c>
    </row>
    <row r="837">
      <c r="A837" s="45">
        <f>IFERROR(__xludf.DUMMYFUNCTION("""COMPUTED_VALUE"""),46101.0)</f>
        <v>46101</v>
      </c>
      <c r="B837" s="46" t="str">
        <f>IFERROR(__xludf.DUMMYFUNCTION("""COMPUTED_VALUE"""),"MCC046UC0082")</f>
        <v>MCC046UC0082</v>
      </c>
      <c r="C837" s="47" t="str">
        <f>IFERROR(__xludf.DUMMYFUNCTION("""COMPUTED_VALUE"""),"PAPEL SULFITE A4 75G 500 FOLHAS")</f>
        <v>PAPEL SULFITE A4 75G 500 FOLHAS</v>
      </c>
      <c r="D837" s="48">
        <f>IFERROR(__xludf.DUMMYFUNCTION("""COMPUTED_VALUE"""),10.0)</f>
        <v>10</v>
      </c>
      <c r="E837" s="49" t="str">
        <f>IFERROR(__xludf.DUMMYFUNCTION("""COMPUTED_VALUE"""),"Entrada")</f>
        <v>Entrada</v>
      </c>
      <c r="F837" s="49"/>
      <c r="G837" s="39">
        <f t="array" ref="G837">XLOOKUP(B837,'Página9'!A:A,'Página9'!F:F,"")</f>
        <v>163</v>
      </c>
      <c r="H837" s="39">
        <f t="array" ref="H837">XLOOKUP(B837,'Página9'!A:A,'Página9'!C:C,"")</f>
        <v>10</v>
      </c>
      <c r="I837" s="35" t="str">
        <f t="array" ref="I837">XLOOKUP(B837,'Página9'!A:A,'Página9'!G:G,"")</f>
        <v>OK</v>
      </c>
      <c r="J837" s="25" t="str">
        <f t="shared" si="1"/>
        <v/>
      </c>
      <c r="K837" s="25" t="str">
        <f>IFERROR(__xludf.DUMMYFUNCTION("""COMPUTED_VALUE"""),"Jose Antoniel Silva Mesquita")</f>
        <v>Jose Antoniel Silva Mesquita</v>
      </c>
    </row>
    <row r="838">
      <c r="A838" s="45">
        <f>IFERROR(__xludf.DUMMYFUNCTION("""COMPUTED_VALUE"""),46104.0)</f>
        <v>46104</v>
      </c>
      <c r="B838" s="46" t="str">
        <f>IFERROR(__xludf.DUMMYFUNCTION("""COMPUTED_VALUE"""),"MCC049UC0607")</f>
        <v>MCC049UC0607</v>
      </c>
      <c r="C838" s="47" t="str">
        <f>IFERROR(__xludf.DUMMYFUNCTION("""COMPUTED_VALUE"""),"PAPEL A3 RESMA COM 500 FLS")</f>
        <v>PAPEL A3 RESMA COM 500 FLS</v>
      </c>
      <c r="D838" s="48">
        <f>IFERROR(__xludf.DUMMYFUNCTION("""COMPUTED_VALUE"""),1.0)</f>
        <v>1</v>
      </c>
      <c r="E838" s="49" t="str">
        <f>IFERROR(__xludf.DUMMYFUNCTION("""COMPUTED_VALUE"""),"Entrada")</f>
        <v>Entrada</v>
      </c>
      <c r="F838" s="49"/>
      <c r="G838" s="39">
        <f t="array" ref="G838">XLOOKUP(B838,'Página9'!A:A,'Página9'!F:F,"")</f>
        <v>-47</v>
      </c>
      <c r="H838" s="39">
        <f t="array" ref="H838">XLOOKUP(B838,'Página9'!A:A,'Página9'!C:C,"")</f>
        <v>3</v>
      </c>
      <c r="I838" s="35" t="str">
        <f t="array" ref="I838">XLOOKUP(B838,'Página9'!A:A,'Página9'!G:G,"")</f>
        <v>REPOR ESTOQUE</v>
      </c>
      <c r="J838" s="25" t="str">
        <f t="shared" si="1"/>
        <v/>
      </c>
      <c r="K838" s="25" t="str">
        <f>IFERROR(__xludf.DUMMYFUNCTION("""COMPUTED_VALUE"""),"Daniele Paulo Marques")</f>
        <v>Daniele Paulo Marques</v>
      </c>
    </row>
    <row r="839">
      <c r="A839" s="45">
        <f>IFERROR(__xludf.DUMMYFUNCTION("""COMPUTED_VALUE"""),46104.0)</f>
        <v>46104</v>
      </c>
      <c r="B839" s="46" t="str">
        <f>IFERROR(__xludf.DUMMYFUNCTION("""COMPUTED_VALUE"""),"MCC046UC0599")</f>
        <v>MCC046UC0599</v>
      </c>
      <c r="C839" s="47" t="str">
        <f>IFERROR(__xludf.DUMMYFUNCTION("""COMPUTED_VALUE"""),"ETIQUETA ADESIVA COUCHE AMARELA  - 105X150MM SAS")</f>
        <v>ETIQUETA ADESIVA COUCHE AMARELA  - 105X150MM SAS</v>
      </c>
      <c r="D839" s="48">
        <f>IFERROR(__xludf.DUMMYFUNCTION("""COMPUTED_VALUE"""),6.0)</f>
        <v>6</v>
      </c>
      <c r="E839" s="49" t="str">
        <f>IFERROR(__xludf.DUMMYFUNCTION("""COMPUTED_VALUE"""),"Entrada")</f>
        <v>Entrada</v>
      </c>
      <c r="F839" s="49"/>
      <c r="G839" s="39">
        <f t="array" ref="G839">XLOOKUP(B839,'Página9'!A:A,'Página9'!F:F,"")</f>
        <v>25</v>
      </c>
      <c r="H839" s="39">
        <f t="array" ref="H839">XLOOKUP(B839,'Página9'!A:A,'Página9'!C:C,"")</f>
        <v>5</v>
      </c>
      <c r="I839" s="35" t="str">
        <f t="array" ref="I839">XLOOKUP(B839,'Página9'!A:A,'Página9'!G:G,"")</f>
        <v>OK</v>
      </c>
      <c r="J839" s="25" t="str">
        <f t="shared" si="1"/>
        <v/>
      </c>
      <c r="K839" s="25" t="str">
        <f>IFERROR(__xludf.DUMMYFUNCTION("""COMPUTED_VALUE"""),"Philipe Araujo Barroso")</f>
        <v>Philipe Araujo Barroso</v>
      </c>
    </row>
    <row r="840">
      <c r="A840" s="45">
        <f>IFERROR(__xludf.DUMMYFUNCTION("""COMPUTED_VALUE"""),46104.0)</f>
        <v>46104</v>
      </c>
      <c r="B840" s="46" t="str">
        <f>IFERROR(__xludf.DUMMYFUNCTION("""COMPUTED_VALUE"""),"MCC049UC0607")</f>
        <v>MCC049UC0607</v>
      </c>
      <c r="C840" s="47" t="str">
        <f>IFERROR(__xludf.DUMMYFUNCTION("""COMPUTED_VALUE"""),"PAPEL A3 RESMA COM 500 FLS")</f>
        <v>PAPEL A3 RESMA COM 500 FLS</v>
      </c>
      <c r="D840" s="48">
        <f>IFERROR(__xludf.DUMMYFUNCTION("""COMPUTED_VALUE"""),9.0)</f>
        <v>9</v>
      </c>
      <c r="E840" s="49" t="str">
        <f>IFERROR(__xludf.DUMMYFUNCTION("""COMPUTED_VALUE"""),"Entrada")</f>
        <v>Entrada</v>
      </c>
      <c r="F840" s="49"/>
      <c r="G840" s="39">
        <f t="array" ref="G840">XLOOKUP(B840,'Página9'!A:A,'Página9'!F:F,"")</f>
        <v>-47</v>
      </c>
      <c r="H840" s="39">
        <f t="array" ref="H840">XLOOKUP(B840,'Página9'!A:A,'Página9'!C:C,"")</f>
        <v>3</v>
      </c>
      <c r="I840" s="35" t="str">
        <f t="array" ref="I840">XLOOKUP(B840,'Página9'!A:A,'Página9'!G:G,"")</f>
        <v>REPOR ESTOQUE</v>
      </c>
      <c r="J840" s="25" t="str">
        <f t="shared" si="1"/>
        <v/>
      </c>
      <c r="K840" s="25" t="str">
        <f>IFERROR(__xludf.DUMMYFUNCTION("""COMPUTED_VALUE"""),"Daniele Paulo Marques")</f>
        <v>Daniele Paulo Marques</v>
      </c>
    </row>
    <row r="841">
      <c r="A841" s="45">
        <f>IFERROR(__xludf.DUMMYFUNCTION("""COMPUTED_VALUE"""),46104.0)</f>
        <v>46104</v>
      </c>
      <c r="B841" s="46" t="str">
        <f>IFERROR(__xludf.DUMMYFUNCTION("""COMPUTED_VALUE"""),"MCC015UC0045")</f>
        <v>MCC015UC0045</v>
      </c>
      <c r="C841" s="47" t="str">
        <f>IFERROR(__xludf.DUMMYFUNCTION("""COMPUTED_VALUE"""),"FITA ADESIVA 69MM X 100M")</f>
        <v>FITA ADESIVA 69MM X 100M</v>
      </c>
      <c r="D841" s="48">
        <f>IFERROR(__xludf.DUMMYFUNCTION("""COMPUTED_VALUE"""),30.0)</f>
        <v>30</v>
      </c>
      <c r="E841" s="49" t="str">
        <f>IFERROR(__xludf.DUMMYFUNCTION("""COMPUTED_VALUE"""),"Entrada")</f>
        <v>Entrada</v>
      </c>
      <c r="F841" s="49"/>
      <c r="G841" s="39">
        <f t="array" ref="G841">XLOOKUP(B841,'Página9'!A:A,'Página9'!F:F,"")</f>
        <v>287</v>
      </c>
      <c r="H841" s="39">
        <f t="array" ref="H841">XLOOKUP(B841,'Página9'!A:A,'Página9'!C:C,"")</f>
        <v>20</v>
      </c>
      <c r="I841" s="35" t="str">
        <f t="array" ref="I841">XLOOKUP(B841,'Página9'!A:A,'Página9'!G:G,"")</f>
        <v>OK</v>
      </c>
      <c r="J841" s="25" t="str">
        <f t="shared" si="1"/>
        <v/>
      </c>
      <c r="K841" s="25" t="str">
        <f>IFERROR(__xludf.DUMMYFUNCTION("""COMPUTED_VALUE"""),"Rejane Fontes De Sousa")</f>
        <v>Rejane Fontes De Sousa</v>
      </c>
    </row>
    <row r="842">
      <c r="A842" s="45">
        <f>IFERROR(__xludf.DUMMYFUNCTION("""COMPUTED_VALUE"""),46104.0)</f>
        <v>46104</v>
      </c>
      <c r="B842" s="46" t="str">
        <f>IFERROR(__xludf.DUMMYFUNCTION("""COMPUTED_VALUE"""),"MCC046UC0398")</f>
        <v>MCC046UC0398</v>
      </c>
      <c r="C842" s="47" t="str">
        <f>IFERROR(__xludf.DUMMYFUNCTION("""COMPUTED_VALUE"""),"GRAMPO 26/6 COBREADO CX.C/5000 BACCHI")</f>
        <v>GRAMPO 26/6 COBREADO CX.C/5000 BACCHI</v>
      </c>
      <c r="D842" s="48">
        <f>IFERROR(__xludf.DUMMYFUNCTION("""COMPUTED_VALUE"""),1.0)</f>
        <v>1</v>
      </c>
      <c r="E842" s="49" t="str">
        <f>IFERROR(__xludf.DUMMYFUNCTION("""COMPUTED_VALUE"""),"Entrada")</f>
        <v>Entrada</v>
      </c>
      <c r="F842" s="49"/>
      <c r="G842" s="39">
        <f t="array" ref="G842">XLOOKUP(B842,'Página9'!A:A,'Página9'!F:F,"")</f>
        <v>-13</v>
      </c>
      <c r="H842" s="39">
        <f t="array" ref="H842">XLOOKUP(B842,'Página9'!A:A,'Página9'!C:C,"")</f>
        <v>3</v>
      </c>
      <c r="I842" s="35" t="str">
        <f t="array" ref="I842">XLOOKUP(B842,'Página9'!A:A,'Página9'!G:G,"")</f>
        <v>REPOR ESTOQUE</v>
      </c>
      <c r="J842" s="25" t="str">
        <f t="shared" si="1"/>
        <v/>
      </c>
      <c r="K842" s="25" t="str">
        <f>IFERROR(__xludf.DUMMYFUNCTION("""COMPUTED_VALUE"""),"Rejane Fontes De Sousa")</f>
        <v>Rejane Fontes De Sousa</v>
      </c>
    </row>
    <row r="843">
      <c r="A843" s="45">
        <f>IFERROR(__xludf.DUMMYFUNCTION("""COMPUTED_VALUE"""),46104.0)</f>
        <v>46104</v>
      </c>
      <c r="B843" s="46" t="str">
        <f>IFERROR(__xludf.DUMMYFUNCTION("""COMPUTED_VALUE"""),"MCC046UC0398")</f>
        <v>MCC046UC0398</v>
      </c>
      <c r="C843" s="47" t="str">
        <f>IFERROR(__xludf.DUMMYFUNCTION("""COMPUTED_VALUE"""),"GRAMPO 26/6 COBREADO CX.C/5000 BACCHI")</f>
        <v>GRAMPO 26/6 COBREADO CX.C/5000 BACCHI</v>
      </c>
      <c r="D843" s="48">
        <f>IFERROR(__xludf.DUMMYFUNCTION("""COMPUTED_VALUE"""),1.0)</f>
        <v>1</v>
      </c>
      <c r="E843" s="49" t="str">
        <f>IFERROR(__xludf.DUMMYFUNCTION("""COMPUTED_VALUE"""),"Entrada")</f>
        <v>Entrada</v>
      </c>
      <c r="F843" s="49"/>
      <c r="G843" s="39">
        <f t="array" ref="G843">XLOOKUP(B843,'Página9'!A:A,'Página9'!F:F,"")</f>
        <v>-13</v>
      </c>
      <c r="H843" s="39">
        <f t="array" ref="H843">XLOOKUP(B843,'Página9'!A:A,'Página9'!C:C,"")</f>
        <v>3</v>
      </c>
      <c r="I843" s="35" t="str">
        <f t="array" ref="I843">XLOOKUP(B843,'Página9'!A:A,'Página9'!G:G,"")</f>
        <v>REPOR ESTOQUE</v>
      </c>
      <c r="J843" s="25" t="str">
        <f t="shared" si="1"/>
        <v/>
      </c>
      <c r="K843" s="25" t="str">
        <f>IFERROR(__xludf.DUMMYFUNCTION("""COMPUTED_VALUE"""),"Philipe Araujo Barroso")</f>
        <v>Philipe Araujo Barroso</v>
      </c>
    </row>
    <row r="844">
      <c r="A844" s="45">
        <f>IFERROR(__xludf.DUMMYFUNCTION("""COMPUTED_VALUE"""),46104.0)</f>
        <v>46104</v>
      </c>
      <c r="B844" s="46" t="str">
        <f>IFERROR(__xludf.DUMMYFUNCTION("""COMPUTED_VALUE"""),"MCC015UC0008")</f>
        <v>MCC015UC0008</v>
      </c>
      <c r="C844" s="47" t="str">
        <f>IFERROR(__xludf.DUMMYFUNCTION("""COMPUTED_VALUE"""),"FILME STRETCH 500X25")</f>
        <v>FILME STRETCH 500X25</v>
      </c>
      <c r="D844" s="48">
        <f>IFERROR(__xludf.DUMMYFUNCTION("""COMPUTED_VALUE"""),10.0)</f>
        <v>10</v>
      </c>
      <c r="E844" s="49"/>
      <c r="F844" s="49"/>
      <c r="G844" s="39">
        <f t="array" ref="G844">XLOOKUP(B844,'Página9'!A:A,'Página9'!F:F,"")</f>
        <v>-158</v>
      </c>
      <c r="H844" s="39">
        <f t="array" ref="H844">XLOOKUP(B844,'Página9'!A:A,'Página9'!C:C,"")</f>
        <v>40</v>
      </c>
      <c r="I844" s="35" t="str">
        <f t="array" ref="I844">XLOOKUP(B844,'Página9'!A:A,'Página9'!G:G,"")</f>
        <v>REPOR ESTOQUE</v>
      </c>
      <c r="J844" s="25" t="str">
        <f t="shared" si="1"/>
        <v/>
      </c>
      <c r="K844" s="25" t="str">
        <f>IFERROR(__xludf.DUMMYFUNCTION("""COMPUTED_VALUE"""),"Rejane Fontes De Sousa")</f>
        <v>Rejane Fontes De Sousa</v>
      </c>
    </row>
    <row r="845">
      <c r="A845" s="45">
        <f>IFERROR(__xludf.DUMMYFUNCTION("""COMPUTED_VALUE"""),46105.0)</f>
        <v>46105</v>
      </c>
      <c r="B845" s="46" t="str">
        <f>IFERROR(__xludf.DUMMYFUNCTION("""COMPUTED_VALUE"""),"MCC046UC0215")</f>
        <v>MCC046UC0215</v>
      </c>
      <c r="C845" s="47" t="str">
        <f>IFERROR(__xludf.DUMMYFUNCTION("""COMPUTED_VALUE"""),"CANETA ESFEROGRAFICA ECONOMIC AZUL BIC")</f>
        <v>CANETA ESFEROGRAFICA ECONOMIC AZUL BIC</v>
      </c>
      <c r="D845" s="48">
        <f>IFERROR(__xludf.DUMMYFUNCTION("""COMPUTED_VALUE"""),5.0)</f>
        <v>5</v>
      </c>
      <c r="E845" s="49"/>
      <c r="F845" s="49"/>
      <c r="G845" s="39">
        <f t="array" ref="G845">XLOOKUP(B845,'Página9'!A:A,'Página9'!F:F,"")</f>
        <v>-20</v>
      </c>
      <c r="H845" s="39">
        <f t="array" ref="H845">XLOOKUP(B845,'Página9'!A:A,'Página9'!C:C,"")</f>
        <v>15</v>
      </c>
      <c r="I845" s="35" t="str">
        <f t="array" ref="I845">XLOOKUP(B845,'Página9'!A:A,'Página9'!G:G,"")</f>
        <v>REPOR ESTOQUE</v>
      </c>
      <c r="J845" s="25" t="str">
        <f t="shared" si="1"/>
        <v/>
      </c>
      <c r="K845" s="25" t="str">
        <f>IFERROR(__xludf.DUMMYFUNCTION("""COMPUTED_VALUE"""),"Philipe Araujo Barroso")</f>
        <v>Philipe Araujo Barroso</v>
      </c>
    </row>
    <row r="846">
      <c r="A846" s="45">
        <f>IFERROR(__xludf.DUMMYFUNCTION("""COMPUTED_VALUE"""),46105.0)</f>
        <v>46105</v>
      </c>
      <c r="B846" s="46" t="str">
        <f>IFERROR(__xludf.DUMMYFUNCTION("""COMPUTED_VALUE"""),"MCC015UC0008")</f>
        <v>MCC015UC0008</v>
      </c>
      <c r="C846" s="47" t="str">
        <f>IFERROR(__xludf.DUMMYFUNCTION("""COMPUTED_VALUE"""),"FILME STRETCH 500X25")</f>
        <v>FILME STRETCH 500X25</v>
      </c>
      <c r="D846" s="48">
        <f>IFERROR(__xludf.DUMMYFUNCTION("""COMPUTED_VALUE"""),3.0)</f>
        <v>3</v>
      </c>
      <c r="E846" s="49"/>
      <c r="F846" s="49"/>
      <c r="G846" s="39">
        <f t="array" ref="G846">XLOOKUP(B846,'Página9'!A:A,'Página9'!F:F,"")</f>
        <v>-158</v>
      </c>
      <c r="H846" s="39">
        <f t="array" ref="H846">XLOOKUP(B846,'Página9'!A:A,'Página9'!C:C,"")</f>
        <v>40</v>
      </c>
      <c r="I846" s="35" t="str">
        <f t="array" ref="I846">XLOOKUP(B846,'Página9'!A:A,'Página9'!G:G,"")</f>
        <v>REPOR ESTOQUE</v>
      </c>
      <c r="J846" s="25" t="str">
        <f t="shared" si="1"/>
        <v/>
      </c>
      <c r="K846" s="25" t="str">
        <f>IFERROR(__xludf.DUMMYFUNCTION("""COMPUTED_VALUE"""),"Rejane Fontes De Sousa")</f>
        <v>Rejane Fontes De Sousa</v>
      </c>
    </row>
    <row r="847">
      <c r="A847" s="45">
        <f>IFERROR(__xludf.DUMMYFUNCTION("""COMPUTED_VALUE"""),46107.0)</f>
        <v>46107</v>
      </c>
      <c r="B847" s="46" t="str">
        <f>IFERROR(__xludf.DUMMYFUNCTION("""COMPUTED_VALUE"""),"MCC015UC0008")</f>
        <v>MCC015UC0008</v>
      </c>
      <c r="C847" s="47" t="str">
        <f>IFERROR(__xludf.DUMMYFUNCTION("""COMPUTED_VALUE"""),"FILME STRETCH 500X25")</f>
        <v>FILME STRETCH 500X25</v>
      </c>
      <c r="D847" s="48">
        <f>IFERROR(__xludf.DUMMYFUNCTION("""COMPUTED_VALUE"""),6.0)</f>
        <v>6</v>
      </c>
      <c r="E847" s="49"/>
      <c r="F847" s="49"/>
      <c r="G847" s="39">
        <f t="array" ref="G847">XLOOKUP(B847,'Página9'!A:A,'Página9'!F:F,"")</f>
        <v>-158</v>
      </c>
      <c r="H847" s="39">
        <f t="array" ref="H847">XLOOKUP(B847,'Página9'!A:A,'Página9'!C:C,"")</f>
        <v>40</v>
      </c>
      <c r="I847" s="35" t="str">
        <f t="array" ref="I847">XLOOKUP(B847,'Página9'!A:A,'Página9'!G:G,"")</f>
        <v>REPOR ESTOQUE</v>
      </c>
      <c r="J847" s="25" t="str">
        <f t="shared" si="1"/>
        <v/>
      </c>
      <c r="K847" s="25" t="str">
        <f>IFERROR(__xludf.DUMMYFUNCTION("""COMPUTED_VALUE"""),"Yago Rocha Fernandes")</f>
        <v>Yago Rocha Fernandes</v>
      </c>
    </row>
    <row r="848">
      <c r="A848" s="45">
        <f>IFERROR(__xludf.DUMMYFUNCTION("""COMPUTED_VALUE"""),46107.0)</f>
        <v>46107</v>
      </c>
      <c r="B848" s="46" t="str">
        <f>IFERROR(__xludf.DUMMYFUNCTION("""COMPUTED_VALUE"""),"MCC015UC0045")</f>
        <v>MCC015UC0045</v>
      </c>
      <c r="C848" s="47" t="str">
        <f>IFERROR(__xludf.DUMMYFUNCTION("""COMPUTED_VALUE"""),"FITA ADESIVA 69MM X 100M")</f>
        <v>FITA ADESIVA 69MM X 100M</v>
      </c>
      <c r="D848" s="48">
        <f>IFERROR(__xludf.DUMMYFUNCTION("""COMPUTED_VALUE"""),8.0)</f>
        <v>8</v>
      </c>
      <c r="E848" s="49"/>
      <c r="F848" s="49"/>
      <c r="G848" s="39">
        <f t="array" ref="G848">XLOOKUP(B848,'Página9'!A:A,'Página9'!F:F,"")</f>
        <v>287</v>
      </c>
      <c r="H848" s="39">
        <f t="array" ref="H848">XLOOKUP(B848,'Página9'!A:A,'Página9'!C:C,"")</f>
        <v>20</v>
      </c>
      <c r="I848" s="35" t="str">
        <f t="array" ref="I848">XLOOKUP(B848,'Página9'!A:A,'Página9'!G:G,"")</f>
        <v>OK</v>
      </c>
      <c r="J848" s="25" t="str">
        <f t="shared" si="1"/>
        <v/>
      </c>
      <c r="K848" s="25" t="str">
        <f>IFERROR(__xludf.DUMMYFUNCTION("""COMPUTED_VALUE"""),"Yago Rocha Fernandes")</f>
        <v>Yago Rocha Fernandes</v>
      </c>
    </row>
    <row r="849">
      <c r="A849" s="45">
        <f>IFERROR(__xludf.DUMMYFUNCTION("""COMPUTED_VALUE"""),46107.0)</f>
        <v>46107</v>
      </c>
      <c r="B849" s="46" t="str">
        <f>IFERROR(__xludf.DUMMYFUNCTION("""COMPUTED_VALUE"""),"MCC015UC0008")</f>
        <v>MCC015UC0008</v>
      </c>
      <c r="C849" s="47" t="str">
        <f>IFERROR(__xludf.DUMMYFUNCTION("""COMPUTED_VALUE"""),"FILME STRETCH 500X25")</f>
        <v>FILME STRETCH 500X25</v>
      </c>
      <c r="D849" s="48">
        <f>IFERROR(__xludf.DUMMYFUNCTION("""COMPUTED_VALUE"""),90.0)</f>
        <v>90</v>
      </c>
      <c r="E849" s="49"/>
      <c r="F849" s="49"/>
      <c r="G849" s="39">
        <f t="array" ref="G849">XLOOKUP(B849,'Página9'!A:A,'Página9'!F:F,"")</f>
        <v>-158</v>
      </c>
      <c r="H849" s="39">
        <f t="array" ref="H849">XLOOKUP(B849,'Página9'!A:A,'Página9'!C:C,"")</f>
        <v>40</v>
      </c>
      <c r="I849" s="35" t="str">
        <f t="array" ref="I849">XLOOKUP(B849,'Página9'!A:A,'Página9'!G:G,"")</f>
        <v>REPOR ESTOQUE</v>
      </c>
      <c r="J849" s="25" t="str">
        <f t="shared" si="1"/>
        <v/>
      </c>
      <c r="K849" s="25" t="str">
        <f>IFERROR(__xludf.DUMMYFUNCTION("""COMPUTED_VALUE"""),"Allison Breno Da Costa Borges Soares")</f>
        <v>Allison Breno Da Costa Borges Soares</v>
      </c>
    </row>
    <row r="850">
      <c r="A850" s="45">
        <f>IFERROR(__xludf.DUMMYFUNCTION("""COMPUTED_VALUE"""),46107.0)</f>
        <v>46107</v>
      </c>
      <c r="B850" s="46" t="str">
        <f>IFERROR(__xludf.DUMMYFUNCTION("""COMPUTED_VALUE"""),"MCC049UC0600")</f>
        <v>MCC049UC0600</v>
      </c>
      <c r="C850" s="47" t="str">
        <f>IFERROR(__xludf.DUMMYFUNCTION("""COMPUTED_VALUE"""),"FITA ADESIVA P/ CACHORRO PERSONALIZADA")</f>
        <v>FITA ADESIVA P/ CACHORRO PERSONALIZADA</v>
      </c>
      <c r="D850" s="48">
        <f>IFERROR(__xludf.DUMMYFUNCTION("""COMPUTED_VALUE"""),8.0)</f>
        <v>8</v>
      </c>
      <c r="E850" s="49"/>
      <c r="F850" s="49"/>
      <c r="G850" s="39">
        <f t="array" ref="G850">XLOOKUP(B850,'Página9'!A:A,'Página9'!F:F,"")</f>
        <v>156</v>
      </c>
      <c r="H850" s="39">
        <f t="array" ref="H850">XLOOKUP(B850,'Página9'!A:A,'Página9'!C:C,"")</f>
        <v>10</v>
      </c>
      <c r="I850" s="35" t="str">
        <f t="array" ref="I850">XLOOKUP(B850,'Página9'!A:A,'Página9'!G:G,"")</f>
        <v>OK</v>
      </c>
      <c r="J850" s="25" t="str">
        <f t="shared" si="1"/>
        <v/>
      </c>
      <c r="K850" s="25" t="str">
        <f>IFERROR(__xludf.DUMMYFUNCTION("""COMPUTED_VALUE"""),"Ana Virginia De Castro Costa")</f>
        <v>Ana Virginia De Castro Costa</v>
      </c>
    </row>
    <row r="851">
      <c r="A851" s="45">
        <f>IFERROR(__xludf.DUMMYFUNCTION("""COMPUTED_VALUE"""),46108.0)</f>
        <v>46108</v>
      </c>
      <c r="B851" s="46" t="str">
        <f>IFERROR(__xludf.DUMMYFUNCTION("""COMPUTED_VALUE"""),"MCC046UC0598")</f>
        <v>MCC046UC0598</v>
      </c>
      <c r="C851" s="47" t="str">
        <f>IFERROR(__xludf.DUMMYFUNCTION("""COMPUTED_VALUE"""),"ETIQUETA ADESIVA COUCHE AZUL - 105X150MM SAS")</f>
        <v>ETIQUETA ADESIVA COUCHE AZUL - 105X150MM SAS</v>
      </c>
      <c r="D851" s="48">
        <f>IFERROR(__xludf.DUMMYFUNCTION("""COMPUTED_VALUE"""),2.0)</f>
        <v>2</v>
      </c>
      <c r="E851" s="49"/>
      <c r="F851" s="49"/>
      <c r="G851" s="39">
        <f t="array" ref="G851">XLOOKUP(B851,'Página9'!A:A,'Página9'!F:F,"")</f>
        <v>40</v>
      </c>
      <c r="H851" s="39">
        <f t="array" ref="H851">XLOOKUP(B851,'Página9'!A:A,'Página9'!C:C,"")</f>
        <v>5</v>
      </c>
      <c r="I851" s="35" t="str">
        <f t="array" ref="I851">XLOOKUP(B851,'Página9'!A:A,'Página9'!G:G,"")</f>
        <v>OK</v>
      </c>
      <c r="J851" s="25" t="str">
        <f t="shared" si="1"/>
        <v/>
      </c>
      <c r="K851" s="25" t="str">
        <f>IFERROR(__xludf.DUMMYFUNCTION("""COMPUTED_VALUE"""),"Jose Antoniel Silva Mesquita")</f>
        <v>Jose Antoniel Silva Mesquita</v>
      </c>
    </row>
    <row r="852">
      <c r="A852" s="45">
        <f>IFERROR(__xludf.DUMMYFUNCTION("""COMPUTED_VALUE"""),46108.0)</f>
        <v>46108</v>
      </c>
      <c r="B852" s="46" t="str">
        <f>IFERROR(__xludf.DUMMYFUNCTION("""COMPUTED_VALUE"""),"MCC015UC0045")</f>
        <v>MCC015UC0045</v>
      </c>
      <c r="C852" s="47" t="str">
        <f>IFERROR(__xludf.DUMMYFUNCTION("""COMPUTED_VALUE"""),"FITA ADESIVA 69MM X 100M")</f>
        <v>FITA ADESIVA 69MM X 100M</v>
      </c>
      <c r="D852" s="48">
        <f>IFERROR(__xludf.DUMMYFUNCTION("""COMPUTED_VALUE"""),24.0)</f>
        <v>24</v>
      </c>
      <c r="E852" s="49"/>
      <c r="F852" s="49"/>
      <c r="G852" s="39">
        <f t="array" ref="G852">XLOOKUP(B852,'Página9'!A:A,'Página9'!F:F,"")</f>
        <v>287</v>
      </c>
      <c r="H852" s="39">
        <f t="array" ref="H852">XLOOKUP(B852,'Página9'!A:A,'Página9'!C:C,"")</f>
        <v>20</v>
      </c>
      <c r="I852" s="35" t="str">
        <f t="array" ref="I852">XLOOKUP(B852,'Página9'!A:A,'Página9'!G:G,"")</f>
        <v>OK</v>
      </c>
      <c r="J852" s="25" t="str">
        <f t="shared" si="1"/>
        <v/>
      </c>
      <c r="K852" s="25" t="str">
        <f>IFERROR(__xludf.DUMMYFUNCTION("""COMPUTED_VALUE"""),"Philipe Araujo Barroso")</f>
        <v>Philipe Araujo Barroso</v>
      </c>
    </row>
    <row r="853">
      <c r="A853" s="45">
        <f>IFERROR(__xludf.DUMMYFUNCTION("""COMPUTED_VALUE"""),46108.0)</f>
        <v>46108</v>
      </c>
      <c r="B853" s="46" t="str">
        <f>IFERROR(__xludf.DUMMYFUNCTION("""COMPUTED_VALUE"""),"MCC015UC0008")</f>
        <v>MCC015UC0008</v>
      </c>
      <c r="C853" s="47" t="str">
        <f>IFERROR(__xludf.DUMMYFUNCTION("""COMPUTED_VALUE"""),"FILME STRETCH 500X25")</f>
        <v>FILME STRETCH 500X25</v>
      </c>
      <c r="D853" s="48">
        <f>IFERROR(__xludf.DUMMYFUNCTION("""COMPUTED_VALUE"""),38.0)</f>
        <v>38</v>
      </c>
      <c r="E853" s="49"/>
      <c r="F853" s="49"/>
      <c r="G853" s="39">
        <f t="array" ref="G853">XLOOKUP(B853,'Página9'!A:A,'Página9'!F:F,"")</f>
        <v>-158</v>
      </c>
      <c r="H853" s="39">
        <f t="array" ref="H853">XLOOKUP(B853,'Página9'!A:A,'Página9'!C:C,"")</f>
        <v>40</v>
      </c>
      <c r="I853" s="35" t="str">
        <f t="array" ref="I853">XLOOKUP(B853,'Página9'!A:A,'Página9'!G:G,"")</f>
        <v>REPOR ESTOQUE</v>
      </c>
      <c r="J853" s="25" t="str">
        <f t="shared" si="1"/>
        <v/>
      </c>
      <c r="K853" s="25" t="str">
        <f>IFERROR(__xludf.DUMMYFUNCTION("""COMPUTED_VALUE"""),"Rodrigo Aragao Goncalves")</f>
        <v>Rodrigo Aragao Goncalves</v>
      </c>
    </row>
    <row r="854">
      <c r="A854" s="45">
        <f>IFERROR(__xludf.DUMMYFUNCTION("""COMPUTED_VALUE"""),46097.0)</f>
        <v>46097</v>
      </c>
      <c r="B854" s="46" t="str">
        <f>IFERROR(__xludf.DUMMYFUNCTION("""COMPUTED_VALUE"""),"MCC015UC0038")</f>
        <v>MCC015UC0038</v>
      </c>
      <c r="C854" s="47" t="str">
        <f>IFERROR(__xludf.DUMMYFUNCTION("""COMPUTED_VALUE"""),"BOBINA SHRINK 500MM")</f>
        <v>BOBINA SHRINK 500MM</v>
      </c>
      <c r="D854" s="48">
        <f>IFERROR(__xludf.DUMMYFUNCTION("""COMPUTED_VALUE"""),1.0)</f>
        <v>1</v>
      </c>
      <c r="E854" s="49"/>
      <c r="F854" s="49"/>
      <c r="G854" s="39">
        <f t="array" ref="G854">XLOOKUP(B854,'Página9'!A:A,'Página9'!F:F,"")</f>
        <v>13</v>
      </c>
      <c r="H854" s="39">
        <f t="array" ref="H854">XLOOKUP(B854,'Página9'!A:A,'Página9'!C:C,"")</f>
        <v>3</v>
      </c>
      <c r="I854" s="35" t="str">
        <f t="array" ref="I854">XLOOKUP(B854,'Página9'!A:A,'Página9'!G:G,"")</f>
        <v>OK</v>
      </c>
      <c r="J854" s="25" t="str">
        <f t="shared" si="1"/>
        <v/>
      </c>
      <c r="K854" s="25" t="str">
        <f>IFERROR(__xludf.DUMMYFUNCTION("""COMPUTED_VALUE"""),"Jose Antoniel Silva Mesquita")</f>
        <v>Jose Antoniel Silva Mesquita</v>
      </c>
    </row>
    <row r="855">
      <c r="A855" s="45">
        <f>IFERROR(__xludf.DUMMYFUNCTION("""COMPUTED_VALUE"""),46097.0)</f>
        <v>46097</v>
      </c>
      <c r="B855" s="46" t="str">
        <f>IFERROR(__xludf.DUMMYFUNCTION("""COMPUTED_VALUE"""),"MCC046UC0668")</f>
        <v>MCC046UC0668</v>
      </c>
      <c r="C855" s="47" t="str">
        <f>IFERROR(__xludf.DUMMYFUNCTION("""COMPUTED_VALUE"""),"ETIQUETA ADESIVA COUCHE CINZA 100X150X1")</f>
        <v>ETIQUETA ADESIVA COUCHE CINZA 100X150X1</v>
      </c>
      <c r="D855" s="48">
        <f>IFERROR(__xludf.DUMMYFUNCTION("""COMPUTED_VALUE"""),2.0)</f>
        <v>2</v>
      </c>
      <c r="E855" s="49"/>
      <c r="F855" s="49"/>
      <c r="G855" s="39">
        <f t="array" ref="G855">XLOOKUP(B855,'Página9'!A:A,'Página9'!F:F,"")</f>
        <v>104</v>
      </c>
      <c r="H855" s="39">
        <f t="array" ref="H855">XLOOKUP(B855,'Página9'!A:A,'Página9'!C:C,"")</f>
        <v>5</v>
      </c>
      <c r="I855" s="35" t="str">
        <f t="array" ref="I855">XLOOKUP(B855,'Página9'!A:A,'Página9'!G:G,"")</f>
        <v>OK</v>
      </c>
      <c r="J855" s="25" t="str">
        <f t="shared" si="1"/>
        <v/>
      </c>
      <c r="K855" s="25" t="str">
        <f>IFERROR(__xludf.DUMMYFUNCTION("""COMPUTED_VALUE"""),"Jose Antoniel Silva Mesquita")</f>
        <v>Jose Antoniel Silva Mesquita</v>
      </c>
    </row>
    <row r="856">
      <c r="A856" s="45">
        <f>IFERROR(__xludf.DUMMYFUNCTION("""COMPUTED_VALUE"""),46097.0)</f>
        <v>46097</v>
      </c>
      <c r="B856" s="46" t="str">
        <f>IFERROR(__xludf.DUMMYFUNCTION("""COMPUTED_VALUE"""),"MCC015UC0008")</f>
        <v>MCC015UC0008</v>
      </c>
      <c r="C856" s="47" t="str">
        <f>IFERROR(__xludf.DUMMYFUNCTION("""COMPUTED_VALUE"""),"FILME STRETCH 500X25")</f>
        <v>FILME STRETCH 500X25</v>
      </c>
      <c r="D856" s="48">
        <f>IFERROR(__xludf.DUMMYFUNCTION("""COMPUTED_VALUE"""),5.0)</f>
        <v>5</v>
      </c>
      <c r="E856" s="49"/>
      <c r="F856" s="49"/>
      <c r="G856" s="39">
        <f t="array" ref="G856">XLOOKUP(B856,'Página9'!A:A,'Página9'!F:F,"")</f>
        <v>-158</v>
      </c>
      <c r="H856" s="39">
        <f t="array" ref="H856">XLOOKUP(B856,'Página9'!A:A,'Página9'!C:C,"")</f>
        <v>40</v>
      </c>
      <c r="I856" s="35" t="str">
        <f t="array" ref="I856">XLOOKUP(B856,'Página9'!A:A,'Página9'!G:G,"")</f>
        <v>REPOR ESTOQUE</v>
      </c>
      <c r="J856" s="25" t="str">
        <f t="shared" si="1"/>
        <v/>
      </c>
      <c r="K856" s="25" t="str">
        <f>IFERROR(__xludf.DUMMYFUNCTION("""COMPUTED_VALUE"""),"Matheus De Almeida Rodrigues")</f>
        <v>Matheus De Almeida Rodrigues</v>
      </c>
    </row>
    <row r="857">
      <c r="A857" s="45">
        <f>IFERROR(__xludf.DUMMYFUNCTION("""COMPUTED_VALUE"""),46097.0)</f>
        <v>46097</v>
      </c>
      <c r="B857" s="46" t="str">
        <f>IFERROR(__xludf.DUMMYFUNCTION("""COMPUTED_VALUE"""),"MCC015UC0008")</f>
        <v>MCC015UC0008</v>
      </c>
      <c r="C857" s="47" t="str">
        <f>IFERROR(__xludf.DUMMYFUNCTION("""COMPUTED_VALUE"""),"FILME STRETCH 500X25")</f>
        <v>FILME STRETCH 500X25</v>
      </c>
      <c r="D857" s="48">
        <f>IFERROR(__xludf.DUMMYFUNCTION("""COMPUTED_VALUE"""),30.0)</f>
        <v>30</v>
      </c>
      <c r="E857" s="49"/>
      <c r="F857" s="49"/>
      <c r="G857" s="39">
        <f t="array" ref="G857">XLOOKUP(B857,'Página9'!A:A,'Página9'!F:F,"")</f>
        <v>-158</v>
      </c>
      <c r="H857" s="39">
        <f t="array" ref="H857">XLOOKUP(B857,'Página9'!A:A,'Página9'!C:C,"")</f>
        <v>40</v>
      </c>
      <c r="I857" s="35" t="str">
        <f t="array" ref="I857">XLOOKUP(B857,'Página9'!A:A,'Página9'!G:G,"")</f>
        <v>REPOR ESTOQUE</v>
      </c>
      <c r="J857" s="25" t="str">
        <f t="shared" si="1"/>
        <v/>
      </c>
      <c r="K857" s="25" t="str">
        <f>IFERROR(__xludf.DUMMYFUNCTION("""COMPUTED_VALUE"""),"Allison Breno Da Costa Borges Soares")</f>
        <v>Allison Breno Da Costa Borges Soares</v>
      </c>
    </row>
    <row r="858">
      <c r="A858" s="45">
        <f>IFERROR(__xludf.DUMMYFUNCTION("""COMPUTED_VALUE"""),46097.0)</f>
        <v>46097</v>
      </c>
      <c r="B858" s="46" t="str">
        <f>IFERROR(__xludf.DUMMYFUNCTION("""COMPUTED_VALUE"""),"MCC046UC0596")</f>
        <v>MCC046UC0596</v>
      </c>
      <c r="C858" s="47" t="str">
        <f>IFERROR(__xludf.DUMMYFUNCTION("""COMPUTED_VALUE"""),"ETIQUETA ADESIVA COUCHE BRANCA   - 105X150MM SAS")</f>
        <v>ETIQUETA ADESIVA COUCHE BRANCA   - 105X150MM SAS</v>
      </c>
      <c r="D858" s="48">
        <f>IFERROR(__xludf.DUMMYFUNCTION("""COMPUTED_VALUE"""),20.0)</f>
        <v>20</v>
      </c>
      <c r="E858" s="49"/>
      <c r="F858" s="49"/>
      <c r="G858" s="39">
        <f t="array" ref="G858">XLOOKUP(B858,'Página9'!A:A,'Página9'!F:F,"")</f>
        <v>157</v>
      </c>
      <c r="H858" s="39">
        <f t="array" ref="H858">XLOOKUP(B858,'Página9'!A:A,'Página9'!C:C,"")</f>
        <v>20</v>
      </c>
      <c r="I858" s="35" t="str">
        <f t="array" ref="I858">XLOOKUP(B858,'Página9'!A:A,'Página9'!G:G,"")</f>
        <v>OK</v>
      </c>
      <c r="J858" s="25" t="str">
        <f t="shared" si="1"/>
        <v/>
      </c>
      <c r="K858" s="25" t="str">
        <f>IFERROR(__xludf.DUMMYFUNCTION("""COMPUTED_VALUE"""),"Daniele Paulo Marques")</f>
        <v>Daniele Paulo Marques</v>
      </c>
    </row>
    <row r="859">
      <c r="A859" s="45">
        <f>IFERROR(__xludf.DUMMYFUNCTION("""COMPUTED_VALUE"""),46098.0)</f>
        <v>46098</v>
      </c>
      <c r="B859" s="46" t="str">
        <f>IFERROR(__xludf.DUMMYFUNCTION("""COMPUTED_VALUE"""),"MCC046UC0215")</f>
        <v>MCC046UC0215</v>
      </c>
      <c r="C859" s="47" t="str">
        <f>IFERROR(__xludf.DUMMYFUNCTION("""COMPUTED_VALUE"""),"CANETA ESFEROGRAFICA ECONOMIC AZUL BIC")</f>
        <v>CANETA ESFEROGRAFICA ECONOMIC AZUL BIC</v>
      </c>
      <c r="D859" s="48">
        <f>IFERROR(__xludf.DUMMYFUNCTION("""COMPUTED_VALUE"""),2.0)</f>
        <v>2</v>
      </c>
      <c r="E859" s="49"/>
      <c r="F859" s="49"/>
      <c r="G859" s="39">
        <f t="array" ref="G859">XLOOKUP(B859,'Página9'!A:A,'Página9'!F:F,"")</f>
        <v>-20</v>
      </c>
      <c r="H859" s="39">
        <f t="array" ref="H859">XLOOKUP(B859,'Página9'!A:A,'Página9'!C:C,"")</f>
        <v>15</v>
      </c>
      <c r="I859" s="35" t="str">
        <f t="array" ref="I859">XLOOKUP(B859,'Página9'!A:A,'Página9'!G:G,"")</f>
        <v>REPOR ESTOQUE</v>
      </c>
      <c r="J859" s="25" t="str">
        <f t="shared" si="1"/>
        <v/>
      </c>
      <c r="K859" s="25" t="str">
        <f>IFERROR(__xludf.DUMMYFUNCTION("""COMPUTED_VALUE"""),"Cosme Marcio Barros Barbosa")</f>
        <v>Cosme Marcio Barros Barbosa</v>
      </c>
    </row>
    <row r="860">
      <c r="A860" s="45">
        <f>IFERROR(__xludf.DUMMYFUNCTION("""COMPUTED_VALUE"""),46098.0)</f>
        <v>46098</v>
      </c>
      <c r="B860" s="46" t="str">
        <f>IFERROR(__xludf.DUMMYFUNCTION("""COMPUTED_VALUE"""),"MCC046UC0596")</f>
        <v>MCC046UC0596</v>
      </c>
      <c r="C860" s="47" t="str">
        <f>IFERROR(__xludf.DUMMYFUNCTION("""COMPUTED_VALUE"""),"ETIQUETA ADESIVA COUCHE BRANCA   - 105X150MM SAS")</f>
        <v>ETIQUETA ADESIVA COUCHE BRANCA   - 105X150MM SAS</v>
      </c>
      <c r="D860" s="48">
        <f>IFERROR(__xludf.DUMMYFUNCTION("""COMPUTED_VALUE"""),20.0)</f>
        <v>20</v>
      </c>
      <c r="E860" s="49"/>
      <c r="F860" s="49"/>
      <c r="G860" s="39">
        <f t="array" ref="G860">XLOOKUP(B860,'Página9'!A:A,'Página9'!F:F,"")</f>
        <v>157</v>
      </c>
      <c r="H860" s="39">
        <f t="array" ref="H860">XLOOKUP(B860,'Página9'!A:A,'Página9'!C:C,"")</f>
        <v>20</v>
      </c>
      <c r="I860" s="35" t="str">
        <f t="array" ref="I860">XLOOKUP(B860,'Página9'!A:A,'Página9'!G:G,"")</f>
        <v>OK</v>
      </c>
      <c r="J860" s="25" t="str">
        <f t="shared" si="1"/>
        <v/>
      </c>
      <c r="K860" s="25" t="str">
        <f>IFERROR(__xludf.DUMMYFUNCTION("""COMPUTED_VALUE"""),"Rejane Fontes De Sousa")</f>
        <v>Rejane Fontes De Sousa</v>
      </c>
    </row>
    <row r="861">
      <c r="A861" s="45">
        <f>IFERROR(__xludf.DUMMYFUNCTION("""COMPUTED_VALUE"""),46098.0)</f>
        <v>46098</v>
      </c>
      <c r="B861" s="46" t="str">
        <f>IFERROR(__xludf.DUMMYFUNCTION("""COMPUTED_VALUE"""),"MCC046UC0596")</f>
        <v>MCC046UC0596</v>
      </c>
      <c r="C861" s="47" t="str">
        <f>IFERROR(__xludf.DUMMYFUNCTION("""COMPUTED_VALUE"""),"ETIQUETA ADESIVA COUCHE BRANCA   - 105X150MM SAS")</f>
        <v>ETIQUETA ADESIVA COUCHE BRANCA   - 105X150MM SAS</v>
      </c>
      <c r="D861" s="48">
        <f>IFERROR(__xludf.DUMMYFUNCTION("""COMPUTED_VALUE"""),10.0)</f>
        <v>10</v>
      </c>
      <c r="E861" s="49"/>
      <c r="F861" s="49"/>
      <c r="G861" s="39">
        <f t="array" ref="G861">XLOOKUP(B861,'Página9'!A:A,'Página9'!F:F,"")</f>
        <v>157</v>
      </c>
      <c r="H861" s="39">
        <f t="array" ref="H861">XLOOKUP(B861,'Página9'!A:A,'Página9'!C:C,"")</f>
        <v>20</v>
      </c>
      <c r="I861" s="35" t="str">
        <f t="array" ref="I861">XLOOKUP(B861,'Página9'!A:A,'Página9'!G:G,"")</f>
        <v>OK</v>
      </c>
      <c r="J861" s="25" t="str">
        <f t="shared" si="1"/>
        <v/>
      </c>
      <c r="K861" s="25" t="str">
        <f>IFERROR(__xludf.DUMMYFUNCTION("""COMPUTED_VALUE"""),"Rejane Fontes De Sousa")</f>
        <v>Rejane Fontes De Sousa</v>
      </c>
    </row>
    <row r="862">
      <c r="A862" s="45">
        <f>IFERROR(__xludf.DUMMYFUNCTION("""COMPUTED_VALUE"""),46098.0)</f>
        <v>46098</v>
      </c>
      <c r="B862" s="46" t="str">
        <f>IFERROR(__xludf.DUMMYFUNCTION("""COMPUTED_VALUE"""),"MCC046UC0695")</f>
        <v>MCC046UC0695</v>
      </c>
      <c r="C862" s="47" t="str">
        <f>IFERROR(__xludf.DUMMYFUNCTION("""COMPUTED_VALUE"""),"ETIQUETA COUCHE 98X50X1")</f>
        <v>ETIQUETA COUCHE 98X50X1</v>
      </c>
      <c r="D862" s="48">
        <f>IFERROR(__xludf.DUMMYFUNCTION("""COMPUTED_VALUE"""),109.0)</f>
        <v>109</v>
      </c>
      <c r="E862" s="49"/>
      <c r="F862" s="49"/>
      <c r="G862" s="39">
        <f t="array" ref="G862">XLOOKUP(B862,'Página9'!A:A,'Página9'!F:F,"")</f>
        <v>256</v>
      </c>
      <c r="H862" s="39">
        <f t="array" ref="H862">XLOOKUP(B862,'Página9'!A:A,'Página9'!C:C,"")</f>
        <v>20</v>
      </c>
      <c r="I862" s="35" t="str">
        <f t="array" ref="I862">XLOOKUP(B862,'Página9'!A:A,'Página9'!G:G,"")</f>
        <v>OK</v>
      </c>
      <c r="J862" s="25" t="str">
        <f t="shared" si="1"/>
        <v/>
      </c>
      <c r="K862" s="25" t="str">
        <f>IFERROR(__xludf.DUMMYFUNCTION("""COMPUTED_VALUE"""),"Francisco Edson Oliveira Dos Santos Vieira")</f>
        <v>Francisco Edson Oliveira Dos Santos Vieira</v>
      </c>
    </row>
    <row r="863">
      <c r="A863" s="45">
        <f>IFERROR(__xludf.DUMMYFUNCTION("""COMPUTED_VALUE"""),45856.0)</f>
        <v>45856</v>
      </c>
      <c r="B863" s="25" t="str">
        <f>IFERROR(__xludf.DUMMYFUNCTION("""COMPUTED_VALUE"""),"MCC046UC0164")</f>
        <v>MCC046UC0164</v>
      </c>
      <c r="C863" s="47" t="str">
        <f>IFERROR(__xludf.DUMMYFUNCTION("""COMPUTED_VALUE"""),"P/ QUADRO BRANCO RADEX")</f>
        <v>P/ QUADRO BRANCO RADEX</v>
      </c>
      <c r="D863" s="48">
        <f>IFERROR(__xludf.DUMMYFUNCTION("""COMPUTED_VALUE"""),2.0)</f>
        <v>2</v>
      </c>
      <c r="E863" s="49"/>
      <c r="F863" s="49"/>
      <c r="G863" s="39">
        <f t="array" ref="G863">XLOOKUP(B863,'Página9'!A:A,'Página9'!F:F,"")</f>
        <v>-1</v>
      </c>
      <c r="H863" s="39">
        <f t="array" ref="H863">XLOOKUP(B863,'Página9'!A:A,'Página9'!C:C,"")</f>
        <v>1</v>
      </c>
      <c r="I863" s="35" t="str">
        <f t="array" ref="I863">XLOOKUP(B863,'Página9'!A:A,'Página9'!G:G,"")</f>
        <v>REPOR ESTOQUE</v>
      </c>
      <c r="J863" s="25" t="str">
        <f t="shared" si="1"/>
        <v/>
      </c>
    </row>
    <row r="864">
      <c r="A864" s="45">
        <f>IFERROR(__xludf.DUMMYFUNCTION("""COMPUTED_VALUE"""),45856.0)</f>
        <v>45856</v>
      </c>
      <c r="B864" s="25" t="str">
        <f>IFERROR(__xludf.DUMMYFUNCTION("""COMPUTED_VALUE"""),"MCC015UC0038")</f>
        <v>MCC015UC0038</v>
      </c>
      <c r="C864" s="47" t="str">
        <f>IFERROR(__xludf.DUMMYFUNCTION("""COMPUTED_VALUE"""),"SHRINK 500MM")</f>
        <v>SHRINK 500MM</v>
      </c>
      <c r="D864" s="48">
        <f>IFERROR(__xludf.DUMMYFUNCTION("""COMPUTED_VALUE"""),7.0)</f>
        <v>7</v>
      </c>
      <c r="E864" s="49"/>
      <c r="F864" s="49"/>
      <c r="G864" s="39">
        <f t="array" ref="G864">XLOOKUP(B864,'Página9'!A:A,'Página9'!F:F,"")</f>
        <v>13</v>
      </c>
      <c r="H864" s="39">
        <f t="array" ref="H864">XLOOKUP(B864,'Página9'!A:A,'Página9'!C:C,"")</f>
        <v>3</v>
      </c>
      <c r="I864" s="35" t="str">
        <f t="array" ref="I864">XLOOKUP(B864,'Página9'!A:A,'Página9'!G:G,"")</f>
        <v>OK</v>
      </c>
      <c r="J864" s="25" t="str">
        <f t="shared" si="1"/>
        <v/>
      </c>
    </row>
    <row r="865">
      <c r="A865" s="45">
        <f>IFERROR(__xludf.DUMMYFUNCTION("""COMPUTED_VALUE"""),45856.0)</f>
        <v>45856</v>
      </c>
      <c r="B865" s="25" t="str">
        <f>IFERROR(__xludf.DUMMYFUNCTION("""COMPUTED_VALUE"""),"MCC046UC0210")</f>
        <v>MCC046UC0210</v>
      </c>
      <c r="C865" s="47" t="str">
        <f>IFERROR(__xludf.DUMMYFUNCTION("""COMPUTED_VALUE"""),"MESA 12 DIGITOS ZT 712 ZETA")</f>
        <v>MESA 12 DIGITOS ZT 712 ZETA</v>
      </c>
      <c r="D865" s="48">
        <f>IFERROR(__xludf.DUMMYFUNCTION("""COMPUTED_VALUE"""),20.0)</f>
        <v>20</v>
      </c>
      <c r="E865" s="49"/>
      <c r="F865" s="49"/>
      <c r="G865" s="39">
        <f t="array" ref="G865">XLOOKUP(B865,'Página9'!A:A,'Página9'!F:F,"")</f>
        <v>2</v>
      </c>
      <c r="H865" s="39">
        <f t="array" ref="H865">XLOOKUP(B865,'Página9'!A:A,'Página9'!C:C,"")</f>
        <v>1</v>
      </c>
      <c r="I865" s="35" t="str">
        <f t="array" ref="I865">XLOOKUP(B865,'Página9'!A:A,'Página9'!G:G,"")</f>
        <v>OK</v>
      </c>
      <c r="J865" s="25" t="str">
        <f t="shared" si="1"/>
        <v/>
      </c>
    </row>
    <row r="866">
      <c r="A866" s="45">
        <f>IFERROR(__xludf.DUMMYFUNCTION("""COMPUTED_VALUE"""),45856.0)</f>
        <v>45856</v>
      </c>
      <c r="B866" s="25" t="str">
        <f>IFERROR(__xludf.DUMMYFUNCTION("""COMPUTED_VALUE"""),"MCC049UC0601")</f>
        <v>MCC049UC0601</v>
      </c>
      <c r="C866" s="47" t="str">
        <f>IFERROR(__xludf.DUMMYFUNCTION("""COMPUTED_VALUE"""),"ESFEROGRAFICA COMPACTOR VERMELHA")</f>
        <v>ESFEROGRAFICA COMPACTOR VERMELHA</v>
      </c>
      <c r="D866" s="48">
        <f>IFERROR(__xludf.DUMMYFUNCTION("""COMPUTED_VALUE"""),80.0)</f>
        <v>80</v>
      </c>
      <c r="E866" s="49"/>
      <c r="F866" s="49"/>
      <c r="G866" s="39" t="str">
        <f t="array" ref="G866">XLOOKUP(B866,'Página9'!A:A,'Página9'!F:F,"")</f>
        <v/>
      </c>
      <c r="H866" s="39" t="str">
        <f t="array" ref="H866">XLOOKUP(B866,'Página9'!A:A,'Página9'!C:C,"")</f>
        <v/>
      </c>
      <c r="I866" s="35" t="str">
        <f t="array" ref="I866">XLOOKUP(B866,'Página9'!A:A,'Página9'!G:G,"")</f>
        <v/>
      </c>
      <c r="J866" s="25" t="str">
        <f t="shared" si="1"/>
        <v/>
      </c>
    </row>
    <row r="867">
      <c r="A867" s="45">
        <f>IFERROR(__xludf.DUMMYFUNCTION("""COMPUTED_VALUE"""),45856.0)</f>
        <v>45856</v>
      </c>
      <c r="B867" s="25" t="str">
        <f>IFERROR(__xludf.DUMMYFUNCTION("""COMPUTED_VALUE"""),"MCC046UC0215")</f>
        <v>MCC046UC0215</v>
      </c>
      <c r="C867" s="47" t="str">
        <f>IFERROR(__xludf.DUMMYFUNCTION("""COMPUTED_VALUE"""),"ESFEROGRAFICA ECONOMIC AZUL BIC")</f>
        <v>ESFEROGRAFICA ECONOMIC AZUL BIC</v>
      </c>
      <c r="D867" s="48">
        <f>IFERROR(__xludf.DUMMYFUNCTION("""COMPUTED_VALUE"""),118.0)</f>
        <v>118</v>
      </c>
      <c r="E867" s="49"/>
      <c r="F867" s="49"/>
      <c r="G867" s="39">
        <f t="array" ref="G867">XLOOKUP(B867,'Página9'!A:A,'Página9'!F:F,"")</f>
        <v>-20</v>
      </c>
      <c r="H867" s="39">
        <f t="array" ref="H867">XLOOKUP(B867,'Página9'!A:A,'Página9'!C:C,"")</f>
        <v>15</v>
      </c>
      <c r="I867" s="35" t="str">
        <f t="array" ref="I867">XLOOKUP(B867,'Página9'!A:A,'Página9'!G:G,"")</f>
        <v>REPOR ESTOQUE</v>
      </c>
      <c r="J867" s="25" t="str">
        <f t="shared" si="1"/>
        <v/>
      </c>
    </row>
    <row r="868">
      <c r="A868" s="45">
        <f>IFERROR(__xludf.DUMMYFUNCTION("""COMPUTED_VALUE"""),45856.0)</f>
        <v>45856</v>
      </c>
      <c r="B868" s="25" t="str">
        <f>IFERROR(__xludf.DUMMYFUNCTION("""COMPUTED_VALUE"""),"MCC046UC0216")</f>
        <v>MCC046UC0216</v>
      </c>
      <c r="C868" s="47" t="str">
        <f>IFERROR(__xludf.DUMMYFUNCTION("""COMPUTED_VALUE"""),"ESFEROGRAFICA ECONOMIC PRETA BIC")</f>
        <v>ESFEROGRAFICA ECONOMIC PRETA BIC</v>
      </c>
      <c r="D868" s="48">
        <f>IFERROR(__xludf.DUMMYFUNCTION("""COMPUTED_VALUE"""),146.0)</f>
        <v>146</v>
      </c>
      <c r="E868" s="49"/>
      <c r="F868" s="49"/>
      <c r="G868" s="39">
        <f t="array" ref="G868">XLOOKUP(B868,'Página9'!A:A,'Página9'!F:F,"")</f>
        <v>89</v>
      </c>
      <c r="H868" s="39">
        <f t="array" ref="H868">XLOOKUP(B868,'Página9'!A:A,'Página9'!C:C,"")</f>
        <v>15</v>
      </c>
      <c r="I868" s="35" t="str">
        <f t="array" ref="I868">XLOOKUP(B868,'Página9'!A:A,'Página9'!G:G,"")</f>
        <v>OK</v>
      </c>
      <c r="J868" s="25" t="str">
        <f t="shared" si="1"/>
        <v/>
      </c>
    </row>
    <row r="869">
      <c r="A869" s="45">
        <f>IFERROR(__xludf.DUMMYFUNCTION("""COMPUTED_VALUE"""),45856.0)</f>
        <v>45856</v>
      </c>
      <c r="B869" s="25" t="str">
        <f>IFERROR(__xludf.DUMMYFUNCTION("""COMPUTED_VALUE"""),"MCC046UC0525")</f>
        <v>MCC046UC0525</v>
      </c>
      <c r="C869" s="47" t="str">
        <f>IFERROR(__xludf.DUMMYFUNCTION("""COMPUTED_VALUE"""),"PINCEL ATOMICO AZUL PILOT 1100")</f>
        <v>PINCEL ATOMICO AZUL PILOT 1100</v>
      </c>
      <c r="D869" s="48">
        <f>IFERROR(__xludf.DUMMYFUNCTION("""COMPUTED_VALUE"""),25.0)</f>
        <v>25</v>
      </c>
      <c r="E869" s="49"/>
      <c r="F869" s="49"/>
      <c r="G869" s="39">
        <f t="array" ref="G869">XLOOKUP(B869,'Página9'!A:A,'Página9'!F:F,"")</f>
        <v>5</v>
      </c>
      <c r="H869" s="39">
        <f t="array" ref="H869">XLOOKUP(B869,'Página9'!A:A,'Página9'!C:C,"")</f>
        <v>3</v>
      </c>
      <c r="I869" s="35" t="str">
        <f t="array" ref="I869">XLOOKUP(B869,'Página9'!A:A,'Página9'!G:G,"")</f>
        <v>OK</v>
      </c>
      <c r="J869" s="25" t="str">
        <f t="shared" si="1"/>
        <v/>
      </c>
    </row>
    <row r="870">
      <c r="A870" s="45">
        <f>IFERROR(__xludf.DUMMYFUNCTION("""COMPUTED_VALUE"""),45856.0)</f>
        <v>45856</v>
      </c>
      <c r="B870" s="25" t="str">
        <f>IFERROR(__xludf.DUMMYFUNCTION("""COMPUTED_VALUE"""),"MCC046UC0526")</f>
        <v>MCC046UC0526</v>
      </c>
      <c r="C870" s="47" t="str">
        <f>IFERROR(__xludf.DUMMYFUNCTION("""COMPUTED_VALUE"""),"PINCEL ATOMICO PRETA PILOT 1100")</f>
        <v>PINCEL ATOMICO PRETA PILOT 1100</v>
      </c>
      <c r="D870" s="48">
        <f>IFERROR(__xludf.DUMMYFUNCTION("""COMPUTED_VALUE"""),19.0)</f>
        <v>19</v>
      </c>
      <c r="E870" s="49"/>
      <c r="F870" s="49"/>
      <c r="G870" s="39">
        <f t="array" ref="G870">XLOOKUP(B870,'Página9'!A:A,'Página9'!F:F,"")</f>
        <v>1</v>
      </c>
      <c r="H870" s="39">
        <f t="array" ref="H870">XLOOKUP(B870,'Página9'!A:A,'Página9'!C:C,"")</f>
        <v>3</v>
      </c>
      <c r="I870" s="35" t="str">
        <f t="array" ref="I870">XLOOKUP(B870,'Página9'!A:A,'Página9'!G:G,"")</f>
        <v>REPOR ESTOQUE</v>
      </c>
      <c r="J870" s="25" t="str">
        <f t="shared" si="1"/>
        <v/>
      </c>
    </row>
    <row r="871">
      <c r="A871" s="45">
        <f>IFERROR(__xludf.DUMMYFUNCTION("""COMPUTED_VALUE"""),45856.0)</f>
        <v>45856</v>
      </c>
      <c r="B871" s="25" t="str">
        <f>IFERROR(__xludf.DUMMYFUNCTION("""COMPUTED_VALUE"""),"MCC046UC0674")</f>
        <v>MCC046UC0674</v>
      </c>
      <c r="C871" s="47" t="str">
        <f>IFERROR(__xludf.DUMMYFUNCTION("""COMPUTED_VALUE"""),"6/0")</f>
        <v>6/0</v>
      </c>
      <c r="D871" s="48">
        <f>IFERROR(__xludf.DUMMYFUNCTION("""COMPUTED_VALUE"""),8.0)</f>
        <v>8</v>
      </c>
      <c r="E871" s="49"/>
      <c r="F871" s="49"/>
      <c r="G871" s="39">
        <f t="array" ref="G871">XLOOKUP(B871,'Página9'!A:A,'Página9'!F:F,"")</f>
        <v>8</v>
      </c>
      <c r="H871" s="39">
        <f t="array" ref="H871">XLOOKUP(B871,'Página9'!A:A,'Página9'!C:C,"")</f>
        <v>2</v>
      </c>
      <c r="I871" s="35" t="str">
        <f t="array" ref="I871">XLOOKUP(B871,'Página9'!A:A,'Página9'!G:G,"")</f>
        <v>OK</v>
      </c>
      <c r="J871" s="25" t="str">
        <f t="shared" si="1"/>
        <v/>
      </c>
    </row>
    <row r="872">
      <c r="A872" s="45">
        <f>IFERROR(__xludf.DUMMYFUNCTION("""COMPUTED_VALUE"""),45856.0)</f>
        <v>45856</v>
      </c>
      <c r="B872" s="25" t="str">
        <f>IFERROR(__xludf.DUMMYFUNCTION("""COMPUTED_VALUE"""),"MCC046UC0052")</f>
        <v>MCC046UC0052</v>
      </c>
      <c r="C872" s="47" t="str">
        <f>IFERROR(__xludf.DUMMYFUNCTION("""COMPUTED_VALUE"""),"8/0")</f>
        <v>8/0</v>
      </c>
      <c r="D872" s="48">
        <f>IFERROR(__xludf.DUMMYFUNCTION("""COMPUTED_VALUE"""),10.0)</f>
        <v>10</v>
      </c>
      <c r="E872" s="49"/>
      <c r="F872" s="49"/>
      <c r="G872" s="39">
        <f t="array" ref="G872">XLOOKUP(B872,'Página9'!A:A,'Página9'!F:F,"")</f>
        <v>10</v>
      </c>
      <c r="H872" s="39">
        <f t="array" ref="H872">XLOOKUP(B872,'Página9'!A:A,'Página9'!C:C,"")</f>
        <v>2</v>
      </c>
      <c r="I872" s="35" t="str">
        <f t="array" ref="I872">XLOOKUP(B872,'Página9'!A:A,'Página9'!G:G,"")</f>
        <v>OK</v>
      </c>
      <c r="J872" s="25" t="str">
        <f t="shared" si="1"/>
        <v/>
      </c>
    </row>
    <row r="873">
      <c r="A873" s="45">
        <f>IFERROR(__xludf.DUMMYFUNCTION("""COMPUTED_VALUE"""),45856.0)</f>
        <v>45856</v>
      </c>
      <c r="B873" s="25" t="str">
        <f>IFERROR(__xludf.DUMMYFUNCTION("""COMPUTED_VALUE"""),"MCC046UC0617")</f>
        <v>MCC046UC0617</v>
      </c>
      <c r="C873" s="47" t="str">
        <f>IFERROR(__xludf.DUMMYFUNCTION("""COMPUTED_VALUE"""),"CHAPARRAU 2/0 CX C/100 UN GALV.")</f>
        <v>CHAPARRAU 2/0 CX C/100 UN GALV.</v>
      </c>
      <c r="D873" s="48">
        <f>IFERROR(__xludf.DUMMYFUNCTION("""COMPUTED_VALUE"""),17.0)</f>
        <v>17</v>
      </c>
      <c r="E873" s="49"/>
      <c r="F873" s="49"/>
      <c r="G873" s="39">
        <f t="array" ref="G873">XLOOKUP(B873,'Página9'!A:A,'Página9'!F:F,"")</f>
        <v>16</v>
      </c>
      <c r="H873" s="39">
        <f t="array" ref="H873">XLOOKUP(B873,'Página9'!A:A,'Página9'!C:C,"")</f>
        <v>2</v>
      </c>
      <c r="I873" s="35" t="str">
        <f t="array" ref="I873">XLOOKUP(B873,'Página9'!A:A,'Página9'!G:G,"")</f>
        <v>OK</v>
      </c>
      <c r="J873" s="25" t="str">
        <f t="shared" si="1"/>
        <v/>
      </c>
    </row>
    <row r="874">
      <c r="A874" s="45">
        <f>IFERROR(__xludf.DUMMYFUNCTION("""COMPUTED_VALUE"""),45856.0)</f>
        <v>45856</v>
      </c>
      <c r="B874" s="25" t="str">
        <f>IFERROR(__xludf.DUMMYFUNCTION("""COMPUTED_VALUE"""),"MCC046UC0315")</f>
        <v>MCC046UC0315</v>
      </c>
      <c r="C874" s="47" t="str">
        <f>IFERROR(__xludf.DUMMYFUNCTION("""COMPUTED_VALUE"""),"18MM PLASTICO LARGO BRW")</f>
        <v>18MM PLASTICO LARGO BRW</v>
      </c>
      <c r="D874" s="48">
        <f>IFERROR(__xludf.DUMMYFUNCTION("""COMPUTED_VALUE"""),0.0)</f>
        <v>0</v>
      </c>
      <c r="E874" s="49"/>
      <c r="F874" s="49"/>
      <c r="G874" s="39">
        <f t="array" ref="G874">XLOOKUP(B874,'Página9'!A:A,'Página9'!F:F,"")</f>
        <v>0</v>
      </c>
      <c r="H874" s="39">
        <f t="array" ref="H874">XLOOKUP(B874,'Página9'!A:A,'Página9'!C:C,"")</f>
        <v>3</v>
      </c>
      <c r="I874" s="35" t="str">
        <f t="array" ref="I874">XLOOKUP(B874,'Página9'!A:A,'Página9'!G:G,"")</f>
        <v>REPOR ESTOQUE</v>
      </c>
      <c r="J874" s="25" t="str">
        <f t="shared" si="1"/>
        <v/>
      </c>
    </row>
    <row r="875">
      <c r="A875" s="45">
        <f>IFERROR(__xludf.DUMMYFUNCTION("""COMPUTED_VALUE"""),45856.0)</f>
        <v>45856</v>
      </c>
      <c r="B875" s="25" t="str">
        <f>IFERROR(__xludf.DUMMYFUNCTION("""COMPUTED_VALUE"""),"MCC046UC0660")</f>
        <v>MCC046UC0660</v>
      </c>
      <c r="C875" s="47" t="str">
        <f>IFERROR(__xludf.DUMMYFUNCTION("""COMPUTED_VALUE"""),"70MM COORDENACAO")</f>
        <v>70MM COORDENACAO</v>
      </c>
      <c r="D875" s="48">
        <f>IFERROR(__xludf.DUMMYFUNCTION("""COMPUTED_VALUE"""),58.0)</f>
        <v>58</v>
      </c>
      <c r="E875" s="49"/>
      <c r="F875" s="49"/>
      <c r="G875" s="39">
        <f t="array" ref="G875">XLOOKUP(B875,'Página9'!A:A,'Página9'!F:F,"")</f>
        <v>35</v>
      </c>
      <c r="H875" s="39">
        <f t="array" ref="H875">XLOOKUP(B875,'Página9'!A:A,'Página9'!C:C,"")</f>
        <v>5</v>
      </c>
      <c r="I875" s="35" t="str">
        <f t="array" ref="I875">XLOOKUP(B875,'Página9'!A:A,'Página9'!G:G,"")</f>
        <v>OK</v>
      </c>
      <c r="J875" s="25" t="str">
        <f t="shared" si="1"/>
        <v/>
      </c>
    </row>
    <row r="876">
      <c r="A876" s="45">
        <f>IFERROR(__xludf.DUMMYFUNCTION("""COMPUTED_VALUE"""),45856.0)</f>
        <v>45856</v>
      </c>
      <c r="B876" s="25" t="str">
        <f>IFERROR(__xludf.DUMMYFUNCTION("""COMPUTED_VALUE"""),"MCC046UC0659")</f>
        <v>MCC046UC0659</v>
      </c>
      <c r="C876" s="47" t="str">
        <f>IFERROR(__xludf.DUMMYFUNCTION("""COMPUTED_VALUE"""),"70MM PROFESSOR")</f>
        <v>70MM PROFESSOR</v>
      </c>
      <c r="D876" s="48">
        <f>IFERROR(__xludf.DUMMYFUNCTION("""COMPUTED_VALUE"""),59.0)</f>
        <v>59</v>
      </c>
      <c r="E876" s="49"/>
      <c r="F876" s="49"/>
      <c r="G876" s="39">
        <f t="array" ref="G876">XLOOKUP(B876,'Página9'!A:A,'Página9'!F:F,"")</f>
        <v>25</v>
      </c>
      <c r="H876" s="39">
        <f t="array" ref="H876">XLOOKUP(B876,'Página9'!A:A,'Página9'!C:C,"")</f>
        <v>5</v>
      </c>
      <c r="I876" s="35" t="str">
        <f t="array" ref="I876">XLOOKUP(B876,'Página9'!A:A,'Página9'!G:G,"")</f>
        <v>OK</v>
      </c>
      <c r="J876" s="25" t="str">
        <f t="shared" si="1"/>
        <v/>
      </c>
    </row>
    <row r="877">
      <c r="A877" s="45">
        <f>IFERROR(__xludf.DUMMYFUNCTION("""COMPUTED_VALUE"""),45856.0)</f>
        <v>45856</v>
      </c>
      <c r="B877" s="25" t="str">
        <f>IFERROR(__xludf.DUMMYFUNCTION("""COMPUTED_VALUE"""),"MCC046UC0599")</f>
        <v>MCC046UC0599</v>
      </c>
      <c r="C877" s="47" t="str">
        <f>IFERROR(__xludf.DUMMYFUNCTION("""COMPUTED_VALUE"""),"ADESIVA COUCHE AMARELA  - 105X150MM SAS")</f>
        <v>ADESIVA COUCHE AMARELA  - 105X150MM SAS</v>
      </c>
      <c r="D877" s="48">
        <f>IFERROR(__xludf.DUMMYFUNCTION("""COMPUTED_VALUE"""),69.0)</f>
        <v>69</v>
      </c>
      <c r="E877" s="49"/>
      <c r="F877" s="49"/>
      <c r="G877" s="39">
        <f t="array" ref="G877">XLOOKUP(B877,'Página9'!A:A,'Página9'!F:F,"")</f>
        <v>25</v>
      </c>
      <c r="H877" s="39">
        <f t="array" ref="H877">XLOOKUP(B877,'Página9'!A:A,'Página9'!C:C,"")</f>
        <v>5</v>
      </c>
      <c r="I877" s="35" t="str">
        <f t="array" ref="I877">XLOOKUP(B877,'Página9'!A:A,'Página9'!G:G,"")</f>
        <v>OK</v>
      </c>
      <c r="J877" s="25" t="str">
        <f t="shared" si="1"/>
        <v/>
      </c>
    </row>
    <row r="878">
      <c r="A878" s="45">
        <f>IFERROR(__xludf.DUMMYFUNCTION("""COMPUTED_VALUE"""),45856.0)</f>
        <v>45856</v>
      </c>
      <c r="B878" s="25" t="str">
        <f>IFERROR(__xludf.DUMMYFUNCTION("""COMPUTED_VALUE"""),"MCC046UC0598")</f>
        <v>MCC046UC0598</v>
      </c>
      <c r="C878" s="47" t="str">
        <f>IFERROR(__xludf.DUMMYFUNCTION("""COMPUTED_VALUE"""),"ADESIVA COUCHE AZUL - 105X150MM SAS")</f>
        <v>ADESIVA COUCHE AZUL - 105X150MM SAS</v>
      </c>
      <c r="D878" s="48">
        <f>IFERROR(__xludf.DUMMYFUNCTION("""COMPUTED_VALUE"""),67.0)</f>
        <v>67</v>
      </c>
      <c r="E878" s="49"/>
      <c r="F878" s="49"/>
      <c r="G878" s="39">
        <f t="array" ref="G878">XLOOKUP(B878,'Página9'!A:A,'Página9'!F:F,"")</f>
        <v>40</v>
      </c>
      <c r="H878" s="39">
        <f t="array" ref="H878">XLOOKUP(B878,'Página9'!A:A,'Página9'!C:C,"")</f>
        <v>5</v>
      </c>
      <c r="I878" s="35" t="str">
        <f t="array" ref="I878">XLOOKUP(B878,'Página9'!A:A,'Página9'!G:G,"")</f>
        <v>OK</v>
      </c>
      <c r="J878" s="25" t="str">
        <f t="shared" si="1"/>
        <v/>
      </c>
    </row>
    <row r="879">
      <c r="A879" s="45">
        <f>IFERROR(__xludf.DUMMYFUNCTION("""COMPUTED_VALUE"""),45856.0)</f>
        <v>45856</v>
      </c>
      <c r="B879" s="25" t="str">
        <f>IFERROR(__xludf.DUMMYFUNCTION("""COMPUTED_VALUE"""),"MCC046UC0596")</f>
        <v>MCC046UC0596</v>
      </c>
      <c r="C879" s="47" t="str">
        <f>IFERROR(__xludf.DUMMYFUNCTION("""COMPUTED_VALUE"""),"ADESIVA COUCHE BRANCA   - 105X150MM SAS")</f>
        <v>ADESIVA COUCHE BRANCA   - 105X150MM SAS</v>
      </c>
      <c r="D879" s="48">
        <f>IFERROR(__xludf.DUMMYFUNCTION("""COMPUTED_VALUE"""),146.0)</f>
        <v>146</v>
      </c>
      <c r="E879" s="49"/>
      <c r="F879" s="49"/>
      <c r="G879" s="39">
        <f t="array" ref="G879">XLOOKUP(B879,'Página9'!A:A,'Página9'!F:F,"")</f>
        <v>157</v>
      </c>
      <c r="H879" s="39">
        <f t="array" ref="H879">XLOOKUP(B879,'Página9'!A:A,'Página9'!C:C,"")</f>
        <v>20</v>
      </c>
      <c r="I879" s="35" t="str">
        <f t="array" ref="I879">XLOOKUP(B879,'Página9'!A:A,'Página9'!G:G,"")</f>
        <v>OK</v>
      </c>
      <c r="J879" s="25" t="str">
        <f t="shared" si="1"/>
        <v/>
      </c>
    </row>
    <row r="880">
      <c r="A880" s="45">
        <f>IFERROR(__xludf.DUMMYFUNCTION("""COMPUTED_VALUE"""),45856.0)</f>
        <v>45856</v>
      </c>
      <c r="B880" s="25" t="str">
        <f>IFERROR(__xludf.DUMMYFUNCTION("""COMPUTED_VALUE"""),"MCC046UC0668")</f>
        <v>MCC046UC0668</v>
      </c>
      <c r="C880" s="47" t="str">
        <f>IFERROR(__xludf.DUMMYFUNCTION("""COMPUTED_VALUE"""),"ADESIVA COUCHE CINZA 100X150X1")</f>
        <v>ADESIVA COUCHE CINZA 100X150X1</v>
      </c>
      <c r="D880" s="48">
        <f>IFERROR(__xludf.DUMMYFUNCTION("""COMPUTED_VALUE"""),135.0)</f>
        <v>135</v>
      </c>
      <c r="E880" s="49"/>
      <c r="F880" s="49"/>
      <c r="G880" s="39">
        <f t="array" ref="G880">XLOOKUP(B880,'Página9'!A:A,'Página9'!F:F,"")</f>
        <v>104</v>
      </c>
      <c r="H880" s="39">
        <f t="array" ref="H880">XLOOKUP(B880,'Página9'!A:A,'Página9'!C:C,"")</f>
        <v>5</v>
      </c>
      <c r="I880" s="35" t="str">
        <f t="array" ref="I880">XLOOKUP(B880,'Página9'!A:A,'Página9'!G:G,"")</f>
        <v>OK</v>
      </c>
      <c r="J880" s="25" t="str">
        <f t="shared" si="1"/>
        <v/>
      </c>
    </row>
    <row r="881">
      <c r="A881" s="45">
        <f>IFERROR(__xludf.DUMMYFUNCTION("""COMPUTED_VALUE"""),45856.0)</f>
        <v>45856</v>
      </c>
      <c r="B881" s="25" t="str">
        <f>IFERROR(__xludf.DUMMYFUNCTION("""COMPUTED_VALUE"""),"MCC046UC0658")</f>
        <v>MCC046UC0658</v>
      </c>
      <c r="C881" s="47" t="str">
        <f>IFERROR(__xludf.DUMMYFUNCTION("""COMPUTED_VALUE"""),"ADESIVA COUCHE LARANJA 100X150X1")</f>
        <v>ADESIVA COUCHE LARANJA 100X150X1</v>
      </c>
      <c r="D881" s="48">
        <f>IFERROR(__xludf.DUMMYFUNCTION("""COMPUTED_VALUE"""),33.0)</f>
        <v>33</v>
      </c>
      <c r="E881" s="49"/>
      <c r="F881" s="49"/>
      <c r="G881" s="39">
        <f t="array" ref="G881">XLOOKUP(B881,'Página9'!A:A,'Página9'!F:F,"")</f>
        <v>32</v>
      </c>
      <c r="H881" s="39">
        <f t="array" ref="H881">XLOOKUP(B881,'Página9'!A:A,'Página9'!C:C,"")</f>
        <v>5</v>
      </c>
      <c r="I881" s="35" t="str">
        <f t="array" ref="I881">XLOOKUP(B881,'Página9'!A:A,'Página9'!G:G,"")</f>
        <v>OK</v>
      </c>
      <c r="J881" s="25" t="str">
        <f t="shared" si="1"/>
        <v/>
      </c>
    </row>
    <row r="882">
      <c r="A882" s="45">
        <f>IFERROR(__xludf.DUMMYFUNCTION("""COMPUTED_VALUE"""),45856.0)</f>
        <v>45856</v>
      </c>
      <c r="B882" s="25" t="str">
        <f>IFERROR(__xludf.DUMMYFUNCTION("""COMPUTED_VALUE"""),"MCC046UC0597")</f>
        <v>MCC046UC0597</v>
      </c>
      <c r="C882" s="47" t="str">
        <f>IFERROR(__xludf.DUMMYFUNCTION("""COMPUTED_VALUE"""),"ADESIVA COUCHE ROSA - SAS 105X150MM")</f>
        <v>ADESIVA COUCHE ROSA - SAS 105X150MM</v>
      </c>
      <c r="D882" s="48">
        <f>IFERROR(__xludf.DUMMYFUNCTION("""COMPUTED_VALUE"""),100.0)</f>
        <v>100</v>
      </c>
      <c r="E882" s="49"/>
      <c r="F882" s="49"/>
      <c r="G882" s="39">
        <f t="array" ref="G882">XLOOKUP(B882,'Página9'!A:A,'Página9'!F:F,"")</f>
        <v>64</v>
      </c>
      <c r="H882" s="39">
        <f t="array" ref="H882">XLOOKUP(B882,'Página9'!A:A,'Página9'!C:C,"")</f>
        <v>5</v>
      </c>
      <c r="I882" s="35" t="str">
        <f t="array" ref="I882">XLOOKUP(B882,'Página9'!A:A,'Página9'!G:G,"")</f>
        <v>OK</v>
      </c>
      <c r="J882" s="25" t="str">
        <f t="shared" si="1"/>
        <v/>
      </c>
    </row>
    <row r="883">
      <c r="A883" s="45">
        <f>IFERROR(__xludf.DUMMYFUNCTION("""COMPUTED_VALUE"""),45856.0)</f>
        <v>45856</v>
      </c>
      <c r="B883" s="25" t="str">
        <f>IFERROR(__xludf.DUMMYFUNCTION("""COMPUTED_VALUE"""),"MCC049UC0516")</f>
        <v>MCC049UC0516</v>
      </c>
      <c r="C883" s="47" t="str">
        <f>IFERROR(__xludf.DUMMYFUNCTION("""COMPUTED_VALUE"""),"ADESIVA COUCHE VERDE CLARO - 105X150MM")</f>
        <v>ADESIVA COUCHE VERDE CLARO - 105X150MM</v>
      </c>
      <c r="D883" s="48">
        <f>IFERROR(__xludf.DUMMYFUNCTION("""COMPUTED_VALUE"""),83.0)</f>
        <v>83</v>
      </c>
      <c r="E883" s="49"/>
      <c r="F883" s="49"/>
      <c r="G883" s="39">
        <f t="array" ref="G883">XLOOKUP(B883,'Página9'!A:A,'Página9'!F:F,"")</f>
        <v>70</v>
      </c>
      <c r="H883" s="39">
        <f t="array" ref="H883">XLOOKUP(B883,'Página9'!A:A,'Página9'!C:C,"")</f>
        <v>5</v>
      </c>
      <c r="I883" s="35" t="str">
        <f t="array" ref="I883">XLOOKUP(B883,'Página9'!A:A,'Página9'!G:G,"")</f>
        <v>OK</v>
      </c>
      <c r="J883" s="25" t="str">
        <f t="shared" si="1"/>
        <v/>
      </c>
    </row>
    <row r="884">
      <c r="A884" s="45">
        <f>IFERROR(__xludf.DUMMYFUNCTION("""COMPUTED_VALUE"""),45856.0)</f>
        <v>45856</v>
      </c>
      <c r="B884" s="25" t="str">
        <f>IFERROR(__xludf.DUMMYFUNCTION("""COMPUTED_VALUE"""),"MCC015UC0047")</f>
        <v>MCC015UC0047</v>
      </c>
      <c r="C884" s="47" t="str">
        <f>IFERROR(__xludf.DUMMYFUNCTION("""COMPUTED_VALUE"""),"CORTESIA")</f>
        <v>CORTESIA</v>
      </c>
      <c r="D884" s="48">
        <f>IFERROR(__xludf.DUMMYFUNCTION("""COMPUTED_VALUE"""),27.0)</f>
        <v>27</v>
      </c>
      <c r="E884" s="49"/>
      <c r="F884" s="49"/>
      <c r="G884" s="39">
        <f t="array" ref="G884">XLOOKUP(B884,'Página9'!A:A,'Página9'!F:F,"")</f>
        <v>7</v>
      </c>
      <c r="H884" s="39">
        <f t="array" ref="H884">XLOOKUP(B884,'Página9'!A:A,'Página9'!C:C,"")</f>
        <v>5</v>
      </c>
      <c r="I884" s="35" t="str">
        <f t="array" ref="I884">XLOOKUP(B884,'Página9'!A:A,'Página9'!G:G,"")</f>
        <v>OK</v>
      </c>
      <c r="J884" s="25" t="str">
        <f t="shared" si="1"/>
        <v/>
      </c>
    </row>
    <row r="885">
      <c r="A885" s="45">
        <f>IFERROR(__xludf.DUMMYFUNCTION("""COMPUTED_VALUE"""),45856.0)</f>
        <v>45856</v>
      </c>
      <c r="B885" s="25" t="str">
        <f>IFERROR(__xludf.DUMMYFUNCTION("""COMPUTED_VALUE"""),"MCC046UC0687")</f>
        <v>MCC046UC0687</v>
      </c>
      <c r="C885" s="47" t="str">
        <f>IFERROR(__xludf.DUMMYFUNCTION("""COMPUTED_VALUE"""),"COUCHE - 100X100X 1")</f>
        <v>COUCHE - 100X100X 1</v>
      </c>
      <c r="D885" s="48">
        <f>IFERROR(__xludf.DUMMYFUNCTION("""COMPUTED_VALUE"""),484.0)</f>
        <v>484</v>
      </c>
      <c r="E885" s="49"/>
      <c r="F885" s="49"/>
      <c r="G885" s="39">
        <f t="array" ref="G885">XLOOKUP(B885,'Página9'!A:A,'Página9'!F:F,"")</f>
        <v>335</v>
      </c>
      <c r="H885" s="39">
        <f t="array" ref="H885">XLOOKUP(B885,'Página9'!A:A,'Página9'!C:C,"")</f>
        <v>20</v>
      </c>
      <c r="I885" s="35" t="str">
        <f t="array" ref="I885">XLOOKUP(B885,'Página9'!A:A,'Página9'!G:G,"")</f>
        <v>OK</v>
      </c>
      <c r="J885" s="25" t="str">
        <f t="shared" si="1"/>
        <v/>
      </c>
    </row>
    <row r="886">
      <c r="A886" s="45">
        <f>IFERROR(__xludf.DUMMYFUNCTION("""COMPUTED_VALUE"""),45856.0)</f>
        <v>45856</v>
      </c>
      <c r="B886" s="25" t="str">
        <f>IFERROR(__xludf.DUMMYFUNCTION("""COMPUTED_VALUE"""),"MCC046UC0695")</f>
        <v>MCC046UC0695</v>
      </c>
      <c r="C886" s="47" t="str">
        <f>IFERROR(__xludf.DUMMYFUNCTION("""COMPUTED_VALUE"""),"COUCHE 98X50X1")</f>
        <v>COUCHE 98X50X1</v>
      </c>
      <c r="D886" s="48">
        <f>IFERROR(__xludf.DUMMYFUNCTION("""COMPUTED_VALUE"""),334.0)</f>
        <v>334</v>
      </c>
      <c r="E886" s="49"/>
      <c r="F886" s="49"/>
      <c r="G886" s="39">
        <f t="array" ref="G886">XLOOKUP(B886,'Página9'!A:A,'Página9'!F:F,"")</f>
        <v>256</v>
      </c>
      <c r="H886" s="39">
        <f t="array" ref="H886">XLOOKUP(B886,'Página9'!A:A,'Página9'!C:C,"")</f>
        <v>20</v>
      </c>
      <c r="I886" s="35" t="str">
        <f t="array" ref="I886">XLOOKUP(B886,'Página9'!A:A,'Página9'!G:G,"")</f>
        <v>OK</v>
      </c>
      <c r="J886" s="25" t="str">
        <f t="shared" si="1"/>
        <v/>
      </c>
    </row>
    <row r="887">
      <c r="A887" s="45">
        <f>IFERROR(__xludf.DUMMYFUNCTION("""COMPUTED_VALUE"""),45856.0)</f>
        <v>45856</v>
      </c>
      <c r="B887" s="25" t="str">
        <f>IFERROR(__xludf.DUMMYFUNCTION("""COMPUTED_VALUE"""),"MCC046UC0679")</f>
        <v>MCC046UC0679</v>
      </c>
      <c r="C887" s="47" t="str">
        <f>IFERROR(__xludf.DUMMYFUNCTION("""COMPUTED_VALUE"""),"DE GRAMPO")</f>
        <v>DE GRAMPO</v>
      </c>
      <c r="D887" s="48">
        <f>IFERROR(__xludf.DUMMYFUNCTION("""COMPUTED_VALUE"""),16.0)</f>
        <v>16</v>
      </c>
      <c r="E887" s="49"/>
      <c r="F887" s="49"/>
      <c r="G887" s="39">
        <f t="array" ref="G887">XLOOKUP(B887,'Página9'!A:A,'Página9'!F:F,"")</f>
        <v>13</v>
      </c>
      <c r="H887" s="39">
        <f t="array" ref="H887">XLOOKUP(B887,'Página9'!A:A,'Página9'!C:C,"")</f>
        <v>3</v>
      </c>
      <c r="I887" s="35" t="str">
        <f t="array" ref="I887">XLOOKUP(B887,'Página9'!A:A,'Página9'!G:G,"")</f>
        <v>OK</v>
      </c>
      <c r="J887" s="25" t="str">
        <f t="shared" si="1"/>
        <v/>
      </c>
    </row>
    <row r="888">
      <c r="A888" s="45">
        <f>IFERROR(__xludf.DUMMYFUNCTION("""COMPUTED_VALUE"""),45856.0)</f>
        <v>45856</v>
      </c>
      <c r="B888" s="25" t="str">
        <f>IFERROR(__xludf.DUMMYFUNCTION("""COMPUTED_VALUE"""),"MCC015UC0008")</f>
        <v>MCC015UC0008</v>
      </c>
      <c r="C888" s="47" t="str">
        <f>IFERROR(__xludf.DUMMYFUNCTION("""COMPUTED_VALUE"""),"STRETCH 500X25")</f>
        <v>STRETCH 500X25</v>
      </c>
      <c r="D888" s="48">
        <f>IFERROR(__xludf.DUMMYFUNCTION("""COMPUTED_VALUE"""),114.0)</f>
        <v>114</v>
      </c>
      <c r="E888" s="49"/>
      <c r="F888" s="49"/>
      <c r="G888" s="39">
        <f t="array" ref="G888">XLOOKUP(B888,'Página9'!A:A,'Página9'!F:F,"")</f>
        <v>-158</v>
      </c>
      <c r="H888" s="39">
        <f t="array" ref="H888">XLOOKUP(B888,'Página9'!A:A,'Página9'!C:C,"")</f>
        <v>40</v>
      </c>
      <c r="I888" s="35" t="str">
        <f t="array" ref="I888">XLOOKUP(B888,'Página9'!A:A,'Página9'!G:G,"")</f>
        <v>REPOR ESTOQUE</v>
      </c>
      <c r="J888" s="25" t="str">
        <f t="shared" si="1"/>
        <v/>
      </c>
    </row>
    <row r="889">
      <c r="A889" s="45">
        <f>IFERROR(__xludf.DUMMYFUNCTION("""COMPUTED_VALUE"""),45856.0)</f>
        <v>45856</v>
      </c>
      <c r="B889" s="25" t="str">
        <f>IFERROR(__xludf.DUMMYFUNCTION("""COMPUTED_VALUE"""),"MCC015UC0045")</f>
        <v>MCC015UC0045</v>
      </c>
      <c r="C889" s="47" t="str">
        <f>IFERROR(__xludf.DUMMYFUNCTION("""COMPUTED_VALUE"""),"ADESIVA 69MM X 100M")</f>
        <v>ADESIVA 69MM X 100M</v>
      </c>
      <c r="D889" s="48">
        <f>IFERROR(__xludf.DUMMYFUNCTION("""COMPUTED_VALUE"""),323.0)</f>
        <v>323</v>
      </c>
      <c r="E889" s="49"/>
      <c r="F889" s="49"/>
      <c r="G889" s="39">
        <f t="array" ref="G889">XLOOKUP(B889,'Página9'!A:A,'Página9'!F:F,"")</f>
        <v>287</v>
      </c>
      <c r="H889" s="39">
        <f t="array" ref="H889">XLOOKUP(B889,'Página9'!A:A,'Página9'!C:C,"")</f>
        <v>20</v>
      </c>
      <c r="I889" s="35" t="str">
        <f t="array" ref="I889">XLOOKUP(B889,'Página9'!A:A,'Página9'!G:G,"")</f>
        <v>OK</v>
      </c>
      <c r="J889" s="25" t="str">
        <f t="shared" si="1"/>
        <v/>
      </c>
    </row>
    <row r="890">
      <c r="A890" s="45">
        <f>IFERROR(__xludf.DUMMYFUNCTION("""COMPUTED_VALUE"""),45856.0)</f>
        <v>45856</v>
      </c>
      <c r="B890" s="25" t="str">
        <f>IFERROR(__xludf.DUMMYFUNCTION("""COMPUTED_VALUE"""),"MCC046UC0360")</f>
        <v>MCC046UC0360</v>
      </c>
      <c r="C890" s="47" t="str">
        <f>IFERROR(__xludf.DUMMYFUNCTION("""COMPUTED_VALUE"""),"ADESIVA DUPLA FACE 12mm X 20m 4910 VHB 3M")</f>
        <v>ADESIVA DUPLA FACE 12mm X 20m 4910 VHB 3M</v>
      </c>
      <c r="D890" s="48">
        <f>IFERROR(__xludf.DUMMYFUNCTION("""COMPUTED_VALUE"""),3.0)</f>
        <v>3</v>
      </c>
      <c r="E890" s="49"/>
      <c r="F890" s="49"/>
      <c r="G890" s="39">
        <f t="array" ref="G890">XLOOKUP(B890,'Página9'!A:A,'Página9'!F:F,"")</f>
        <v>-124</v>
      </c>
      <c r="H890" s="39">
        <f t="array" ref="H890">XLOOKUP(B890,'Página9'!A:A,'Página9'!C:C,"")</f>
        <v>1</v>
      </c>
      <c r="I890" s="35" t="str">
        <f t="array" ref="I890">XLOOKUP(B890,'Página9'!A:A,'Página9'!G:G,"")</f>
        <v>REPOR ESTOQUE</v>
      </c>
      <c r="J890" s="25" t="str">
        <f t="shared" si="1"/>
        <v/>
      </c>
    </row>
    <row r="891">
      <c r="A891" s="45">
        <f>IFERROR(__xludf.DUMMYFUNCTION("""COMPUTED_VALUE"""),45856.0)</f>
        <v>45856</v>
      </c>
      <c r="B891" s="25" t="str">
        <f>IFERROR(__xludf.DUMMYFUNCTION("""COMPUTED_VALUE"""),"MCC049UC0600")</f>
        <v>MCC049UC0600</v>
      </c>
      <c r="C891" s="47" t="str">
        <f>IFERROR(__xludf.DUMMYFUNCTION("""COMPUTED_VALUE"""),"ADESIVA P/ CACHORRO PERSONALIZADA")</f>
        <v>ADESIVA P/ CACHORRO PERSONALIZADA</v>
      </c>
      <c r="D891" s="48">
        <f>IFERROR(__xludf.DUMMYFUNCTION("""COMPUTED_VALUE"""),424.0)</f>
        <v>424</v>
      </c>
      <c r="E891" s="49"/>
      <c r="F891" s="49"/>
      <c r="G891" s="39">
        <f t="array" ref="G891">XLOOKUP(B891,'Página9'!A:A,'Página9'!F:F,"")</f>
        <v>156</v>
      </c>
      <c r="H891" s="39">
        <f t="array" ref="H891">XLOOKUP(B891,'Página9'!A:A,'Página9'!C:C,"")</f>
        <v>10</v>
      </c>
      <c r="I891" s="35" t="str">
        <f t="array" ref="I891">XLOOKUP(B891,'Página9'!A:A,'Página9'!G:G,"")</f>
        <v>OK</v>
      </c>
      <c r="J891" s="25" t="str">
        <f t="shared" si="1"/>
        <v/>
      </c>
    </row>
    <row r="892">
      <c r="A892" s="45">
        <f>IFERROR(__xludf.DUMMYFUNCTION("""COMPUTED_VALUE"""),45856.0)</f>
        <v>45856</v>
      </c>
      <c r="B892" s="25" t="str">
        <f>IFERROR(__xludf.DUMMYFUNCTION("""COMPUTED_VALUE"""),"MCC015UC0033")</f>
        <v>MCC015UC0033</v>
      </c>
      <c r="C892" s="47" t="str">
        <f>IFERROR(__xludf.DUMMYFUNCTION("""COMPUTED_VALUE"""),"DE ARQUEAR PET VERDE 16MM X 0,8MM C/ 13KG")</f>
        <v>DE ARQUEAR PET VERDE 16MM X 0,8MM C/ 13KG</v>
      </c>
      <c r="D892" s="48">
        <f>IFERROR(__xludf.DUMMYFUNCTION("""COMPUTED_VALUE"""),15.0)</f>
        <v>15</v>
      </c>
      <c r="E892" s="49"/>
      <c r="F892" s="49"/>
      <c r="G892" s="39">
        <f t="array" ref="G892">XLOOKUP(B892,'Página9'!A:A,'Página9'!F:F,"")</f>
        <v>4</v>
      </c>
      <c r="H892" s="39">
        <f t="array" ref="H892">XLOOKUP(B892,'Página9'!A:A,'Página9'!C:C,"")</f>
        <v>3</v>
      </c>
      <c r="I892" s="35" t="str">
        <f t="array" ref="I892">XLOOKUP(B892,'Página9'!A:A,'Página9'!G:G,"")</f>
        <v>OK</v>
      </c>
      <c r="J892" s="25" t="str">
        <f t="shared" si="1"/>
        <v/>
      </c>
    </row>
    <row r="893">
      <c r="A893" s="45">
        <f>IFERROR(__xludf.DUMMYFUNCTION("""COMPUTED_VALUE"""),45856.0)</f>
        <v>45856</v>
      </c>
      <c r="B893" s="25" t="str">
        <f>IFERROR(__xludf.DUMMYFUNCTION("""COMPUTED_VALUE"""),"MCC049UC0604")</f>
        <v>MCC049UC0604</v>
      </c>
      <c r="C893" s="47" t="str">
        <f>IFERROR(__xludf.DUMMYFUNCTION("""COMPUTED_VALUE"""),"DE DEMARCAÇÃO AMARELA")</f>
        <v>DE DEMARCAÇÃO AMARELA</v>
      </c>
      <c r="D893" s="48">
        <f>IFERROR(__xludf.DUMMYFUNCTION("""COMPUTED_VALUE"""),15.0)</f>
        <v>15</v>
      </c>
      <c r="E893" s="49"/>
      <c r="F893" s="49"/>
      <c r="G893" s="39">
        <f t="array" ref="G893">XLOOKUP(B893,'Página9'!A:A,'Página9'!F:F,"")</f>
        <v>-12</v>
      </c>
      <c r="H893" s="39">
        <f t="array" ref="H893">XLOOKUP(B893,'Página9'!A:A,'Página9'!C:C,"")</f>
        <v>3</v>
      </c>
      <c r="I893" s="35" t="str">
        <f t="array" ref="I893">XLOOKUP(B893,'Página9'!A:A,'Página9'!G:G,"")</f>
        <v>REPOR ESTOQUE</v>
      </c>
      <c r="J893" s="25" t="str">
        <f t="shared" si="1"/>
        <v/>
      </c>
    </row>
    <row r="894">
      <c r="A894" s="45">
        <f>IFERROR(__xludf.DUMMYFUNCTION("""COMPUTED_VALUE"""),45856.0)</f>
        <v>45856</v>
      </c>
      <c r="B894" s="25" t="str">
        <f>IFERROR(__xludf.DUMMYFUNCTION("""COMPUTED_VALUE"""),"MCC049UC0606")</f>
        <v>MCC049UC0606</v>
      </c>
      <c r="C894" s="47" t="str">
        <f>IFERROR(__xludf.DUMMYFUNCTION("""COMPUTED_VALUE"""),"DE DEMARCAÇÃO BRANCA")</f>
        <v>DE DEMARCAÇÃO BRANCA</v>
      </c>
      <c r="D894" s="48">
        <f>IFERROR(__xludf.DUMMYFUNCTION("""COMPUTED_VALUE"""),8.0)</f>
        <v>8</v>
      </c>
      <c r="E894" s="49"/>
      <c r="F894" s="49"/>
      <c r="G894" s="39">
        <f t="array" ref="G894">XLOOKUP(B894,'Página9'!A:A,'Página9'!F:F,"")</f>
        <v>4</v>
      </c>
      <c r="H894" s="39">
        <f t="array" ref="H894">XLOOKUP(B894,'Página9'!A:A,'Página9'!C:C,"")</f>
        <v>3</v>
      </c>
      <c r="I894" s="35" t="str">
        <f t="array" ref="I894">XLOOKUP(B894,'Página9'!A:A,'Página9'!G:G,"")</f>
        <v>OK</v>
      </c>
      <c r="J894" s="25" t="str">
        <f t="shared" si="1"/>
        <v/>
      </c>
    </row>
    <row r="895">
      <c r="A895" s="45">
        <f>IFERROR(__xludf.DUMMYFUNCTION("""COMPUTED_VALUE"""),45856.0)</f>
        <v>45856</v>
      </c>
      <c r="B895" s="25" t="str">
        <f>IFERROR(__xludf.DUMMYFUNCTION("""COMPUTED_VALUE"""),"MCC049UC0608")</f>
        <v>MCC049UC0608</v>
      </c>
      <c r="C895" s="47" t="str">
        <f>IFERROR(__xludf.DUMMYFUNCTION("""COMPUTED_VALUE"""),"DE DEMARCAÇÃO VERDE")</f>
        <v>DE DEMARCAÇÃO VERDE</v>
      </c>
      <c r="D895" s="48">
        <f>IFERROR(__xludf.DUMMYFUNCTION("""COMPUTED_VALUE"""),0.0)</f>
        <v>0</v>
      </c>
      <c r="E895" s="49"/>
      <c r="F895" s="49"/>
      <c r="G895" s="39">
        <f t="array" ref="G895">XLOOKUP(B895,'Página9'!A:A,'Página9'!F:F,"")</f>
        <v>0</v>
      </c>
      <c r="H895" s="39">
        <f t="array" ref="H895">XLOOKUP(B895,'Página9'!A:A,'Página9'!C:C,"")</f>
        <v>3</v>
      </c>
      <c r="I895" s="35" t="str">
        <f t="array" ref="I895">XLOOKUP(B895,'Página9'!A:A,'Página9'!G:G,"")</f>
        <v>REPOR ESTOQUE</v>
      </c>
      <c r="J895" s="25" t="str">
        <f t="shared" si="1"/>
        <v/>
      </c>
    </row>
    <row r="896">
      <c r="A896" s="45">
        <f>IFERROR(__xludf.DUMMYFUNCTION("""COMPUTED_VALUE"""),45856.0)</f>
        <v>45856</v>
      </c>
      <c r="B896" s="25" t="str">
        <f>IFERROR(__xludf.DUMMYFUNCTION("""COMPUTED_VALUE"""),"MCC049UC0605")</f>
        <v>MCC049UC0605</v>
      </c>
      <c r="C896" s="47" t="str">
        <f>IFERROR(__xludf.DUMMYFUNCTION("""COMPUTED_VALUE"""),"DE DEMARCAÇAO VERMELHA")</f>
        <v>DE DEMARCAÇAO VERMELHA</v>
      </c>
      <c r="D896" s="48">
        <f>IFERROR(__xludf.DUMMYFUNCTION("""COMPUTED_VALUE"""),11.0)</f>
        <v>11</v>
      </c>
      <c r="E896" s="49"/>
      <c r="F896" s="49"/>
      <c r="G896" s="39">
        <f t="array" ref="G896">XLOOKUP(B896,'Página9'!A:A,'Página9'!F:F,"")</f>
        <v>6</v>
      </c>
      <c r="H896" s="39">
        <f t="array" ref="H896">XLOOKUP(B896,'Página9'!A:A,'Página9'!C:C,"")</f>
        <v>3</v>
      </c>
      <c r="I896" s="35" t="str">
        <f t="array" ref="I896">XLOOKUP(B896,'Página9'!A:A,'Página9'!G:G,"")</f>
        <v>OK</v>
      </c>
      <c r="J896" s="25" t="str">
        <f t="shared" si="1"/>
        <v/>
      </c>
    </row>
    <row r="897">
      <c r="A897" s="45">
        <f>IFERROR(__xludf.DUMMYFUNCTION("""COMPUTED_VALUE"""),45856.0)</f>
        <v>45856</v>
      </c>
      <c r="B897" s="25" t="str">
        <f>IFERROR(__xludf.DUMMYFUNCTION("""COMPUTED_VALUE"""),"MCC049UC0288")</f>
        <v>MCC049UC0288</v>
      </c>
      <c r="C897" s="47" t="str">
        <f>IFERROR(__xludf.DUMMYFUNCTION("""COMPUTED_VALUE"""),"POLIPROPILENO P/EMBALAGEM")</f>
        <v>POLIPROPILENO P/EMBALAGEM</v>
      </c>
      <c r="D897" s="48">
        <f>IFERROR(__xludf.DUMMYFUNCTION("""COMPUTED_VALUE"""),17.0)</f>
        <v>17</v>
      </c>
      <c r="E897" s="49"/>
      <c r="F897" s="49"/>
      <c r="G897" s="39">
        <f t="array" ref="G897">XLOOKUP(B897,'Página9'!A:A,'Página9'!F:F,"")</f>
        <v>-24</v>
      </c>
      <c r="H897" s="39">
        <f t="array" ref="H897">XLOOKUP(B897,'Página9'!A:A,'Página9'!C:C,"")</f>
        <v>2</v>
      </c>
      <c r="I897" s="35" t="str">
        <f t="array" ref="I897">XLOOKUP(B897,'Página9'!A:A,'Página9'!G:G,"")</f>
        <v>REPOR ESTOQUE</v>
      </c>
      <c r="J897" s="25" t="str">
        <f t="shared" si="1"/>
        <v/>
      </c>
    </row>
    <row r="898">
      <c r="A898" s="45">
        <f>IFERROR(__xludf.DUMMYFUNCTION("""COMPUTED_VALUE"""),45856.0)</f>
        <v>45856</v>
      </c>
      <c r="B898" s="25" t="str">
        <f>IFERROR(__xludf.DUMMYFUNCTION("""COMPUTED_VALUE"""),"MCC046UC0387")</f>
        <v>MCC046UC0387</v>
      </c>
      <c r="C898" s="47" t="str">
        <f>IFERROR(__xludf.DUMMYFUNCTION("""COMPUTED_VALUE"""),"PLUS LINE CIS PRETO 26/6 P/20")</f>
        <v>PLUS LINE CIS PRETO 26/6 P/20</v>
      </c>
      <c r="D898" s="48">
        <f>IFERROR(__xludf.DUMMYFUNCTION("""COMPUTED_VALUE"""),8.0)</f>
        <v>8</v>
      </c>
      <c r="E898" s="49"/>
      <c r="F898" s="49"/>
      <c r="G898" s="39">
        <f t="array" ref="G898">XLOOKUP(B898,'Página9'!A:A,'Página9'!F:F,"")</f>
        <v>0</v>
      </c>
      <c r="H898" s="39">
        <f t="array" ref="H898">XLOOKUP(B898,'Página9'!A:A,'Página9'!C:C,"")</f>
        <v>1</v>
      </c>
      <c r="I898" s="35" t="str">
        <f t="array" ref="I898">XLOOKUP(B898,'Página9'!A:A,'Página9'!G:G,"")</f>
        <v>REPOR ESTOQUE</v>
      </c>
      <c r="J898" s="25" t="str">
        <f t="shared" si="1"/>
        <v/>
      </c>
    </row>
    <row r="899">
      <c r="A899" s="45">
        <f>IFERROR(__xludf.DUMMYFUNCTION("""COMPUTED_VALUE"""),45856.0)</f>
        <v>45856</v>
      </c>
      <c r="B899" s="25" t="str">
        <f>IFERROR(__xludf.DUMMYFUNCTION("""COMPUTED_VALUE"""),"MCC046UC0398")</f>
        <v>MCC046UC0398</v>
      </c>
      <c r="C899" s="47" t="str">
        <f>IFERROR(__xludf.DUMMYFUNCTION("""COMPUTED_VALUE"""),"26/6 COBREADO CX.C/5000 BACCHI")</f>
        <v>26/6 COBREADO CX.C/5000 BACCHI</v>
      </c>
      <c r="D899" s="48">
        <f>IFERROR(__xludf.DUMMYFUNCTION("""COMPUTED_VALUE"""),18.0)</f>
        <v>18</v>
      </c>
      <c r="E899" s="49"/>
      <c r="F899" s="49"/>
      <c r="G899" s="39">
        <f t="array" ref="G899">XLOOKUP(B899,'Página9'!A:A,'Página9'!F:F,"")</f>
        <v>-13</v>
      </c>
      <c r="H899" s="39">
        <f t="array" ref="H899">XLOOKUP(B899,'Página9'!A:A,'Página9'!C:C,"")</f>
        <v>3</v>
      </c>
      <c r="I899" s="35" t="str">
        <f t="array" ref="I899">XLOOKUP(B899,'Página9'!A:A,'Página9'!G:G,"")</f>
        <v>REPOR ESTOQUE</v>
      </c>
      <c r="J899" s="25" t="str">
        <f t="shared" si="1"/>
        <v/>
      </c>
    </row>
    <row r="900">
      <c r="A900" s="45">
        <f>IFERROR(__xludf.DUMMYFUNCTION("""COMPUTED_VALUE"""),45856.0)</f>
        <v>45856</v>
      </c>
      <c r="B900" s="25" t="str">
        <f>IFERROR(__xludf.DUMMYFUNCTION("""COMPUTED_VALUE"""),"MCC049UC0610")</f>
        <v>MCC049UC0610</v>
      </c>
      <c r="C900" s="47" t="str">
        <f>IFERROR(__xludf.DUMMYFUNCTION("""COMPUTED_VALUE"""),"PISTOLA ROCAMA 106/8 CX 5.000 UN")</f>
        <v>PISTOLA ROCAMA 106/8 CX 5.000 UN</v>
      </c>
      <c r="D900" s="48">
        <f>IFERROR(__xludf.DUMMYFUNCTION("""COMPUTED_VALUE"""),3.0)</f>
        <v>3</v>
      </c>
      <c r="E900" s="49"/>
      <c r="F900" s="49"/>
      <c r="G900" s="39">
        <f t="array" ref="G900">XLOOKUP(B900,'Página9'!A:A,'Página9'!F:F,"")</f>
        <v>-14</v>
      </c>
      <c r="H900" s="39">
        <f t="array" ref="H900">XLOOKUP(B900,'Página9'!A:A,'Página9'!C:C,"")</f>
        <v>1</v>
      </c>
      <c r="I900" s="35" t="str">
        <f t="array" ref="I900">XLOOKUP(B900,'Página9'!A:A,'Página9'!G:G,"")</f>
        <v>REPOR ESTOQUE</v>
      </c>
      <c r="J900" s="25" t="str">
        <f t="shared" si="1"/>
        <v/>
      </c>
    </row>
    <row r="901">
      <c r="A901" s="45">
        <f>IFERROR(__xludf.DUMMYFUNCTION("""COMPUTED_VALUE"""),45856.0)</f>
        <v>45856</v>
      </c>
      <c r="B901" s="25" t="str">
        <f>IFERROR(__xludf.DUMMYFUNCTION("""COMPUTED_VALUE"""),"MCC046UC0224")</f>
        <v>MCC046UC0224</v>
      </c>
      <c r="C901" s="47" t="str">
        <f>IFERROR(__xludf.DUMMYFUNCTION("""COMPUTED_VALUE"""),"TEXTO AMARELA BRW")</f>
        <v>TEXTO AMARELA BRW</v>
      </c>
      <c r="D901" s="48">
        <f>IFERROR(__xludf.DUMMYFUNCTION("""COMPUTED_VALUE"""),22.0)</f>
        <v>22</v>
      </c>
      <c r="E901" s="49"/>
      <c r="F901" s="49"/>
      <c r="G901" s="39">
        <f t="array" ref="G901">XLOOKUP(B901,'Página9'!A:A,'Página9'!F:F,"")</f>
        <v>21</v>
      </c>
      <c r="H901" s="39">
        <f t="array" ref="H901">XLOOKUP(B901,'Página9'!A:A,'Página9'!C:C,"")</f>
        <v>3</v>
      </c>
      <c r="I901" s="35" t="str">
        <f t="array" ref="I901">XLOOKUP(B901,'Página9'!A:A,'Página9'!G:G,"")</f>
        <v>OK</v>
      </c>
      <c r="J901" s="25" t="str">
        <f t="shared" si="1"/>
        <v/>
      </c>
    </row>
    <row r="902">
      <c r="A902" s="45">
        <f>IFERROR(__xludf.DUMMYFUNCTION("""COMPUTED_VALUE"""),45856.0)</f>
        <v>45856</v>
      </c>
      <c r="B902" s="25" t="str">
        <f>IFERROR(__xludf.DUMMYFUNCTION("""COMPUTED_VALUE"""),"MCC046UC0520")</f>
        <v>MCC046UC0520</v>
      </c>
      <c r="C902" s="47" t="str">
        <f>IFERROR(__xludf.DUMMYFUNCTION("""COMPUTED_VALUE"""),"TEXTO LARANJA LUMICOLOR 200-SL PILOT")</f>
        <v>TEXTO LARANJA LUMICOLOR 200-SL PILOT</v>
      </c>
      <c r="D902" s="48">
        <f>IFERROR(__xludf.DUMMYFUNCTION("""COMPUTED_VALUE"""),24.0)</f>
        <v>24</v>
      </c>
      <c r="E902" s="49"/>
      <c r="F902" s="49"/>
      <c r="G902" s="39">
        <f t="array" ref="G902">XLOOKUP(B902,'Página9'!A:A,'Página9'!F:F,"")</f>
        <v>20</v>
      </c>
      <c r="H902" s="39">
        <f t="array" ref="H902">XLOOKUP(B902,'Página9'!A:A,'Página9'!C:C,"")</f>
        <v>3</v>
      </c>
      <c r="I902" s="35" t="str">
        <f t="array" ref="I902">XLOOKUP(B902,'Página9'!A:A,'Página9'!G:G,"")</f>
        <v>OK</v>
      </c>
      <c r="J902" s="25" t="str">
        <f t="shared" si="1"/>
        <v/>
      </c>
    </row>
    <row r="903">
      <c r="A903" s="45">
        <f>IFERROR(__xludf.DUMMYFUNCTION("""COMPUTED_VALUE"""),45856.0)</f>
        <v>45856</v>
      </c>
      <c r="B903" s="25" t="str">
        <f>IFERROR(__xludf.DUMMYFUNCTION("""COMPUTED_VALUE"""),"MCC046UC0521")</f>
        <v>MCC046UC0521</v>
      </c>
      <c r="C903" s="47" t="str">
        <f>IFERROR(__xludf.DUMMYFUNCTION("""COMPUTED_VALUE"""),"TEXTO VERDE LUMICOLOR 200-SL PILOT")</f>
        <v>TEXTO VERDE LUMICOLOR 200-SL PILOT</v>
      </c>
      <c r="D903" s="48">
        <f>IFERROR(__xludf.DUMMYFUNCTION("""COMPUTED_VALUE"""),23.0)</f>
        <v>23</v>
      </c>
      <c r="E903" s="49"/>
      <c r="F903" s="49"/>
      <c r="G903" s="39">
        <f t="array" ref="G903">XLOOKUP(B903,'Página9'!A:A,'Página9'!F:F,"")</f>
        <v>23</v>
      </c>
      <c r="H903" s="39">
        <f t="array" ref="H903">XLOOKUP(B903,'Página9'!A:A,'Página9'!C:C,"")</f>
        <v>3</v>
      </c>
      <c r="I903" s="35" t="str">
        <f t="array" ref="I903">XLOOKUP(B903,'Página9'!A:A,'Página9'!G:G,"")</f>
        <v>OK</v>
      </c>
      <c r="J903" s="25" t="str">
        <f t="shared" si="1"/>
        <v/>
      </c>
    </row>
    <row r="904">
      <c r="A904" s="45">
        <f>IFERROR(__xludf.DUMMYFUNCTION("""COMPUTED_VALUE"""),45856.0)</f>
        <v>45856</v>
      </c>
      <c r="B904" s="25" t="str">
        <f>IFERROR(__xludf.DUMMYFUNCTION("""COMPUTED_VALUE"""),"MCC046UC0671")</f>
        <v>MCC046UC0671</v>
      </c>
      <c r="C904" s="47" t="str">
        <f>IFERROR(__xludf.DUMMYFUNCTION("""COMPUTED_VALUE"""),"QUADRO BRANCO AZUL RECARREGAVEL")</f>
        <v>QUADRO BRANCO AZUL RECARREGAVEL</v>
      </c>
      <c r="D904" s="48">
        <f>IFERROR(__xludf.DUMMYFUNCTION("""COMPUTED_VALUE"""),14.0)</f>
        <v>14</v>
      </c>
      <c r="E904" s="49"/>
      <c r="F904" s="49"/>
      <c r="G904" s="39">
        <f t="array" ref="G904">XLOOKUP(B904,'Página9'!A:A,'Página9'!F:F,"")</f>
        <v>12</v>
      </c>
      <c r="H904" s="39">
        <f t="array" ref="H904">XLOOKUP(B904,'Página9'!A:A,'Página9'!C:C,"")</f>
        <v>3</v>
      </c>
      <c r="I904" s="35" t="str">
        <f t="array" ref="I904">XLOOKUP(B904,'Página9'!A:A,'Página9'!G:G,"")</f>
        <v>OK</v>
      </c>
      <c r="J904" s="25" t="str">
        <f t="shared" si="1"/>
        <v/>
      </c>
    </row>
    <row r="905">
      <c r="A905" s="45">
        <f>IFERROR(__xludf.DUMMYFUNCTION("""COMPUTED_VALUE"""),45856.0)</f>
        <v>45856</v>
      </c>
      <c r="B905" s="25" t="str">
        <f>IFERROR(__xludf.DUMMYFUNCTION("""COMPUTED_VALUE"""),"MCC046UC0672")</f>
        <v>MCC046UC0672</v>
      </c>
      <c r="C905" s="47" t="str">
        <f>IFERROR(__xludf.DUMMYFUNCTION("""COMPUTED_VALUE"""),"QUADRO BRANCO PRETO RECARREGAVEL")</f>
        <v>QUADRO BRANCO PRETO RECARREGAVEL</v>
      </c>
      <c r="D905" s="48">
        <f>IFERROR(__xludf.DUMMYFUNCTION("""COMPUTED_VALUE"""),24.0)</f>
        <v>24</v>
      </c>
      <c r="E905" s="49"/>
      <c r="F905" s="49"/>
      <c r="G905" s="39">
        <f t="array" ref="G905">XLOOKUP(B905,'Página9'!A:A,'Página9'!F:F,"")</f>
        <v>24</v>
      </c>
      <c r="H905" s="39">
        <f t="array" ref="H905">XLOOKUP(B905,'Página9'!A:A,'Página9'!C:C,"")</f>
        <v>3</v>
      </c>
      <c r="I905" s="35" t="str">
        <f t="array" ref="I905">XLOOKUP(B905,'Página9'!A:A,'Página9'!G:G,"")</f>
        <v>OK</v>
      </c>
      <c r="J905" s="25" t="str">
        <f t="shared" si="1"/>
        <v/>
      </c>
    </row>
    <row r="906">
      <c r="A906" s="45">
        <f>IFERROR(__xludf.DUMMYFUNCTION("""COMPUTED_VALUE"""),45856.0)</f>
        <v>45856</v>
      </c>
      <c r="B906" s="25" t="str">
        <f>IFERROR(__xludf.DUMMYFUNCTION("""COMPUTED_VALUE"""),"MCC046UC0675")</f>
        <v>MCC046UC0675</v>
      </c>
      <c r="C906" s="47" t="str">
        <f>IFERROR(__xludf.DUMMYFUNCTION("""COMPUTED_VALUE"""),"QUADRO BRANCO VERMELHO RECARREGAVEL")</f>
        <v>QUADRO BRANCO VERMELHO RECARREGAVEL</v>
      </c>
      <c r="D906" s="48">
        <f>IFERROR(__xludf.DUMMYFUNCTION("""COMPUTED_VALUE"""),15.0)</f>
        <v>15</v>
      </c>
      <c r="E906" s="49"/>
      <c r="F906" s="49"/>
      <c r="G906" s="39">
        <f t="array" ref="G906">XLOOKUP(B906,'Página9'!A:A,'Página9'!F:F,"")</f>
        <v>12</v>
      </c>
      <c r="H906" s="39">
        <f t="array" ref="H906">XLOOKUP(B906,'Página9'!A:A,'Página9'!C:C,"")</f>
        <v>3</v>
      </c>
      <c r="I906" s="35" t="str">
        <f t="array" ref="I906">XLOOKUP(B906,'Página9'!A:A,'Página9'!G:G,"")</f>
        <v>OK</v>
      </c>
      <c r="J906" s="25" t="str">
        <f t="shared" si="1"/>
        <v/>
      </c>
    </row>
    <row r="907">
      <c r="A907" s="45">
        <f>IFERROR(__xludf.DUMMYFUNCTION("""COMPUTED_VALUE"""),45856.0)</f>
        <v>45856</v>
      </c>
      <c r="B907" s="25" t="str">
        <f>IFERROR(__xludf.DUMMYFUNCTION("""COMPUTED_VALUE"""),"MCC046UC0440")</f>
        <v>MCC046UC0440</v>
      </c>
      <c r="C907" s="47" t="str">
        <f>IFERROR(__xludf.DUMMYFUNCTION("""COMPUTED_VALUE"""),"DEDO 12g PEGUE FACIL")</f>
        <v>DEDO 12g PEGUE FACIL</v>
      </c>
      <c r="D907" s="48">
        <f>IFERROR(__xludf.DUMMYFUNCTION("""COMPUTED_VALUE"""),9.0)</f>
        <v>9</v>
      </c>
      <c r="E907" s="49"/>
      <c r="F907" s="49"/>
      <c r="G907" s="39">
        <f t="array" ref="G907">XLOOKUP(B907,'Página9'!A:A,'Página9'!F:F,"")</f>
        <v>9</v>
      </c>
      <c r="H907" s="39">
        <f t="array" ref="H907">XLOOKUP(B907,'Página9'!A:A,'Página9'!C:C,"")</f>
        <v>3</v>
      </c>
      <c r="I907" s="35" t="str">
        <f t="array" ref="I907">XLOOKUP(B907,'Página9'!A:A,'Página9'!G:G,"")</f>
        <v>OK</v>
      </c>
      <c r="J907" s="25" t="str">
        <f t="shared" si="1"/>
        <v/>
      </c>
    </row>
    <row r="908">
      <c r="A908" s="45">
        <f>IFERROR(__xludf.DUMMYFUNCTION("""COMPUTED_VALUE"""),45856.0)</f>
        <v>45856</v>
      </c>
      <c r="B908" s="25" t="str">
        <f>IFERROR(__xludf.DUMMYFUNCTION("""COMPUTED_VALUE"""),"MCC049UC0607")</f>
        <v>MCC049UC0607</v>
      </c>
      <c r="C908" s="47" t="str">
        <f>IFERROR(__xludf.DUMMYFUNCTION("""COMPUTED_VALUE"""),"A3 RESMA COM 500 FLS")</f>
        <v>A3 RESMA COM 500 FLS</v>
      </c>
      <c r="D908" s="48">
        <f>IFERROR(__xludf.DUMMYFUNCTION("""COMPUTED_VALUE"""),10.0)</f>
        <v>10</v>
      </c>
      <c r="E908" s="49"/>
      <c r="F908" s="49"/>
      <c r="G908" s="39">
        <f t="array" ref="G908">XLOOKUP(B908,'Página9'!A:A,'Página9'!F:F,"")</f>
        <v>-47</v>
      </c>
      <c r="H908" s="39">
        <f t="array" ref="H908">XLOOKUP(B908,'Página9'!A:A,'Página9'!C:C,"")</f>
        <v>3</v>
      </c>
      <c r="I908" s="35" t="str">
        <f t="array" ref="I908">XLOOKUP(B908,'Página9'!A:A,'Página9'!G:G,"")</f>
        <v>REPOR ESTOQUE</v>
      </c>
      <c r="J908" s="25" t="str">
        <f t="shared" si="1"/>
        <v/>
      </c>
    </row>
    <row r="909">
      <c r="A909" s="45">
        <f>IFERROR(__xludf.DUMMYFUNCTION("""COMPUTED_VALUE"""),45856.0)</f>
        <v>45856</v>
      </c>
      <c r="B909" s="25" t="str">
        <f>IFERROR(__xludf.DUMMYFUNCTION("""COMPUTED_VALUE"""),"MCC046UC0696")</f>
        <v>MCC046UC0696</v>
      </c>
      <c r="C909" s="47" t="str">
        <f>IFERROR(__xludf.DUMMYFUNCTION("""COMPUTED_VALUE"""),"ESCOLAR SENNINHA C/100 FLS CORES DIVERSOS")</f>
        <v>ESCOLAR SENNINHA C/100 FLS CORES DIVERSOS</v>
      </c>
      <c r="D909" s="48">
        <f>IFERROR(__xludf.DUMMYFUNCTION("""COMPUTED_VALUE"""),89.0)</f>
        <v>89</v>
      </c>
      <c r="E909" s="49"/>
      <c r="F909" s="49"/>
      <c r="G909" s="39">
        <f t="array" ref="G909">XLOOKUP(B909,'Página9'!A:A,'Página9'!F:F,"")</f>
        <v>89</v>
      </c>
      <c r="H909" s="39">
        <f t="array" ref="H909">XLOOKUP(B909,'Página9'!A:A,'Página9'!C:C,"")</f>
        <v>1</v>
      </c>
      <c r="I909" s="35" t="str">
        <f t="array" ref="I909">XLOOKUP(B909,'Página9'!A:A,'Página9'!G:G,"")</f>
        <v>OK</v>
      </c>
      <c r="J909" s="25" t="str">
        <f t="shared" si="1"/>
        <v/>
      </c>
    </row>
    <row r="910">
      <c r="A910" s="45">
        <f>IFERROR(__xludf.DUMMYFUNCTION("""COMPUTED_VALUE"""),45856.0)</f>
        <v>45856</v>
      </c>
      <c r="B910" s="25" t="str">
        <f>IFERROR(__xludf.DUMMYFUNCTION("""COMPUTED_VALUE"""),"MCC049UC0393")</f>
        <v>MCC049UC0393</v>
      </c>
      <c r="C910" s="47" t="str">
        <f>IFERROR(__xludf.DUMMYFUNCTION("""COMPUTED_VALUE"""),"KRAFT TTC GREENLINE 70 G/M² PACOTE 360 M X 0,38 M")</f>
        <v>KRAFT TTC GREENLINE 70 G/M² PACOTE 360 M X 0,38 M</v>
      </c>
      <c r="D910" s="48">
        <f>IFERROR(__xludf.DUMMYFUNCTION("""COMPUTED_VALUE"""),20.0)</f>
        <v>20</v>
      </c>
      <c r="E910" s="49"/>
      <c r="F910" s="49"/>
      <c r="G910" s="39">
        <f t="array" ref="G910">XLOOKUP(B910,'Página9'!A:A,'Página9'!F:F,"")</f>
        <v>12</v>
      </c>
      <c r="H910" s="39">
        <f t="array" ref="H910">XLOOKUP(B910,'Página9'!A:A,'Página9'!C:C,"")</f>
        <v>1</v>
      </c>
      <c r="I910" s="35" t="str">
        <f t="array" ref="I910">XLOOKUP(B910,'Página9'!A:A,'Página9'!G:G,"")</f>
        <v>OK</v>
      </c>
      <c r="J910" s="25" t="str">
        <f t="shared" si="1"/>
        <v/>
      </c>
    </row>
    <row r="911">
      <c r="A911" s="45">
        <f>IFERROR(__xludf.DUMMYFUNCTION("""COMPUTED_VALUE"""),45856.0)</f>
        <v>45856</v>
      </c>
      <c r="B911" s="25" t="str">
        <f>IFERROR(__xludf.DUMMYFUNCTION("""COMPUTED_VALUE"""),"MCC046UC0082")</f>
        <v>MCC046UC0082</v>
      </c>
      <c r="C911" s="47" t="str">
        <f>IFERROR(__xludf.DUMMYFUNCTION("""COMPUTED_VALUE"""),"SULFITE A4 75G 500 FOLHAS")</f>
        <v>SULFITE A4 75G 500 FOLHAS</v>
      </c>
      <c r="D911" s="48">
        <f>IFERROR(__xludf.DUMMYFUNCTION("""COMPUTED_VALUE"""),71.0)</f>
        <v>71</v>
      </c>
      <c r="E911" s="49"/>
      <c r="F911" s="49"/>
      <c r="G911" s="39">
        <f t="array" ref="G911">XLOOKUP(B911,'Página9'!A:A,'Página9'!F:F,"")</f>
        <v>163</v>
      </c>
      <c r="H911" s="39">
        <f t="array" ref="H911">XLOOKUP(B911,'Página9'!A:A,'Página9'!C:C,"")</f>
        <v>10</v>
      </c>
      <c r="I911" s="35" t="str">
        <f t="array" ref="I911">XLOOKUP(B911,'Página9'!A:A,'Página9'!G:G,"")</f>
        <v>OK</v>
      </c>
      <c r="J911" s="25" t="str">
        <f t="shared" si="1"/>
        <v/>
      </c>
    </row>
    <row r="912">
      <c r="A912" s="45">
        <f>IFERROR(__xludf.DUMMYFUNCTION("""COMPUTED_VALUE"""),45856.0)</f>
        <v>45856</v>
      </c>
      <c r="B912" s="25" t="str">
        <f>IFERROR(__xludf.DUMMYFUNCTION("""COMPUTED_VALUE"""),"MCC046UC0638")</f>
        <v>MCC046UC0638</v>
      </c>
      <c r="C912" s="47" t="str">
        <f>IFERROR(__xludf.DUMMYFUNCTION("""COMPUTED_VALUE"""),"ALCALINA ELGIN PALITO AAA")</f>
        <v>ALCALINA ELGIN PALITO AAA</v>
      </c>
      <c r="D912" s="48">
        <f>IFERROR(__xludf.DUMMYFUNCTION("""COMPUTED_VALUE"""),25.0)</f>
        <v>25</v>
      </c>
      <c r="E912" s="49"/>
      <c r="F912" s="49"/>
      <c r="G912" s="39">
        <f t="array" ref="G912">XLOOKUP(B912,'Página9'!A:A,'Página9'!F:F,"")</f>
        <v>32</v>
      </c>
      <c r="H912" s="39">
        <f t="array" ref="H912">XLOOKUP(B912,'Página9'!A:A,'Página9'!C:C,"")</f>
        <v>4</v>
      </c>
      <c r="I912" s="35" t="str">
        <f t="array" ref="I912">XLOOKUP(B912,'Página9'!A:A,'Página9'!G:G,"")</f>
        <v>OK</v>
      </c>
      <c r="J912" s="25" t="str">
        <f t="shared" si="1"/>
        <v/>
      </c>
    </row>
    <row r="913">
      <c r="A913" s="45">
        <f>IFERROR(__xludf.DUMMYFUNCTION("""COMPUTED_VALUE"""),45856.0)</f>
        <v>45856</v>
      </c>
      <c r="B913" s="25" t="str">
        <f>IFERROR(__xludf.DUMMYFUNCTION("""COMPUTED_VALUE"""),"MCC046UC0639")</f>
        <v>MCC046UC0639</v>
      </c>
      <c r="C913" s="47" t="str">
        <f>IFERROR(__xludf.DUMMYFUNCTION("""COMPUTED_VALUE"""),"ALCALINA ELGIN PEQ.AA ")</f>
        <v>ALCALINA ELGIN PEQ.AA </v>
      </c>
      <c r="D913" s="48">
        <f>IFERROR(__xludf.DUMMYFUNCTION("""COMPUTED_VALUE"""),14.0)</f>
        <v>14</v>
      </c>
      <c r="E913" s="49"/>
      <c r="F913" s="49"/>
      <c r="G913" s="39">
        <f t="array" ref="G913">XLOOKUP(B913,'Página9'!A:A,'Página9'!F:F,"")</f>
        <v>-5</v>
      </c>
      <c r="H913" s="39">
        <f t="array" ref="H913">XLOOKUP(B913,'Página9'!A:A,'Página9'!C:C,"")</f>
        <v>4</v>
      </c>
      <c r="I913" s="35" t="str">
        <f t="array" ref="I913">XLOOKUP(B913,'Página9'!A:A,'Página9'!G:G,"")</f>
        <v>REPOR ESTOQUE</v>
      </c>
      <c r="J913" s="25" t="str">
        <f t="shared" si="1"/>
        <v/>
      </c>
    </row>
    <row r="914">
      <c r="A914" s="45">
        <f>IFERROR(__xludf.DUMMYFUNCTION("""COMPUTED_VALUE"""),45856.0)</f>
        <v>45856</v>
      </c>
      <c r="B914" s="25" t="str">
        <f>IFERROR(__xludf.DUMMYFUNCTION("""COMPUTED_VALUE"""),"MCC049UC0609")</f>
        <v>MCC049UC0609</v>
      </c>
      <c r="C914" s="47" t="str">
        <f>IFERROR(__xludf.DUMMYFUNCTION("""COMPUTED_VALUE"""),"ATOMICO VERMELHO PERMANENTE")</f>
        <v>ATOMICO VERMELHO PERMANENTE</v>
      </c>
      <c r="D914" s="48">
        <f>IFERROR(__xludf.DUMMYFUNCTION("""COMPUTED_VALUE"""),32.0)</f>
        <v>32</v>
      </c>
      <c r="E914" s="49"/>
      <c r="F914" s="49"/>
      <c r="G914" s="39">
        <f t="array" ref="G914">XLOOKUP(B914,'Página9'!A:A,'Página9'!F:F,"")</f>
        <v>31</v>
      </c>
      <c r="H914" s="39">
        <f t="array" ref="H914">XLOOKUP(B914,'Página9'!A:A,'Página9'!C:C,"")</f>
        <v>3</v>
      </c>
      <c r="I914" s="35" t="str">
        <f t="array" ref="I914">XLOOKUP(B914,'Página9'!A:A,'Página9'!G:G,"")</f>
        <v>OK</v>
      </c>
      <c r="J914" s="25" t="str">
        <f t="shared" si="1"/>
        <v/>
      </c>
    </row>
    <row r="915">
      <c r="A915" s="45">
        <f>IFERROR(__xludf.DUMMYFUNCTION("""COMPUTED_VALUE"""),45856.0)</f>
        <v>45856</v>
      </c>
      <c r="B915" s="25" t="str">
        <f>IFERROR(__xludf.DUMMYFUNCTION("""COMPUTED_VALUE"""),"MCC049UC0603")</f>
        <v>MCC049UC0603</v>
      </c>
      <c r="C915" s="47" t="str">
        <f>IFERROR(__xludf.DUMMYFUNCTION("""COMPUTED_VALUE"""),"PLASTIF. A-4 220/307 C/100 UN PROLAM")</f>
        <v>PLASTIF. A-4 220/307 C/100 UN PROLAM</v>
      </c>
      <c r="D915" s="48">
        <f>IFERROR(__xludf.DUMMYFUNCTION("""COMPUTED_VALUE"""),200.0)</f>
        <v>200</v>
      </c>
      <c r="E915" s="49"/>
      <c r="F915" s="49"/>
      <c r="G915" s="39">
        <f t="array" ref="G915">XLOOKUP(B915,'Página9'!A:A,'Página9'!F:F,"")</f>
        <v>-504</v>
      </c>
      <c r="H915" s="39">
        <f t="array" ref="H915">XLOOKUP(B915,'Página9'!A:A,'Página9'!C:C,"")</f>
        <v>150</v>
      </c>
      <c r="I915" s="35" t="str">
        <f t="array" ref="I915">XLOOKUP(B915,'Página9'!A:A,'Página9'!G:G,"")</f>
        <v>REPOR ESTOQUE</v>
      </c>
      <c r="J915" s="25" t="str">
        <f t="shared" si="1"/>
        <v/>
      </c>
    </row>
    <row r="916">
      <c r="A916" s="45">
        <f>IFERROR(__xludf.DUMMYFUNCTION("""COMPUTED_VALUE"""),45856.0)</f>
        <v>45856</v>
      </c>
      <c r="B916" s="25" t="str">
        <f>IFERROR(__xludf.DUMMYFUNCTION("""COMPUTED_VALUE"""),"MCC049UC0602")</f>
        <v>MCC049UC0602</v>
      </c>
      <c r="C916" s="47" t="str">
        <f>IFERROR(__xludf.DUMMYFUNCTION("""COMPUTED_VALUE"""),"PLASTIF. A3 C/100 UN PROLAM")</f>
        <v>PLASTIF. A3 C/100 UN PROLAM</v>
      </c>
      <c r="D916" s="48">
        <f>IFERROR(__xludf.DUMMYFUNCTION("""COMPUTED_VALUE"""),100.0)</f>
        <v>100</v>
      </c>
      <c r="E916" s="49"/>
      <c r="F916" s="49"/>
      <c r="G916" s="39">
        <f t="array" ref="G916">XLOOKUP(B916,'Página9'!A:A,'Página9'!F:F,"")</f>
        <v>79</v>
      </c>
      <c r="H916" s="39">
        <f t="array" ref="H916">XLOOKUP(B916,'Página9'!A:A,'Página9'!C:C,"")</f>
        <v>1</v>
      </c>
      <c r="I916" s="35" t="str">
        <f t="array" ref="I916">XLOOKUP(B916,'Página9'!A:A,'Página9'!G:G,"")</f>
        <v>OK</v>
      </c>
      <c r="J916" s="25" t="str">
        <f t="shared" si="1"/>
        <v/>
      </c>
    </row>
    <row r="917">
      <c r="A917" s="45">
        <f>IFERROR(__xludf.DUMMYFUNCTION("""COMPUTED_VALUE"""),45856.0)</f>
        <v>45856</v>
      </c>
      <c r="B917" s="25" t="str">
        <f>IFERROR(__xludf.DUMMYFUNCTION("""COMPUTED_VALUE"""),"MCC046UC0540")</f>
        <v>MCC046UC0540</v>
      </c>
      <c r="C917" s="47" t="str">
        <f>IFERROR(__xludf.DUMMYFUNCTION("""COMPUTED_VALUE"""),"653 C/4 BL 38X50MM VERDE/ROSA 100FLS 3M")</f>
        <v>653 C/4 BL 38X50MM VERDE/ROSA 100FLS 3M</v>
      </c>
      <c r="D917" s="48">
        <f>IFERROR(__xludf.DUMMYFUNCTION("""COMPUTED_VALUE"""),6.0)</f>
        <v>6</v>
      </c>
      <c r="E917" s="49"/>
      <c r="F917" s="49"/>
      <c r="G917" s="39">
        <f t="array" ref="G917">XLOOKUP(B917,'Página9'!A:A,'Página9'!F:F,"")</f>
        <v>0</v>
      </c>
      <c r="H917" s="39">
        <f t="array" ref="H917">XLOOKUP(B917,'Página9'!A:A,'Página9'!C:C,"")</f>
        <v>3</v>
      </c>
      <c r="I917" s="35" t="str">
        <f t="array" ref="I917">XLOOKUP(B917,'Página9'!A:A,'Página9'!G:G,"")</f>
        <v>REPOR ESTOQUE</v>
      </c>
      <c r="J917" s="25" t="str">
        <f t="shared" si="1"/>
        <v/>
      </c>
    </row>
    <row r="918">
      <c r="A918" s="45">
        <f>IFERROR(__xludf.DUMMYFUNCTION("""COMPUTED_VALUE"""),45856.0)</f>
        <v>45856</v>
      </c>
      <c r="B918" s="25" t="str">
        <f>IFERROR(__xludf.DUMMYFUNCTION("""COMPUTED_VALUE"""),"MCC046UC0542")</f>
        <v>MCC046UC0542</v>
      </c>
      <c r="C918" s="47" t="str">
        <f>IFERROR(__xludf.DUMMYFUNCTION("""COMPUTED_VALUE"""),"657 76X102MM 100FLS AMARELO 3M")</f>
        <v>657 76X102MM 100FLS AMARELO 3M</v>
      </c>
      <c r="D918" s="48">
        <f>IFERROR(__xludf.DUMMYFUNCTION("""COMPUTED_VALUE"""),22.0)</f>
        <v>22</v>
      </c>
      <c r="E918" s="49"/>
      <c r="F918" s="49"/>
      <c r="G918" s="39">
        <f t="array" ref="G918">XLOOKUP(B918,'Página9'!A:A,'Página9'!F:F,"")</f>
        <v>17</v>
      </c>
      <c r="H918" s="39">
        <f t="array" ref="H918">XLOOKUP(B918,'Página9'!A:A,'Página9'!C:C,"")</f>
        <v>2</v>
      </c>
      <c r="I918" s="35" t="str">
        <f t="array" ref="I918">XLOOKUP(B918,'Página9'!A:A,'Página9'!G:G,"")</f>
        <v>OK</v>
      </c>
      <c r="J918" s="25" t="str">
        <f t="shared" si="1"/>
        <v/>
      </c>
    </row>
    <row r="919">
      <c r="A919" s="45">
        <f>IFERROR(__xludf.DUMMYFUNCTION("""COMPUTED_VALUE"""),45856.0)</f>
        <v>45856</v>
      </c>
      <c r="B919" s="25" t="str">
        <f>IFERROR(__xludf.DUMMYFUNCTION("""COMPUTED_VALUE"""),"MCC046UC0549")</f>
        <v>MCC046UC0549</v>
      </c>
      <c r="C919" s="47" t="str">
        <f>IFERROR(__xludf.DUMMYFUNCTION("""COMPUTED_VALUE"""),"OFICIO MDF PRENDEDOR METAL ACRIMET 105")</f>
        <v>OFICIO MDF PRENDEDOR METAL ACRIMET 105</v>
      </c>
      <c r="D919" s="48">
        <f>IFERROR(__xludf.DUMMYFUNCTION("""COMPUTED_VALUE"""),20.0)</f>
        <v>20</v>
      </c>
      <c r="E919" s="49"/>
      <c r="F919" s="49"/>
      <c r="G919" s="39">
        <f t="array" ref="G919">XLOOKUP(B919,'Página9'!A:A,'Página9'!F:F,"")</f>
        <v>-2</v>
      </c>
      <c r="H919" s="39">
        <f t="array" ref="H919">XLOOKUP(B919,'Página9'!A:A,'Página9'!C:C,"")</f>
        <v>5</v>
      </c>
      <c r="I919" s="35" t="str">
        <f t="array" ref="I919">XLOOKUP(B919,'Página9'!A:A,'Página9'!G:G,"")</f>
        <v>REPOR ESTOQUE</v>
      </c>
      <c r="J919" s="25" t="str">
        <f t="shared" si="1"/>
        <v/>
      </c>
    </row>
    <row r="920">
      <c r="A920" s="45">
        <f>IFERROR(__xludf.DUMMYFUNCTION("""COMPUTED_VALUE"""),45856.0)</f>
        <v>45856</v>
      </c>
      <c r="B920" s="25" t="str">
        <f>IFERROR(__xludf.DUMMYFUNCTION("""COMPUTED_VALUE"""),"MCC046UC0093")</f>
        <v>MCC046UC0093</v>
      </c>
      <c r="C920" s="47" t="str">
        <f>IFERROR(__xludf.DUMMYFUNCTION("""COMPUTED_VALUE"""),"ACRILICA 30CM")</f>
        <v>ACRILICA 30CM</v>
      </c>
      <c r="D920" s="48">
        <f>IFERROR(__xludf.DUMMYFUNCTION("""COMPUTED_VALUE"""),19.0)</f>
        <v>19</v>
      </c>
      <c r="E920" s="49"/>
      <c r="F920" s="49"/>
      <c r="G920" s="39">
        <f t="array" ref="G920">XLOOKUP(B920,'Página9'!A:A,'Página9'!F:F,"")</f>
        <v>16</v>
      </c>
      <c r="H920" s="39">
        <f t="array" ref="H920">XLOOKUP(B920,'Página9'!A:A,'Página9'!C:C,"")</f>
        <v>5</v>
      </c>
      <c r="I920" s="35" t="str">
        <f t="array" ref="I920">XLOOKUP(B920,'Página9'!A:A,'Página9'!G:G,"")</f>
        <v>OK</v>
      </c>
      <c r="J920" s="25" t="str">
        <f t="shared" si="1"/>
        <v/>
      </c>
    </row>
    <row r="921">
      <c r="A921" s="45">
        <f>IFERROR(__xludf.DUMMYFUNCTION("""COMPUTED_VALUE"""),45856.0)</f>
        <v>45856</v>
      </c>
      <c r="B921" s="25" t="str">
        <f>IFERROR(__xludf.DUMMYFUNCTION("""COMPUTED_VALUE"""),"EMC015MO0001")</f>
        <v>EMC015MO0001</v>
      </c>
      <c r="C921" s="47" t="str">
        <f>IFERROR(__xludf.DUMMYFUNCTION("""COMPUTED_VALUE"""),"CERA PRETO 110MMX300M")</f>
        <v>CERA PRETO 110MMX300M</v>
      </c>
      <c r="D921" s="48">
        <f>IFERROR(__xludf.DUMMYFUNCTION("""COMPUTED_VALUE"""),73.0)</f>
        <v>73</v>
      </c>
      <c r="E921" s="49"/>
      <c r="F921" s="49"/>
      <c r="G921" s="39">
        <f t="array" ref="G921">XLOOKUP(B921,'Página9'!A:A,'Página9'!F:F,"")</f>
        <v>390</v>
      </c>
      <c r="H921" s="39">
        <f t="array" ref="H921">XLOOKUP(B921,'Página9'!A:A,'Página9'!C:C,"")</f>
        <v>5</v>
      </c>
      <c r="I921" s="35" t="str">
        <f t="array" ref="I921">XLOOKUP(B921,'Página9'!A:A,'Página9'!G:G,"")</f>
        <v>OK</v>
      </c>
      <c r="J921" s="25" t="str">
        <f t="shared" si="1"/>
        <v/>
      </c>
    </row>
    <row r="922">
      <c r="A922" s="45">
        <f>IFERROR(__xludf.DUMMYFUNCTION("""COMPUTED_VALUE"""),45856.0)</f>
        <v>45856</v>
      </c>
      <c r="B922" s="25" t="str">
        <f>IFERROR(__xludf.DUMMYFUNCTION("""COMPUTED_VALUE"""),"EMC015MO0007")</f>
        <v>EMC015MO0007</v>
      </c>
      <c r="C922" s="47" t="str">
        <f>IFERROR(__xludf.DUMMYFUNCTION("""COMPUTED_VALUE"""),"CERA PRETO 110MMX74M")</f>
        <v>CERA PRETO 110MMX74M</v>
      </c>
      <c r="D922" s="48">
        <f>IFERROR(__xludf.DUMMYFUNCTION("""COMPUTED_VALUE"""),177.0)</f>
        <v>177</v>
      </c>
      <c r="E922" s="49"/>
      <c r="F922" s="49"/>
      <c r="G922" s="39">
        <f t="array" ref="G922">XLOOKUP(B922,'Página9'!A:A,'Página9'!F:F,"")</f>
        <v>646</v>
      </c>
      <c r="H922" s="39">
        <f t="array" ref="H922">XLOOKUP(B922,'Página9'!A:A,'Página9'!C:C,"")</f>
        <v>5</v>
      </c>
      <c r="I922" s="35" t="str">
        <f t="array" ref="I922">XLOOKUP(B922,'Página9'!A:A,'Página9'!G:G,"")</f>
        <v>OK</v>
      </c>
      <c r="J922" s="25" t="str">
        <f t="shared" si="1"/>
        <v/>
      </c>
    </row>
    <row r="923">
      <c r="A923" s="45">
        <f>IFERROR(__xludf.DUMMYFUNCTION("""COMPUTED_VALUE"""),45856.0)</f>
        <v>45856</v>
      </c>
      <c r="B923" s="25" t="str">
        <f>IFERROR(__xludf.DUMMYFUNCTION("""COMPUTED_VALUE"""),"MCC046UC0587")</f>
        <v>MCC046UC0587</v>
      </c>
      <c r="C923" s="47" t="str">
        <f>IFERROR(__xludf.DUMMYFUNCTION("""COMPUTED_VALUE"""),"USO GERAL 21CM MUNDIAL 160-8N")</f>
        <v>USO GERAL 21CM MUNDIAL 160-8N</v>
      </c>
      <c r="D923" s="48">
        <f>IFERROR(__xludf.DUMMYFUNCTION("""COMPUTED_VALUE"""),3.0)</f>
        <v>3</v>
      </c>
      <c r="E923" s="49"/>
      <c r="F923" s="49"/>
      <c r="G923" s="39">
        <f t="array" ref="G923">XLOOKUP(B923,'Página9'!A:A,'Página9'!F:F,"")</f>
        <v>-1</v>
      </c>
      <c r="H923" s="39">
        <f t="array" ref="H923">XLOOKUP(B923,'Página9'!A:A,'Página9'!C:C,"")</f>
        <v>2</v>
      </c>
      <c r="I923" s="35" t="str">
        <f t="array" ref="I923">XLOOKUP(B923,'Página9'!A:A,'Página9'!G:G,"")</f>
        <v>REPOR ESTOQUE</v>
      </c>
      <c r="J923" s="25" t="str">
        <f t="shared" si="1"/>
        <v/>
      </c>
    </row>
    <row r="924">
      <c r="A924" s="45">
        <f>IFERROR(__xludf.DUMMYFUNCTION("""COMPUTED_VALUE"""),45931.0)</f>
        <v>45931</v>
      </c>
      <c r="B924" s="25" t="str">
        <f>IFERROR(__xludf.DUMMYFUNCTION("""COMPUTED_VALUE"""),"MCC015UC0045")</f>
        <v>MCC015UC0045</v>
      </c>
      <c r="C924" s="47" t="str">
        <f>IFERROR(__xludf.DUMMYFUNCTION("""COMPUTED_VALUE"""),"ADESIVA 69MM X 100M")</f>
        <v>ADESIVA 69MM X 100M</v>
      </c>
      <c r="D924" s="48">
        <f>IFERROR(__xludf.DUMMYFUNCTION("""COMPUTED_VALUE"""),250.0)</f>
        <v>250</v>
      </c>
      <c r="E924" s="49"/>
      <c r="F924" s="49"/>
      <c r="G924" s="39">
        <f t="array" ref="G924">XLOOKUP(B924,'Página9'!A:A,'Página9'!F:F,"")</f>
        <v>287</v>
      </c>
      <c r="H924" s="39">
        <f t="array" ref="H924">XLOOKUP(B924,'Página9'!A:A,'Página9'!C:C,"")</f>
        <v>20</v>
      </c>
      <c r="I924" s="35" t="str">
        <f t="array" ref="I924">XLOOKUP(B924,'Página9'!A:A,'Página9'!G:G,"")</f>
        <v>OK</v>
      </c>
      <c r="J924" s="25" t="str">
        <f t="shared" si="1"/>
        <v/>
      </c>
    </row>
    <row r="925">
      <c r="A925" s="45">
        <f>IFERROR(__xludf.DUMMYFUNCTION("""COMPUTED_VALUE"""),45931.0)</f>
        <v>45931</v>
      </c>
      <c r="B925" s="25" t="str">
        <f>IFERROR(__xludf.DUMMYFUNCTION("""COMPUTED_VALUE"""),"MCC046UC0082")</f>
        <v>MCC046UC0082</v>
      </c>
      <c r="C925" s="47" t="str">
        <f>IFERROR(__xludf.DUMMYFUNCTION("""COMPUTED_VALUE"""),"SULFITE A4 75G 500 FOLHAS")</f>
        <v>SULFITE A4 75G 500 FOLHAS</v>
      </c>
      <c r="D925" s="48">
        <f>IFERROR(__xludf.DUMMYFUNCTION("""COMPUTED_VALUE"""),129.0)</f>
        <v>129</v>
      </c>
      <c r="E925" s="49"/>
      <c r="F925" s="49"/>
      <c r="G925" s="39">
        <f t="array" ref="G925">XLOOKUP(B925,'Página9'!A:A,'Página9'!F:F,"")</f>
        <v>163</v>
      </c>
      <c r="H925" s="39">
        <f t="array" ref="H925">XLOOKUP(B925,'Página9'!A:A,'Página9'!C:C,"")</f>
        <v>10</v>
      </c>
      <c r="I925" s="35" t="str">
        <f t="array" ref="I925">XLOOKUP(B925,'Página9'!A:A,'Página9'!G:G,"")</f>
        <v>OK</v>
      </c>
      <c r="J925" s="25" t="str">
        <f t="shared" si="1"/>
        <v/>
      </c>
    </row>
    <row r="926">
      <c r="A926" s="45">
        <f>IFERROR(__xludf.DUMMYFUNCTION("""COMPUTED_VALUE"""),45937.0)</f>
        <v>45937</v>
      </c>
      <c r="B926" s="25" t="str">
        <f>IFERROR(__xludf.DUMMYFUNCTION("""COMPUTED_VALUE"""),"MCC015UC0008")</f>
        <v>MCC015UC0008</v>
      </c>
      <c r="C926" s="47" t="str">
        <f>IFERROR(__xludf.DUMMYFUNCTION("""COMPUTED_VALUE"""),"STRETCH 500X25")</f>
        <v>STRETCH 500X25</v>
      </c>
      <c r="D926" s="48">
        <f>IFERROR(__xludf.DUMMYFUNCTION("""COMPUTED_VALUE"""),191.0)</f>
        <v>191</v>
      </c>
      <c r="E926" s="49"/>
      <c r="F926" s="49"/>
      <c r="G926" s="39">
        <f t="array" ref="G926">XLOOKUP(B926,'Página9'!A:A,'Página9'!F:F,"")</f>
        <v>-158</v>
      </c>
      <c r="H926" s="39">
        <f t="array" ref="H926">XLOOKUP(B926,'Página9'!A:A,'Página9'!C:C,"")</f>
        <v>40</v>
      </c>
      <c r="I926" s="35" t="str">
        <f t="array" ref="I926">XLOOKUP(B926,'Página9'!A:A,'Página9'!G:G,"")</f>
        <v>REPOR ESTOQUE</v>
      </c>
      <c r="J926" s="25" t="str">
        <f t="shared" si="1"/>
        <v/>
      </c>
    </row>
    <row r="927">
      <c r="A927" s="45">
        <f>IFERROR(__xludf.DUMMYFUNCTION("""COMPUTED_VALUE"""),45937.0)</f>
        <v>45937</v>
      </c>
      <c r="B927" s="25" t="str">
        <f>IFERROR(__xludf.DUMMYFUNCTION("""COMPUTED_VALUE"""),"MCC015UC0038")</f>
        <v>MCC015UC0038</v>
      </c>
      <c r="C927" s="47" t="str">
        <f>IFERROR(__xludf.DUMMYFUNCTION("""COMPUTED_VALUE"""),"SHRINK 500MM")</f>
        <v>SHRINK 500MM</v>
      </c>
      <c r="D927" s="48">
        <f>IFERROR(__xludf.DUMMYFUNCTION("""COMPUTED_VALUE"""),11.0)</f>
        <v>11</v>
      </c>
      <c r="E927" s="49"/>
      <c r="F927" s="49"/>
      <c r="G927" s="39">
        <f t="array" ref="G927">XLOOKUP(B927,'Página9'!A:A,'Página9'!F:F,"")</f>
        <v>13</v>
      </c>
      <c r="H927" s="39">
        <f t="array" ref="H927">XLOOKUP(B927,'Página9'!A:A,'Página9'!C:C,"")</f>
        <v>3</v>
      </c>
      <c r="I927" s="35" t="str">
        <f t="array" ref="I927">XLOOKUP(B927,'Página9'!A:A,'Página9'!G:G,"")</f>
        <v>OK</v>
      </c>
      <c r="J927" s="25" t="str">
        <f t="shared" si="1"/>
        <v/>
      </c>
    </row>
    <row r="928">
      <c r="A928" s="45">
        <f>IFERROR(__xludf.DUMMYFUNCTION("""COMPUTED_VALUE"""),45954.0)</f>
        <v>45954</v>
      </c>
      <c r="B928" s="25" t="str">
        <f>IFERROR(__xludf.DUMMYFUNCTION("""COMPUTED_VALUE"""),"MCC015UC0008")</f>
        <v>MCC015UC0008</v>
      </c>
      <c r="C928" s="47" t="str">
        <f>IFERROR(__xludf.DUMMYFUNCTION("""COMPUTED_VALUE"""),"STRETCH 500X25")</f>
        <v>STRETCH 500X25</v>
      </c>
      <c r="D928" s="48">
        <f>IFERROR(__xludf.DUMMYFUNCTION("""COMPUTED_VALUE"""),204.0)</f>
        <v>204</v>
      </c>
      <c r="E928" s="49"/>
      <c r="F928" s="49"/>
      <c r="G928" s="39">
        <f t="array" ref="G928">XLOOKUP(B928,'Página9'!A:A,'Página9'!F:F,"")</f>
        <v>-158</v>
      </c>
      <c r="H928" s="39">
        <f t="array" ref="H928">XLOOKUP(B928,'Página9'!A:A,'Página9'!C:C,"")</f>
        <v>40</v>
      </c>
      <c r="I928" s="35" t="str">
        <f t="array" ref="I928">XLOOKUP(B928,'Página9'!A:A,'Página9'!G:G,"")</f>
        <v>REPOR ESTOQUE</v>
      </c>
      <c r="J928" s="25" t="str">
        <f t="shared" si="1"/>
        <v/>
      </c>
    </row>
    <row r="929">
      <c r="A929" s="45">
        <f>IFERROR(__xludf.DUMMYFUNCTION("""COMPUTED_VALUE"""),45968.0)</f>
        <v>45968</v>
      </c>
      <c r="B929" s="25" t="str">
        <f>IFERROR(__xludf.DUMMYFUNCTION("""COMPUTED_VALUE"""),"MCC015UC0008")</f>
        <v>MCC015UC0008</v>
      </c>
      <c r="C929" s="47" t="str">
        <f>IFERROR(__xludf.DUMMYFUNCTION("""COMPUTED_VALUE"""),"STRETCH 500X25")</f>
        <v>STRETCH 500X25</v>
      </c>
      <c r="D929" s="48">
        <f>IFERROR(__xludf.DUMMYFUNCTION("""COMPUTED_VALUE"""),300.0)</f>
        <v>300</v>
      </c>
      <c r="E929" s="49"/>
      <c r="F929" s="49"/>
      <c r="G929" s="39">
        <f t="array" ref="G929">XLOOKUP(B929,'Página9'!A:A,'Página9'!F:F,"")</f>
        <v>-158</v>
      </c>
      <c r="H929" s="39">
        <f t="array" ref="H929">XLOOKUP(B929,'Página9'!A:A,'Página9'!C:C,"")</f>
        <v>40</v>
      </c>
      <c r="I929" s="35" t="str">
        <f t="array" ref="I929">XLOOKUP(B929,'Página9'!A:A,'Página9'!G:G,"")</f>
        <v>REPOR ESTOQUE</v>
      </c>
      <c r="J929" s="25" t="str">
        <f t="shared" si="1"/>
        <v/>
      </c>
    </row>
    <row r="930">
      <c r="A930" s="45">
        <f>IFERROR(__xludf.DUMMYFUNCTION("""COMPUTED_VALUE"""),45937.0)</f>
        <v>45937</v>
      </c>
      <c r="B930" s="25" t="str">
        <f>IFERROR(__xludf.DUMMYFUNCTION("""COMPUTED_VALUE"""),"MCC015UC0038")</f>
        <v>MCC015UC0038</v>
      </c>
      <c r="C930" s="47" t="str">
        <f>IFERROR(__xludf.DUMMYFUNCTION("""COMPUTED_VALUE"""),"SHRINK 500MM")</f>
        <v>SHRINK 500MM</v>
      </c>
      <c r="D930" s="48">
        <f>IFERROR(__xludf.DUMMYFUNCTION("""COMPUTED_VALUE"""),20.0)</f>
        <v>20</v>
      </c>
      <c r="E930" s="49"/>
      <c r="F930" s="49"/>
      <c r="G930" s="39">
        <f t="array" ref="G930">XLOOKUP(B930,'Página9'!A:A,'Página9'!F:F,"")</f>
        <v>13</v>
      </c>
      <c r="H930" s="39">
        <f t="array" ref="H930">XLOOKUP(B930,'Página9'!A:A,'Página9'!C:C,"")</f>
        <v>3</v>
      </c>
      <c r="I930" s="35" t="str">
        <f t="array" ref="I930">XLOOKUP(B930,'Página9'!A:A,'Página9'!G:G,"")</f>
        <v>OK</v>
      </c>
      <c r="J930" s="25" t="str">
        <f t="shared" si="1"/>
        <v/>
      </c>
    </row>
    <row r="931">
      <c r="A931" s="45">
        <f>IFERROR(__xludf.DUMMYFUNCTION("""COMPUTED_VALUE"""),45976.0)</f>
        <v>45976</v>
      </c>
      <c r="B931" s="25" t="str">
        <f>IFERROR(__xludf.DUMMYFUNCTION("""COMPUTED_VALUE"""),"MCC015UC0033")</f>
        <v>MCC015UC0033</v>
      </c>
      <c r="C931" s="47" t="str">
        <f>IFERROR(__xludf.DUMMYFUNCTION("""COMPUTED_VALUE"""),"DE ARQUEAR PET VERDE 16MM X 0,8MM C/ 13KG")</f>
        <v>DE ARQUEAR PET VERDE 16MM X 0,8MM C/ 13KG</v>
      </c>
      <c r="D931" s="48">
        <f>IFERROR(__xludf.DUMMYFUNCTION("""COMPUTED_VALUE"""),15.0)</f>
        <v>15</v>
      </c>
      <c r="E931" s="49"/>
      <c r="F931" s="49"/>
      <c r="G931" s="39">
        <f t="array" ref="G931">XLOOKUP(B931,'Página9'!A:A,'Página9'!F:F,"")</f>
        <v>4</v>
      </c>
      <c r="H931" s="39">
        <f t="array" ref="H931">XLOOKUP(B931,'Página9'!A:A,'Página9'!C:C,"")</f>
        <v>3</v>
      </c>
      <c r="I931" s="35" t="str">
        <f t="array" ref="I931">XLOOKUP(B931,'Página9'!A:A,'Página9'!G:G,"")</f>
        <v>OK</v>
      </c>
      <c r="J931" s="25" t="str">
        <f t="shared" si="1"/>
        <v/>
      </c>
    </row>
    <row r="932">
      <c r="A932" s="45">
        <f>IFERROR(__xludf.DUMMYFUNCTION("""COMPUTED_VALUE"""),45973.0)</f>
        <v>45973</v>
      </c>
      <c r="B932" s="25" t="str">
        <f>IFERROR(__xludf.DUMMYFUNCTION("""COMPUTED_VALUE"""),"MCC046UC0215")</f>
        <v>MCC046UC0215</v>
      </c>
      <c r="C932" s="47" t="str">
        <f>IFERROR(__xludf.DUMMYFUNCTION("""COMPUTED_VALUE"""),"ESFEROGRAFICA ECONOMIC AZUL BIC")</f>
        <v>ESFEROGRAFICA ECONOMIC AZUL BIC</v>
      </c>
      <c r="D932" s="48">
        <f>IFERROR(__xludf.DUMMYFUNCTION("""COMPUTED_VALUE"""),50.0)</f>
        <v>50</v>
      </c>
      <c r="E932" s="49"/>
      <c r="F932" s="49"/>
      <c r="G932" s="39">
        <f t="array" ref="G932">XLOOKUP(B932,'Página9'!A:A,'Página9'!F:F,"")</f>
        <v>-20</v>
      </c>
      <c r="H932" s="39">
        <f t="array" ref="H932">XLOOKUP(B932,'Página9'!A:A,'Página9'!C:C,"")</f>
        <v>15</v>
      </c>
      <c r="I932" s="35" t="str">
        <f t="array" ref="I932">XLOOKUP(B932,'Página9'!A:A,'Página9'!G:G,"")</f>
        <v>REPOR ESTOQUE</v>
      </c>
      <c r="J932" s="25" t="str">
        <f t="shared" si="1"/>
        <v/>
      </c>
    </row>
    <row r="933">
      <c r="A933" s="45">
        <f>IFERROR(__xludf.DUMMYFUNCTION("""COMPUTED_VALUE"""),45972.0)</f>
        <v>45972</v>
      </c>
      <c r="B933" s="25" t="str">
        <f>IFERROR(__xludf.DUMMYFUNCTION("""COMPUTED_VALUE"""),"MCC015UC0045")</f>
        <v>MCC015UC0045</v>
      </c>
      <c r="C933" s="47" t="str">
        <f>IFERROR(__xludf.DUMMYFUNCTION("""COMPUTED_VALUE"""),"ADESIVA 69MM X 100M")</f>
        <v>ADESIVA 69MM X 100M</v>
      </c>
      <c r="D933" s="48">
        <f>IFERROR(__xludf.DUMMYFUNCTION("""COMPUTED_VALUE"""),300.0)</f>
        <v>300</v>
      </c>
      <c r="E933" s="49"/>
      <c r="F933" s="49"/>
      <c r="G933" s="39">
        <f t="array" ref="G933">XLOOKUP(B933,'Página9'!A:A,'Página9'!F:F,"")</f>
        <v>287</v>
      </c>
      <c r="H933" s="39">
        <f t="array" ref="H933">XLOOKUP(B933,'Página9'!A:A,'Página9'!C:C,"")</f>
        <v>20</v>
      </c>
      <c r="I933" s="35" t="str">
        <f t="array" ref="I933">XLOOKUP(B933,'Página9'!A:A,'Página9'!G:G,"")</f>
        <v>OK</v>
      </c>
      <c r="J933" s="25" t="str">
        <f t="shared" si="1"/>
        <v/>
      </c>
    </row>
    <row r="934">
      <c r="A934" s="45">
        <f>IFERROR(__xludf.DUMMYFUNCTION("""COMPUTED_VALUE"""),45973.0)</f>
        <v>45973</v>
      </c>
      <c r="B934" s="25" t="str">
        <f>IFERROR(__xludf.DUMMYFUNCTION("""COMPUTED_VALUE"""),"MCC049UC0607")</f>
        <v>MCC049UC0607</v>
      </c>
      <c r="C934" s="47" t="str">
        <f>IFERROR(__xludf.DUMMYFUNCTION("""COMPUTED_VALUE"""),"A3 RESMA COM 500 FLS")</f>
        <v>A3 RESMA COM 500 FLS</v>
      </c>
      <c r="D934" s="48">
        <f>IFERROR(__xludf.DUMMYFUNCTION("""COMPUTED_VALUE"""),10.0)</f>
        <v>10</v>
      </c>
      <c r="E934" s="49"/>
      <c r="F934" s="49"/>
      <c r="G934" s="39">
        <f t="array" ref="G934">XLOOKUP(B934,'Página9'!A:A,'Página9'!F:F,"")</f>
        <v>-47</v>
      </c>
      <c r="H934" s="39">
        <f t="array" ref="H934">XLOOKUP(B934,'Página9'!A:A,'Página9'!C:C,"")</f>
        <v>3</v>
      </c>
      <c r="I934" s="35" t="str">
        <f t="array" ref="I934">XLOOKUP(B934,'Página9'!A:A,'Página9'!G:G,"")</f>
        <v>REPOR ESTOQUE</v>
      </c>
      <c r="J934" s="25" t="str">
        <f t="shared" si="1"/>
        <v/>
      </c>
    </row>
    <row r="935">
      <c r="A935" s="45">
        <f>IFERROR(__xludf.DUMMYFUNCTION("""COMPUTED_VALUE"""),45973.0)</f>
        <v>45973</v>
      </c>
      <c r="B935" s="25" t="str">
        <f>IFERROR(__xludf.DUMMYFUNCTION("""COMPUTED_VALUE"""),"MCC049UC0603")</f>
        <v>MCC049UC0603</v>
      </c>
      <c r="C935" s="47" t="str">
        <f>IFERROR(__xludf.DUMMYFUNCTION("""COMPUTED_VALUE"""),"PLASTIF. A-4 220/307 C/100 UN PROLAM")</f>
        <v>PLASTIF. A-4 220/307 C/100 UN PROLAM</v>
      </c>
      <c r="D935" s="48">
        <f>IFERROR(__xludf.DUMMYFUNCTION("""COMPUTED_VALUE"""),500.0)</f>
        <v>500</v>
      </c>
      <c r="E935" s="49"/>
      <c r="F935" s="49"/>
      <c r="G935" s="39">
        <f t="array" ref="G935">XLOOKUP(B935,'Página9'!A:A,'Página9'!F:F,"")</f>
        <v>-504</v>
      </c>
      <c r="H935" s="39">
        <f t="array" ref="H935">XLOOKUP(B935,'Página9'!A:A,'Página9'!C:C,"")</f>
        <v>150</v>
      </c>
      <c r="I935" s="35" t="str">
        <f t="array" ref="I935">XLOOKUP(B935,'Página9'!A:A,'Página9'!G:G,"")</f>
        <v>REPOR ESTOQUE</v>
      </c>
      <c r="J935" s="25" t="str">
        <f t="shared" si="1"/>
        <v/>
      </c>
    </row>
    <row r="936">
      <c r="A936" s="45">
        <f>IFERROR(__xludf.DUMMYFUNCTION("""COMPUTED_VALUE"""),45985.0)</f>
        <v>45985</v>
      </c>
      <c r="B936" s="25" t="str">
        <f>IFERROR(__xludf.DUMMYFUNCTION("""COMPUTED_VALUE"""),"MCC015UC0008")</f>
        <v>MCC015UC0008</v>
      </c>
      <c r="C936" s="47" t="str">
        <f>IFERROR(__xludf.DUMMYFUNCTION("""COMPUTED_VALUE"""),"STRETCH 500X25")</f>
        <v>STRETCH 500X25</v>
      </c>
      <c r="D936" s="48">
        <f>IFERROR(__xludf.DUMMYFUNCTION("""COMPUTED_VALUE"""),64.0)</f>
        <v>64</v>
      </c>
      <c r="E936" s="49"/>
      <c r="F936" s="49"/>
      <c r="G936" s="39">
        <f t="array" ref="G936">XLOOKUP(B936,'Página9'!A:A,'Página9'!F:F,"")</f>
        <v>-158</v>
      </c>
      <c r="H936" s="39">
        <f t="array" ref="H936">XLOOKUP(B936,'Página9'!A:A,'Página9'!C:C,"")</f>
        <v>40</v>
      </c>
      <c r="I936" s="35" t="str">
        <f t="array" ref="I936">XLOOKUP(B936,'Página9'!A:A,'Página9'!G:G,"")</f>
        <v>REPOR ESTOQUE</v>
      </c>
      <c r="J936" s="25" t="str">
        <f t="shared" si="1"/>
        <v/>
      </c>
    </row>
    <row r="937">
      <c r="A937" s="45">
        <f>IFERROR(__xludf.DUMMYFUNCTION("""COMPUTED_VALUE"""),45988.0)</f>
        <v>45988</v>
      </c>
      <c r="B937" s="25" t="str">
        <f>IFERROR(__xludf.DUMMYFUNCTION("""COMPUTED_VALUE"""),"MCC015UC0045")</f>
        <v>MCC015UC0045</v>
      </c>
      <c r="C937" s="47" t="str">
        <f>IFERROR(__xludf.DUMMYFUNCTION("""COMPUTED_VALUE"""),"ADESIVA 69MM X 100M")</f>
        <v>ADESIVA 69MM X 100M</v>
      </c>
      <c r="D937" s="48">
        <f>IFERROR(__xludf.DUMMYFUNCTION("""COMPUTED_VALUE"""),34.0)</f>
        <v>34</v>
      </c>
      <c r="E937" s="49"/>
      <c r="F937" s="49"/>
      <c r="G937" s="39">
        <f t="array" ref="G937">XLOOKUP(B937,'Página9'!A:A,'Página9'!F:F,"")</f>
        <v>287</v>
      </c>
      <c r="H937" s="39">
        <f t="array" ref="H937">XLOOKUP(B937,'Página9'!A:A,'Página9'!C:C,"")</f>
        <v>20</v>
      </c>
      <c r="I937" s="35" t="str">
        <f t="array" ref="I937">XLOOKUP(B937,'Página9'!A:A,'Página9'!G:G,"")</f>
        <v>OK</v>
      </c>
      <c r="J937" s="25" t="str">
        <f t="shared" si="1"/>
        <v/>
      </c>
    </row>
    <row r="938">
      <c r="A938" s="45">
        <f>IFERROR(__xludf.DUMMYFUNCTION("""COMPUTED_VALUE"""),45989.0)</f>
        <v>45989</v>
      </c>
      <c r="B938" s="25" t="str">
        <f>IFERROR(__xludf.DUMMYFUNCTION("""COMPUTED_VALUE"""),"MCC015UC0045")</f>
        <v>MCC015UC0045</v>
      </c>
      <c r="C938" s="47" t="str">
        <f>IFERROR(__xludf.DUMMYFUNCTION("""COMPUTED_VALUE"""),"ADESIVA 69MM X 100M")</f>
        <v>ADESIVA 69MM X 100M</v>
      </c>
      <c r="D938" s="48">
        <f>IFERROR(__xludf.DUMMYFUNCTION("""COMPUTED_VALUE"""),312.0)</f>
        <v>312</v>
      </c>
      <c r="E938" s="49"/>
      <c r="F938" s="49"/>
      <c r="G938" s="39">
        <f t="array" ref="G938">XLOOKUP(B938,'Página9'!A:A,'Página9'!F:F,"")</f>
        <v>287</v>
      </c>
      <c r="H938" s="39">
        <f t="array" ref="H938">XLOOKUP(B938,'Página9'!A:A,'Página9'!C:C,"")</f>
        <v>20</v>
      </c>
      <c r="I938" s="35" t="str">
        <f t="array" ref="I938">XLOOKUP(B938,'Página9'!A:A,'Página9'!G:G,"")</f>
        <v>OK</v>
      </c>
      <c r="J938" s="25" t="str">
        <f t="shared" si="1"/>
        <v/>
      </c>
    </row>
    <row r="939">
      <c r="A939" s="45">
        <f>IFERROR(__xludf.DUMMYFUNCTION("""COMPUTED_VALUE"""),45967.0)</f>
        <v>45967</v>
      </c>
      <c r="B939" s="25" t="str">
        <f>IFERROR(__xludf.DUMMYFUNCTION("""COMPUTED_VALUE"""),"EMC015MO0001")</f>
        <v>EMC015MO0001</v>
      </c>
      <c r="C939" s="47" t="str">
        <f>IFERROR(__xludf.DUMMYFUNCTION("""COMPUTED_VALUE"""),"CERA PRETO 110MMX300M")</f>
        <v>CERA PRETO 110MMX300M</v>
      </c>
      <c r="D939" s="48">
        <f>IFERROR(__xludf.DUMMYFUNCTION("""COMPUTED_VALUE"""),480.0)</f>
        <v>480</v>
      </c>
      <c r="E939" s="49"/>
      <c r="F939" s="49"/>
      <c r="G939" s="39">
        <f t="array" ref="G939">XLOOKUP(B939,'Página9'!A:A,'Página9'!F:F,"")</f>
        <v>390</v>
      </c>
      <c r="H939" s="39">
        <f t="array" ref="H939">XLOOKUP(B939,'Página9'!A:A,'Página9'!C:C,"")</f>
        <v>5</v>
      </c>
      <c r="I939" s="35" t="str">
        <f t="array" ref="I939">XLOOKUP(B939,'Página9'!A:A,'Página9'!G:G,"")</f>
        <v>OK</v>
      </c>
      <c r="J939" s="25" t="str">
        <f t="shared" si="1"/>
        <v/>
      </c>
    </row>
    <row r="940">
      <c r="A940" s="45">
        <f>IFERROR(__xludf.DUMMYFUNCTION("""COMPUTED_VALUE"""),46007.0)</f>
        <v>46007</v>
      </c>
      <c r="B940" s="25" t="str">
        <f>IFERROR(__xludf.DUMMYFUNCTION("""COMPUTED_VALUE"""),"EMC015MO0007")</f>
        <v>EMC015MO0007</v>
      </c>
      <c r="C940" s="47" t="str">
        <f>IFERROR(__xludf.DUMMYFUNCTION("""COMPUTED_VALUE"""),"CERA PRETO 110MMX74M")</f>
        <v>CERA PRETO 110MMX74M</v>
      </c>
      <c r="D940" s="48">
        <f>IFERROR(__xludf.DUMMYFUNCTION("""COMPUTED_VALUE"""),500.0)</f>
        <v>500</v>
      </c>
      <c r="E940" s="49"/>
      <c r="F940" s="49"/>
      <c r="G940" s="39">
        <f t="array" ref="G940">XLOOKUP(B940,'Página9'!A:A,'Página9'!F:F,"")</f>
        <v>646</v>
      </c>
      <c r="H940" s="39">
        <f t="array" ref="H940">XLOOKUP(B940,'Página9'!A:A,'Página9'!C:C,"")</f>
        <v>5</v>
      </c>
      <c r="I940" s="35" t="str">
        <f t="array" ref="I940">XLOOKUP(B940,'Página9'!A:A,'Página9'!G:G,"")</f>
        <v>OK</v>
      </c>
      <c r="J940" s="25" t="str">
        <f t="shared" si="1"/>
        <v/>
      </c>
    </row>
    <row r="941">
      <c r="A941" s="45">
        <f>IFERROR(__xludf.DUMMYFUNCTION("""COMPUTED_VALUE"""),46034.0)</f>
        <v>46034</v>
      </c>
      <c r="B941" s="25" t="str">
        <f>IFERROR(__xludf.DUMMYFUNCTION("""COMPUTED_VALUE"""),"MCC046UC0082")</f>
        <v>MCC046UC0082</v>
      </c>
      <c r="C941" s="47" t="str">
        <f>IFERROR(__xludf.DUMMYFUNCTION("""COMPUTED_VALUE"""),"SULFITE A4 75G 500 FOLHAS")</f>
        <v>SULFITE A4 75G 500 FOLHAS</v>
      </c>
      <c r="D941" s="48">
        <f>IFERROR(__xludf.DUMMYFUNCTION("""COMPUTED_VALUE"""),200.0)</f>
        <v>200</v>
      </c>
      <c r="E941" s="49"/>
      <c r="F941" s="49"/>
      <c r="G941" s="39">
        <f t="array" ref="G941">XLOOKUP(B941,'Página9'!A:A,'Página9'!F:F,"")</f>
        <v>163</v>
      </c>
      <c r="H941" s="39">
        <f t="array" ref="H941">XLOOKUP(B941,'Página9'!A:A,'Página9'!C:C,"")</f>
        <v>10</v>
      </c>
      <c r="I941" s="35" t="str">
        <f t="array" ref="I941">XLOOKUP(B941,'Página9'!A:A,'Página9'!G:G,"")</f>
        <v>OK</v>
      </c>
      <c r="J941" s="25" t="str">
        <f t="shared" si="1"/>
        <v/>
      </c>
    </row>
    <row r="942">
      <c r="A942" s="45">
        <f>IFERROR(__xludf.DUMMYFUNCTION("""COMPUTED_VALUE"""),46034.0)</f>
        <v>46034</v>
      </c>
      <c r="B942" s="25" t="str">
        <f>IFERROR(__xludf.DUMMYFUNCTION("""COMPUTED_VALUE"""),"MCC015UC0008")</f>
        <v>MCC015UC0008</v>
      </c>
      <c r="C942" s="47" t="str">
        <f>IFERROR(__xludf.DUMMYFUNCTION("""COMPUTED_VALUE"""),"STRETCH 500X25")</f>
        <v>STRETCH 500X25</v>
      </c>
      <c r="D942" s="48">
        <f>IFERROR(__xludf.DUMMYFUNCTION("""COMPUTED_VALUE"""),37.0)</f>
        <v>37</v>
      </c>
      <c r="E942" s="49"/>
      <c r="F942" s="49"/>
      <c r="G942" s="39">
        <f t="array" ref="G942">XLOOKUP(B942,'Página9'!A:A,'Página9'!F:F,"")</f>
        <v>-158</v>
      </c>
      <c r="H942" s="39">
        <f t="array" ref="H942">XLOOKUP(B942,'Página9'!A:A,'Página9'!C:C,"")</f>
        <v>40</v>
      </c>
      <c r="I942" s="35" t="str">
        <f t="array" ref="I942">XLOOKUP(B942,'Página9'!A:A,'Página9'!G:G,"")</f>
        <v>REPOR ESTOQUE</v>
      </c>
      <c r="J942" s="25" t="str">
        <f t="shared" si="1"/>
        <v/>
      </c>
    </row>
    <row r="943">
      <c r="A943" s="45">
        <f>IFERROR(__xludf.DUMMYFUNCTION("""COMPUTED_VALUE"""),46034.0)</f>
        <v>46034</v>
      </c>
      <c r="B943" s="25" t="str">
        <f>IFERROR(__xludf.DUMMYFUNCTION("""COMPUTED_VALUE"""),"MCC046UC0638")</f>
        <v>MCC046UC0638</v>
      </c>
      <c r="C943" s="47" t="str">
        <f>IFERROR(__xludf.DUMMYFUNCTION("""COMPUTED_VALUE"""),"ALCALINA ELGIN PALITO AAA")</f>
        <v>ALCALINA ELGIN PALITO AAA</v>
      </c>
      <c r="D943" s="48">
        <f>IFERROR(__xludf.DUMMYFUNCTION("""COMPUTED_VALUE"""),40.0)</f>
        <v>40</v>
      </c>
      <c r="E943" s="49"/>
      <c r="F943" s="49"/>
      <c r="G943" s="39">
        <f t="array" ref="G943">XLOOKUP(B943,'Página9'!A:A,'Página9'!F:F,"")</f>
        <v>32</v>
      </c>
      <c r="H943" s="39">
        <f t="array" ref="H943">XLOOKUP(B943,'Página9'!A:A,'Página9'!C:C,"")</f>
        <v>4</v>
      </c>
      <c r="I943" s="35" t="str">
        <f t="array" ref="I943">XLOOKUP(B943,'Página9'!A:A,'Página9'!G:G,"")</f>
        <v>OK</v>
      </c>
      <c r="J943" s="25" t="str">
        <f t="shared" si="1"/>
        <v/>
      </c>
    </row>
    <row r="944">
      <c r="A944" s="45">
        <f>IFERROR(__xludf.DUMMYFUNCTION("""COMPUTED_VALUE"""),46058.0)</f>
        <v>46058</v>
      </c>
      <c r="B944" s="25" t="str">
        <f>IFERROR(__xludf.DUMMYFUNCTION("""COMPUTED_VALUE"""),"MCC046UC0596")</f>
        <v>MCC046UC0596</v>
      </c>
      <c r="C944" s="47" t="str">
        <f>IFERROR(__xludf.DUMMYFUNCTION("""COMPUTED_VALUE"""),"ADESIVA COUCHE BRANCA   - 105X150MM SAS")</f>
        <v>ADESIVA COUCHE BRANCA   - 105X150MM SAS</v>
      </c>
      <c r="D944" s="48">
        <f>IFERROR(__xludf.DUMMYFUNCTION("""COMPUTED_VALUE"""),150.0)</f>
        <v>150</v>
      </c>
      <c r="E944" s="49"/>
      <c r="F944" s="49"/>
      <c r="G944" s="39">
        <f t="array" ref="G944">XLOOKUP(B944,'Página9'!A:A,'Página9'!F:F,"")</f>
        <v>157</v>
      </c>
      <c r="H944" s="39">
        <f t="array" ref="H944">XLOOKUP(B944,'Página9'!A:A,'Página9'!C:C,"")</f>
        <v>20</v>
      </c>
      <c r="I944" s="35" t="str">
        <f t="array" ref="I944">XLOOKUP(B944,'Página9'!A:A,'Página9'!G:G,"")</f>
        <v>OK</v>
      </c>
      <c r="J944" s="25" t="str">
        <f t="shared" si="1"/>
        <v/>
      </c>
    </row>
    <row r="945">
      <c r="A945" s="45">
        <f>IFERROR(__xludf.DUMMYFUNCTION("""COMPUTED_VALUE"""),46058.0)</f>
        <v>46058</v>
      </c>
      <c r="B945" s="25" t="str">
        <f>IFERROR(__xludf.DUMMYFUNCTION("""COMPUTED_VALUE"""),"MCC015UC0008")</f>
        <v>MCC015UC0008</v>
      </c>
      <c r="C945" s="47" t="str">
        <f>IFERROR(__xludf.DUMMYFUNCTION("""COMPUTED_VALUE"""),"STRETCH 500X25")</f>
        <v>STRETCH 500X25</v>
      </c>
      <c r="D945" s="48">
        <f>IFERROR(__xludf.DUMMYFUNCTION("""COMPUTED_VALUE"""),187.0)</f>
        <v>187</v>
      </c>
      <c r="E945" s="49"/>
      <c r="F945" s="49"/>
      <c r="G945" s="39">
        <f t="array" ref="G945">XLOOKUP(B945,'Página9'!A:A,'Página9'!F:F,"")</f>
        <v>-158</v>
      </c>
      <c r="H945" s="39">
        <f t="array" ref="H945">XLOOKUP(B945,'Página9'!A:A,'Página9'!C:C,"")</f>
        <v>40</v>
      </c>
      <c r="I945" s="35" t="str">
        <f t="array" ref="I945">XLOOKUP(B945,'Página9'!A:A,'Página9'!G:G,"")</f>
        <v>REPOR ESTOQUE</v>
      </c>
      <c r="J945" s="25" t="str">
        <f t="shared" si="1"/>
        <v/>
      </c>
    </row>
    <row r="946">
      <c r="A946" s="45">
        <f>IFERROR(__xludf.DUMMYFUNCTION("""COMPUTED_VALUE"""),46035.0)</f>
        <v>46035</v>
      </c>
      <c r="B946" s="25" t="str">
        <f>IFERROR(__xludf.DUMMYFUNCTION("""COMPUTED_VALUE"""),"MCC015UC0008")</f>
        <v>MCC015UC0008</v>
      </c>
      <c r="C946" s="47" t="str">
        <f>IFERROR(__xludf.DUMMYFUNCTION("""COMPUTED_VALUE"""),"STRETCH 500X25")</f>
        <v>STRETCH 500X25</v>
      </c>
      <c r="D946" s="48">
        <f>IFERROR(__xludf.DUMMYFUNCTION("""COMPUTED_VALUE"""),187.0)</f>
        <v>187</v>
      </c>
      <c r="E946" s="49"/>
      <c r="F946" s="49"/>
      <c r="G946" s="39">
        <f t="array" ref="G946">XLOOKUP(B946,'Página9'!A:A,'Página9'!F:F,"")</f>
        <v>-158</v>
      </c>
      <c r="H946" s="39">
        <f t="array" ref="H946">XLOOKUP(B946,'Página9'!A:A,'Página9'!C:C,"")</f>
        <v>40</v>
      </c>
      <c r="I946" s="35" t="str">
        <f t="array" ref="I946">XLOOKUP(B946,'Página9'!A:A,'Página9'!G:G,"")</f>
        <v>REPOR ESTOQUE</v>
      </c>
      <c r="J946" s="25" t="str">
        <f t="shared" si="1"/>
        <v/>
      </c>
    </row>
    <row r="947">
      <c r="A947" s="45">
        <f>IFERROR(__xludf.DUMMYFUNCTION("""COMPUTED_VALUE"""),46063.0)</f>
        <v>46063</v>
      </c>
      <c r="B947" s="25" t="str">
        <f>IFERROR(__xludf.DUMMYFUNCTION("""COMPUTED_VALUE"""),"MCC015UC0045")</f>
        <v>MCC015UC0045</v>
      </c>
      <c r="C947" s="47" t="str">
        <f>IFERROR(__xludf.DUMMYFUNCTION("""COMPUTED_VALUE"""),"ADESIVA 69MM X 100M")</f>
        <v>ADESIVA 69MM X 100M</v>
      </c>
      <c r="D947" s="48">
        <f>IFERROR(__xludf.DUMMYFUNCTION("""COMPUTED_VALUE"""),108.0)</f>
        <v>108</v>
      </c>
      <c r="E947" s="49"/>
      <c r="F947" s="49"/>
      <c r="G947" s="39">
        <f t="array" ref="G947">XLOOKUP(B947,'Página9'!A:A,'Página9'!F:F,"")</f>
        <v>287</v>
      </c>
      <c r="H947" s="39">
        <f t="array" ref="H947">XLOOKUP(B947,'Página9'!A:A,'Página9'!C:C,"")</f>
        <v>20</v>
      </c>
      <c r="I947" s="35" t="str">
        <f t="array" ref="I947">XLOOKUP(B947,'Página9'!A:A,'Página9'!G:G,"")</f>
        <v>OK</v>
      </c>
      <c r="J947" s="25" t="str">
        <f t="shared" si="1"/>
        <v/>
      </c>
    </row>
    <row r="948">
      <c r="A948" s="45">
        <f>IFERROR(__xludf.DUMMYFUNCTION("""COMPUTED_VALUE"""),46073.0)</f>
        <v>46073</v>
      </c>
      <c r="B948" s="25" t="str">
        <f>IFERROR(__xludf.DUMMYFUNCTION("""COMPUTED_VALUE"""),"MCC015UC0038")</f>
        <v>MCC015UC0038</v>
      </c>
      <c r="C948" s="47" t="str">
        <f>IFERROR(__xludf.DUMMYFUNCTION("""COMPUTED_VALUE"""),"SHRINK 500MM")</f>
        <v>SHRINK 500MM</v>
      </c>
      <c r="D948" s="48">
        <f>IFERROR(__xludf.DUMMYFUNCTION("""COMPUTED_VALUE"""),1.0)</f>
        <v>1</v>
      </c>
      <c r="E948" s="49"/>
      <c r="F948" s="49"/>
      <c r="G948" s="39">
        <f t="array" ref="G948">XLOOKUP(B948,'Página9'!A:A,'Página9'!F:F,"")</f>
        <v>13</v>
      </c>
      <c r="H948" s="39">
        <f t="array" ref="H948">XLOOKUP(B948,'Página9'!A:A,'Página9'!C:C,"")</f>
        <v>3</v>
      </c>
      <c r="I948" s="35" t="str">
        <f t="array" ref="I948">XLOOKUP(B948,'Página9'!A:A,'Página9'!G:G,"")</f>
        <v>OK</v>
      </c>
      <c r="J948" s="25" t="str">
        <f t="shared" ref="J948:J1000" si="2">IF(F948=$N$2,"Recebimento",IF(F948=$N$3,"CIQ",IF(F948=$N$4,"PMM",IF(F948=$N$5,"ESTOQUE",IF(F948=$N$6,"EXPEDIÇÃO","")))))</f>
        <v/>
      </c>
    </row>
    <row r="949">
      <c r="A949" s="45">
        <f>IFERROR(__xludf.DUMMYFUNCTION("""COMPUTED_VALUE"""),46073.0)</f>
        <v>46073</v>
      </c>
      <c r="B949" s="25" t="str">
        <f>IFERROR(__xludf.DUMMYFUNCTION("""COMPUTED_VALUE"""),"MCC015UC0008")</f>
        <v>MCC015UC0008</v>
      </c>
      <c r="C949" s="47" t="str">
        <f>IFERROR(__xludf.DUMMYFUNCTION("""COMPUTED_VALUE"""),"STRETCH 500X25")</f>
        <v>STRETCH 500X25</v>
      </c>
      <c r="D949" s="48">
        <f>IFERROR(__xludf.DUMMYFUNCTION("""COMPUTED_VALUE"""),150.0)</f>
        <v>150</v>
      </c>
      <c r="E949" s="49"/>
      <c r="F949" s="49"/>
      <c r="G949" s="39">
        <f t="array" ref="G949">XLOOKUP(B949,'Página9'!A:A,'Página9'!F:F,"")</f>
        <v>-158</v>
      </c>
      <c r="H949" s="39">
        <f t="array" ref="H949">XLOOKUP(B949,'Página9'!A:A,'Página9'!C:C,"")</f>
        <v>40</v>
      </c>
      <c r="I949" s="35" t="str">
        <f t="array" ref="I949">XLOOKUP(B949,'Página9'!A:A,'Página9'!G:G,"")</f>
        <v>REPOR ESTOQUE</v>
      </c>
      <c r="J949" s="25" t="str">
        <f t="shared" si="2"/>
        <v/>
      </c>
    </row>
    <row r="950">
      <c r="A950" s="45">
        <f>IFERROR(__xludf.DUMMYFUNCTION("""COMPUTED_VALUE"""),46076.0)</f>
        <v>46076</v>
      </c>
      <c r="B950" s="25" t="str">
        <f>IFERROR(__xludf.DUMMYFUNCTION("""COMPUTED_VALUE"""),"MCC015UC0008")</f>
        <v>MCC015UC0008</v>
      </c>
      <c r="C950" s="47" t="str">
        <f>IFERROR(__xludf.DUMMYFUNCTION("""COMPUTED_VALUE"""),"STRETCH 500X25")</f>
        <v>STRETCH 500X25</v>
      </c>
      <c r="D950" s="48">
        <f>IFERROR(__xludf.DUMMYFUNCTION("""COMPUTED_VALUE"""),150.0)</f>
        <v>150</v>
      </c>
      <c r="E950" s="49"/>
      <c r="F950" s="49"/>
      <c r="G950" s="39">
        <f t="array" ref="G950">XLOOKUP(B950,'Página9'!A:A,'Página9'!F:F,"")</f>
        <v>-158</v>
      </c>
      <c r="H950" s="39">
        <f t="array" ref="H950">XLOOKUP(B950,'Página9'!A:A,'Página9'!C:C,"")</f>
        <v>40</v>
      </c>
      <c r="I950" s="35" t="str">
        <f t="array" ref="I950">XLOOKUP(B950,'Página9'!A:A,'Página9'!G:G,"")</f>
        <v>REPOR ESTOQUE</v>
      </c>
      <c r="J950" s="25" t="str">
        <f t="shared" si="2"/>
        <v/>
      </c>
    </row>
    <row r="951">
      <c r="A951" s="45">
        <f>IFERROR(__xludf.DUMMYFUNCTION("""COMPUTED_VALUE"""),46078.0)</f>
        <v>46078</v>
      </c>
      <c r="B951" s="25" t="str">
        <f>IFERROR(__xludf.DUMMYFUNCTION("""COMPUTED_VALUE"""),"MCC046UC0048")</f>
        <v>MCC046UC0048</v>
      </c>
      <c r="C951" s="47" t="str">
        <f>IFERROR(__xludf.DUMMYFUNCTION("""COMPUTED_VALUE"""),"MACULATURA GROSSO - KRAFT - 1,20CM")</f>
        <v>MACULATURA GROSSO - KRAFT - 1,20CM</v>
      </c>
      <c r="D951" s="48">
        <f>IFERROR(__xludf.DUMMYFUNCTION("""COMPUTED_VALUE"""),2.0)</f>
        <v>2</v>
      </c>
      <c r="E951" s="49"/>
      <c r="F951" s="49"/>
      <c r="G951" s="39">
        <f t="array" ref="G951">XLOOKUP(B951,'Página9'!A:A,'Página9'!F:F,"")</f>
        <v>2</v>
      </c>
      <c r="H951" s="39">
        <f t="array" ref="H951">XLOOKUP(B951,'Página9'!A:A,'Página9'!C:C,"")</f>
        <v>1</v>
      </c>
      <c r="I951" s="35" t="str">
        <f t="array" ref="I951">XLOOKUP(B951,'Página9'!A:A,'Página9'!G:G,"")</f>
        <v>OK</v>
      </c>
      <c r="J951" s="25" t="str">
        <f t="shared" si="2"/>
        <v/>
      </c>
    </row>
    <row r="952">
      <c r="A952" s="45">
        <f>IFERROR(__xludf.DUMMYFUNCTION("""COMPUTED_VALUE"""),46079.0)</f>
        <v>46079</v>
      </c>
      <c r="B952" s="25" t="str">
        <f>IFERROR(__xludf.DUMMYFUNCTION("""COMPUTED_VALUE"""),"MCC015UC0045")</f>
        <v>MCC015UC0045</v>
      </c>
      <c r="C952" s="47" t="str">
        <f>IFERROR(__xludf.DUMMYFUNCTION("""COMPUTED_VALUE"""),"ADESIVA 69MM X 100M")</f>
        <v>ADESIVA 69MM X 100M</v>
      </c>
      <c r="D952" s="48">
        <f>IFERROR(__xludf.DUMMYFUNCTION("""COMPUTED_VALUE"""),600.0)</f>
        <v>600</v>
      </c>
      <c r="E952" s="49"/>
      <c r="F952" s="49"/>
      <c r="G952" s="39">
        <f t="array" ref="G952">XLOOKUP(B952,'Página9'!A:A,'Página9'!F:F,"")</f>
        <v>287</v>
      </c>
      <c r="H952" s="39">
        <f t="array" ref="H952">XLOOKUP(B952,'Página9'!A:A,'Página9'!C:C,"")</f>
        <v>20</v>
      </c>
      <c r="I952" s="35" t="str">
        <f t="array" ref="I952">XLOOKUP(B952,'Página9'!A:A,'Página9'!G:G,"")</f>
        <v>OK</v>
      </c>
      <c r="J952" s="25" t="str">
        <f t="shared" si="2"/>
        <v/>
      </c>
    </row>
    <row r="953">
      <c r="A953" s="45">
        <f>IFERROR(__xludf.DUMMYFUNCTION("""COMPUTED_VALUE"""),46080.0)</f>
        <v>46080</v>
      </c>
      <c r="B953" s="25" t="str">
        <f>IFERROR(__xludf.DUMMYFUNCTION("""COMPUTED_VALUE"""),"MCC015UC0038")</f>
        <v>MCC015UC0038</v>
      </c>
      <c r="C953" s="47" t="str">
        <f>IFERROR(__xludf.DUMMYFUNCTION("""COMPUTED_VALUE"""),"SHRINK 500MM")</f>
        <v>SHRINK 500MM</v>
      </c>
      <c r="D953" s="48">
        <f>IFERROR(__xludf.DUMMYFUNCTION("""COMPUTED_VALUE"""),15.0)</f>
        <v>15</v>
      </c>
      <c r="E953" s="49"/>
      <c r="F953" s="49"/>
      <c r="G953" s="39">
        <f t="array" ref="G953">XLOOKUP(B953,'Página9'!A:A,'Página9'!F:F,"")</f>
        <v>13</v>
      </c>
      <c r="H953" s="39">
        <f t="array" ref="H953">XLOOKUP(B953,'Página9'!A:A,'Página9'!C:C,"")</f>
        <v>3</v>
      </c>
      <c r="I953" s="35" t="str">
        <f t="array" ref="I953">XLOOKUP(B953,'Página9'!A:A,'Página9'!G:G,"")</f>
        <v>OK</v>
      </c>
      <c r="J953" s="25" t="str">
        <f t="shared" si="2"/>
        <v/>
      </c>
    </row>
    <row r="954">
      <c r="A954" s="45">
        <f>IFERROR(__xludf.DUMMYFUNCTION("""COMPUTED_VALUE"""),46085.0)</f>
        <v>46085</v>
      </c>
      <c r="B954" s="25" t="str">
        <f>IFERROR(__xludf.DUMMYFUNCTION("""COMPUTED_VALUE"""),"MCC046UC0658")</f>
        <v>MCC046UC0658</v>
      </c>
      <c r="C954" s="47" t="str">
        <f>IFERROR(__xludf.DUMMYFUNCTION("""COMPUTED_VALUE"""),"ADESIVA COUCHE LARANJA 100X150X1")</f>
        <v>ADESIVA COUCHE LARANJA 100X150X1</v>
      </c>
      <c r="D954" s="48">
        <f>IFERROR(__xludf.DUMMYFUNCTION("""COMPUTED_VALUE"""),27.0)</f>
        <v>27</v>
      </c>
      <c r="E954" s="49"/>
      <c r="F954" s="49"/>
      <c r="G954" s="39">
        <f t="array" ref="G954">XLOOKUP(B954,'Página9'!A:A,'Página9'!F:F,"")</f>
        <v>32</v>
      </c>
      <c r="H954" s="39">
        <f t="array" ref="H954">XLOOKUP(B954,'Página9'!A:A,'Página9'!C:C,"")</f>
        <v>5</v>
      </c>
      <c r="I954" s="35" t="str">
        <f t="array" ref="I954">XLOOKUP(B954,'Página9'!A:A,'Página9'!G:G,"")</f>
        <v>OK</v>
      </c>
      <c r="J954" s="25" t="str">
        <f t="shared" si="2"/>
        <v/>
      </c>
    </row>
    <row r="955">
      <c r="A955" s="45">
        <f>IFERROR(__xludf.DUMMYFUNCTION("""COMPUTED_VALUE"""),46093.0)</f>
        <v>46093</v>
      </c>
      <c r="B955" s="25" t="str">
        <f>IFERROR(__xludf.DUMMYFUNCTION("""COMPUTED_VALUE"""),"MCC046UC0596")</f>
        <v>MCC046UC0596</v>
      </c>
      <c r="C955" s="47" t="str">
        <f>IFERROR(__xludf.DUMMYFUNCTION("""COMPUTED_VALUE"""),"ADESIVA COUCHE BRANCA   - 105X150MM SAS")</f>
        <v>ADESIVA COUCHE BRANCA   - 105X150MM SAS</v>
      </c>
      <c r="D955" s="48">
        <f>IFERROR(__xludf.DUMMYFUNCTION("""COMPUTED_VALUE"""),150.0)</f>
        <v>150</v>
      </c>
      <c r="E955" s="49"/>
      <c r="F955" s="49"/>
      <c r="G955" s="39">
        <f t="array" ref="G955">XLOOKUP(B955,'Página9'!A:A,'Página9'!F:F,"")</f>
        <v>157</v>
      </c>
      <c r="H955" s="39">
        <f t="array" ref="H955">XLOOKUP(B955,'Página9'!A:A,'Página9'!C:C,"")</f>
        <v>20</v>
      </c>
      <c r="I955" s="35" t="str">
        <f t="array" ref="I955">XLOOKUP(B955,'Página9'!A:A,'Página9'!G:G,"")</f>
        <v>OK</v>
      </c>
      <c r="J955" s="25" t="str">
        <f t="shared" si="2"/>
        <v/>
      </c>
    </row>
    <row r="956">
      <c r="A956" s="45">
        <f>IFERROR(__xludf.DUMMYFUNCTION("""COMPUTED_VALUE"""),46099.0)</f>
        <v>46099</v>
      </c>
      <c r="B956" s="25" t="str">
        <f>IFERROR(__xludf.DUMMYFUNCTION("""COMPUTED_VALUE"""),"MCC046UC0695")</f>
        <v>MCC046UC0695</v>
      </c>
      <c r="C956" s="47" t="str">
        <f>IFERROR(__xludf.DUMMYFUNCTION("""COMPUTED_VALUE"""),"COUCHE 98X50X1")</f>
        <v>COUCHE 98X50X1</v>
      </c>
      <c r="D956" s="48">
        <f>IFERROR(__xludf.DUMMYFUNCTION("""COMPUTED_VALUE"""),286.0)</f>
        <v>286</v>
      </c>
      <c r="E956" s="49"/>
      <c r="F956" s="49"/>
      <c r="G956" s="39">
        <f t="array" ref="G956">XLOOKUP(B956,'Página9'!A:A,'Página9'!F:F,"")</f>
        <v>256</v>
      </c>
      <c r="H956" s="39">
        <f t="array" ref="H956">XLOOKUP(B956,'Página9'!A:A,'Página9'!C:C,"")</f>
        <v>20</v>
      </c>
      <c r="I956" s="35" t="str">
        <f t="array" ref="I956">XLOOKUP(B956,'Página9'!A:A,'Página9'!G:G,"")</f>
        <v>OK</v>
      </c>
      <c r="J956" s="25" t="str">
        <f t="shared" si="2"/>
        <v/>
      </c>
    </row>
    <row r="957">
      <c r="A957" s="45">
        <f>IFERROR(__xludf.DUMMYFUNCTION("""COMPUTED_VALUE"""),46107.0)</f>
        <v>46107</v>
      </c>
      <c r="B957" s="25" t="str">
        <f>IFERROR(__xludf.DUMMYFUNCTION("""COMPUTED_VALUE"""),"MCC046UC0599")</f>
        <v>MCC046UC0599</v>
      </c>
      <c r="C957" s="47" t="str">
        <f>IFERROR(__xludf.DUMMYFUNCTION("""COMPUTED_VALUE"""),"ADESIVA COUCHE AMARELA  - 105X150MM SAS")</f>
        <v>ADESIVA COUCHE AMARELA  - 105X150MM SAS</v>
      </c>
      <c r="D957" s="48">
        <f>IFERROR(__xludf.DUMMYFUNCTION("""COMPUTED_VALUE"""),32.0)</f>
        <v>32</v>
      </c>
      <c r="E957" s="49"/>
      <c r="F957" s="49"/>
      <c r="G957" s="39">
        <f t="array" ref="G957">XLOOKUP(B957,'Página9'!A:A,'Página9'!F:F,"")</f>
        <v>25</v>
      </c>
      <c r="H957" s="39">
        <f t="array" ref="H957">XLOOKUP(B957,'Página9'!A:A,'Página9'!C:C,"")</f>
        <v>5</v>
      </c>
      <c r="I957" s="35" t="str">
        <f t="array" ref="I957">XLOOKUP(B957,'Página9'!A:A,'Página9'!G:G,"")</f>
        <v>OK</v>
      </c>
      <c r="J957" s="25" t="str">
        <f t="shared" si="2"/>
        <v/>
      </c>
    </row>
    <row r="958">
      <c r="C958" s="47"/>
      <c r="D958" s="50"/>
      <c r="E958" s="49"/>
      <c r="F958" s="49"/>
      <c r="G958" s="39" t="str">
        <f t="array" ref="G958">XLOOKUP(B958,'Página9'!A:A,'Página9'!F:F,"")</f>
        <v/>
      </c>
      <c r="H958" s="39" t="str">
        <f t="array" ref="H958">XLOOKUP(B958,'Página9'!A:A,'Página9'!C:C,"")</f>
        <v/>
      </c>
      <c r="I958" s="35" t="str">
        <f t="array" ref="I958">XLOOKUP(B958,'Página9'!A:A,'Página9'!G:G,"")</f>
        <v/>
      </c>
      <c r="J958" s="25" t="str">
        <f t="shared" si="2"/>
        <v/>
      </c>
    </row>
    <row r="959">
      <c r="C959" s="47"/>
      <c r="D959" s="50"/>
      <c r="E959" s="49"/>
      <c r="F959" s="49"/>
      <c r="G959" s="39" t="str">
        <f t="array" ref="G959">XLOOKUP(B959,'Página9'!A:A,'Página9'!F:F,"")</f>
        <v/>
      </c>
      <c r="H959" s="39" t="str">
        <f t="array" ref="H959">XLOOKUP(B959,'Página9'!A:A,'Página9'!C:C,"")</f>
        <v/>
      </c>
      <c r="I959" s="35" t="str">
        <f t="array" ref="I959">XLOOKUP(B959,'Página9'!A:A,'Página9'!G:G,"")</f>
        <v/>
      </c>
      <c r="J959" s="25" t="str">
        <f t="shared" si="2"/>
        <v/>
      </c>
    </row>
    <row r="960">
      <c r="C960" s="47"/>
      <c r="D960" s="50"/>
      <c r="E960" s="49"/>
      <c r="F960" s="49"/>
      <c r="G960" s="39" t="str">
        <f t="array" ref="G960">XLOOKUP(B960,'Página9'!A:A,'Página9'!F:F,"")</f>
        <v/>
      </c>
      <c r="H960" s="39" t="str">
        <f t="array" ref="H960">XLOOKUP(B960,'Página9'!A:A,'Página9'!C:C,"")</f>
        <v/>
      </c>
      <c r="I960" s="35" t="str">
        <f t="array" ref="I960">XLOOKUP(B960,'Página9'!A:A,'Página9'!G:G,"")</f>
        <v/>
      </c>
      <c r="J960" s="25" t="str">
        <f t="shared" si="2"/>
        <v/>
      </c>
    </row>
    <row r="961">
      <c r="C961" s="47"/>
      <c r="D961" s="50"/>
      <c r="E961" s="49"/>
      <c r="F961" s="49"/>
      <c r="G961" s="39" t="str">
        <f t="array" ref="G961">XLOOKUP(B961,'Página9'!A:A,'Página9'!F:F,"")</f>
        <v/>
      </c>
      <c r="H961" s="39" t="str">
        <f t="array" ref="H961">XLOOKUP(B961,'Página9'!A:A,'Página9'!C:C,"")</f>
        <v/>
      </c>
      <c r="I961" s="35" t="str">
        <f t="array" ref="I961">XLOOKUP(B961,'Página9'!A:A,'Página9'!G:G,"")</f>
        <v/>
      </c>
      <c r="J961" s="25" t="str">
        <f t="shared" si="2"/>
        <v/>
      </c>
    </row>
    <row r="962">
      <c r="C962" s="47"/>
      <c r="D962" s="50"/>
      <c r="E962" s="49"/>
      <c r="F962" s="49"/>
      <c r="G962" s="39" t="str">
        <f t="array" ref="G962">XLOOKUP(B962,'Página9'!A:A,'Página9'!F:F,"")</f>
        <v/>
      </c>
      <c r="H962" s="39" t="str">
        <f t="array" ref="H962">XLOOKUP(B962,'Página9'!A:A,'Página9'!C:C,"")</f>
        <v/>
      </c>
      <c r="I962" s="35" t="str">
        <f t="array" ref="I962">XLOOKUP(B962,'Página9'!A:A,'Página9'!G:G,"")</f>
        <v/>
      </c>
      <c r="J962" s="25" t="str">
        <f t="shared" si="2"/>
        <v/>
      </c>
    </row>
    <row r="963">
      <c r="C963" s="47"/>
      <c r="D963" s="50"/>
      <c r="E963" s="49"/>
      <c r="F963" s="49"/>
      <c r="G963" s="39" t="str">
        <f t="array" ref="G963">XLOOKUP(B963,'Página9'!A:A,'Página9'!F:F,"")</f>
        <v/>
      </c>
      <c r="H963" s="39" t="str">
        <f t="array" ref="H963">XLOOKUP(B963,'Página9'!A:A,'Página9'!C:C,"")</f>
        <v/>
      </c>
      <c r="I963" s="35" t="str">
        <f t="array" ref="I963">XLOOKUP(B963,'Página9'!A:A,'Página9'!G:G,"")</f>
        <v/>
      </c>
      <c r="J963" s="25" t="str">
        <f t="shared" si="2"/>
        <v/>
      </c>
    </row>
    <row r="964">
      <c r="C964" s="47"/>
      <c r="D964" s="50"/>
      <c r="E964" s="49"/>
      <c r="F964" s="49"/>
      <c r="G964" s="39" t="str">
        <f t="array" ref="G964">XLOOKUP(B964,'Página9'!A:A,'Página9'!F:F,"")</f>
        <v/>
      </c>
      <c r="H964" s="39" t="str">
        <f t="array" ref="H964">XLOOKUP(B964,'Página9'!A:A,'Página9'!C:C,"")</f>
        <v/>
      </c>
      <c r="I964" s="35" t="str">
        <f t="array" ref="I964">XLOOKUP(B964,'Página9'!A:A,'Página9'!G:G,"")</f>
        <v/>
      </c>
      <c r="J964" s="25" t="str">
        <f t="shared" si="2"/>
        <v/>
      </c>
    </row>
    <row r="965">
      <c r="C965" s="47"/>
      <c r="D965" s="50"/>
      <c r="E965" s="49"/>
      <c r="F965" s="49"/>
      <c r="G965" s="39" t="str">
        <f t="array" ref="G965">XLOOKUP(B965,'Página9'!A:A,'Página9'!F:F,"")</f>
        <v/>
      </c>
      <c r="H965" s="39" t="str">
        <f t="array" ref="H965">XLOOKUP(B965,'Página9'!A:A,'Página9'!C:C,"")</f>
        <v/>
      </c>
      <c r="I965" s="35" t="str">
        <f t="array" ref="I965">XLOOKUP(B965,'Página9'!A:A,'Página9'!G:G,"")</f>
        <v/>
      </c>
      <c r="J965" s="25" t="str">
        <f t="shared" si="2"/>
        <v/>
      </c>
    </row>
    <row r="966">
      <c r="C966" s="47"/>
      <c r="D966" s="50"/>
      <c r="E966" s="49"/>
      <c r="F966" s="49"/>
      <c r="G966" s="39" t="str">
        <f t="array" ref="G966">XLOOKUP(B966,'Página9'!A:A,'Página9'!F:F,"")</f>
        <v/>
      </c>
      <c r="H966" s="39" t="str">
        <f t="array" ref="H966">XLOOKUP(B966,'Página9'!A:A,'Página9'!C:C,"")</f>
        <v/>
      </c>
      <c r="I966" s="35" t="str">
        <f t="array" ref="I966">XLOOKUP(B966,'Página9'!A:A,'Página9'!G:G,"")</f>
        <v/>
      </c>
      <c r="J966" s="25" t="str">
        <f t="shared" si="2"/>
        <v/>
      </c>
    </row>
    <row r="967">
      <c r="C967" s="47"/>
      <c r="D967" s="50"/>
      <c r="E967" s="49"/>
      <c r="F967" s="49"/>
      <c r="G967" s="39" t="str">
        <f t="array" ref="G967">XLOOKUP(B967,'Página9'!A:A,'Página9'!F:F,"")</f>
        <v/>
      </c>
      <c r="H967" s="39" t="str">
        <f t="array" ref="H967">XLOOKUP(B967,'Página9'!A:A,'Página9'!C:C,"")</f>
        <v/>
      </c>
      <c r="I967" s="35" t="str">
        <f t="array" ref="I967">XLOOKUP(B967,'Página9'!A:A,'Página9'!G:G,"")</f>
        <v/>
      </c>
      <c r="J967" s="25" t="str">
        <f t="shared" si="2"/>
        <v/>
      </c>
    </row>
    <row r="968">
      <c r="C968" s="47"/>
      <c r="D968" s="50"/>
      <c r="E968" s="49"/>
      <c r="F968" s="49"/>
      <c r="G968" s="39" t="str">
        <f t="array" ref="G968">XLOOKUP(B968,'Página9'!A:A,'Página9'!F:F,"")</f>
        <v/>
      </c>
      <c r="H968" s="39" t="str">
        <f t="array" ref="H968">XLOOKUP(B968,'Página9'!A:A,'Página9'!C:C,"")</f>
        <v/>
      </c>
      <c r="I968" s="35" t="str">
        <f t="array" ref="I968">XLOOKUP(B968,'Página9'!A:A,'Página9'!G:G,"")</f>
        <v/>
      </c>
      <c r="J968" s="25" t="str">
        <f t="shared" si="2"/>
        <v/>
      </c>
    </row>
    <row r="969">
      <c r="C969" s="47"/>
      <c r="D969" s="50"/>
      <c r="E969" s="49"/>
      <c r="F969" s="49"/>
      <c r="G969" s="39" t="str">
        <f t="array" ref="G969">XLOOKUP(B969,'Página9'!A:A,'Página9'!F:F,"")</f>
        <v/>
      </c>
      <c r="H969" s="39" t="str">
        <f t="array" ref="H969">XLOOKUP(B969,'Página9'!A:A,'Página9'!C:C,"")</f>
        <v/>
      </c>
      <c r="I969" s="35" t="str">
        <f t="array" ref="I969">XLOOKUP(B969,'Página9'!A:A,'Página9'!G:G,"")</f>
        <v/>
      </c>
      <c r="J969" s="25" t="str">
        <f t="shared" si="2"/>
        <v/>
      </c>
    </row>
    <row r="970">
      <c r="C970" s="47"/>
      <c r="D970" s="50"/>
      <c r="E970" s="49"/>
      <c r="F970" s="49"/>
      <c r="G970" s="39" t="str">
        <f t="array" ref="G970">XLOOKUP(B970,'Página9'!A:A,'Página9'!F:F,"")</f>
        <v/>
      </c>
      <c r="H970" s="39" t="str">
        <f t="array" ref="H970">XLOOKUP(B970,'Página9'!A:A,'Página9'!C:C,"")</f>
        <v/>
      </c>
      <c r="I970" s="35" t="str">
        <f t="array" ref="I970">XLOOKUP(B970,'Página9'!A:A,'Página9'!G:G,"")</f>
        <v/>
      </c>
      <c r="J970" s="25" t="str">
        <f t="shared" si="2"/>
        <v/>
      </c>
    </row>
    <row r="971">
      <c r="C971" s="47"/>
      <c r="D971" s="50"/>
      <c r="E971" s="49"/>
      <c r="F971" s="49"/>
      <c r="G971" s="39" t="str">
        <f t="array" ref="G971">XLOOKUP(B971,'Página9'!A:A,'Página9'!F:F,"")</f>
        <v/>
      </c>
      <c r="H971" s="39" t="str">
        <f t="array" ref="H971">XLOOKUP(B971,'Página9'!A:A,'Página9'!C:C,"")</f>
        <v/>
      </c>
      <c r="I971" s="35" t="str">
        <f t="array" ref="I971">XLOOKUP(B971,'Página9'!A:A,'Página9'!G:G,"")</f>
        <v/>
      </c>
      <c r="J971" s="25" t="str">
        <f t="shared" si="2"/>
        <v/>
      </c>
    </row>
    <row r="972">
      <c r="C972" s="47"/>
      <c r="D972" s="50"/>
      <c r="E972" s="49"/>
      <c r="F972" s="49"/>
      <c r="G972" s="39" t="str">
        <f t="array" ref="G972">XLOOKUP(B972,'Página9'!A:A,'Página9'!F:F,"")</f>
        <v/>
      </c>
      <c r="H972" s="39" t="str">
        <f t="array" ref="H972">XLOOKUP(B972,'Página9'!A:A,'Página9'!C:C,"")</f>
        <v/>
      </c>
      <c r="I972" s="35" t="str">
        <f t="array" ref="I972">XLOOKUP(B972,'Página9'!A:A,'Página9'!G:G,"")</f>
        <v/>
      </c>
      <c r="J972" s="25" t="str">
        <f t="shared" si="2"/>
        <v/>
      </c>
    </row>
    <row r="973">
      <c r="C973" s="47"/>
      <c r="D973" s="50"/>
      <c r="E973" s="49"/>
      <c r="F973" s="49"/>
      <c r="G973" s="39" t="str">
        <f t="array" ref="G973">XLOOKUP(B973,'Página9'!A:A,'Página9'!F:F,"")</f>
        <v/>
      </c>
      <c r="H973" s="39" t="str">
        <f t="array" ref="H973">XLOOKUP(B973,'Página9'!A:A,'Página9'!C:C,"")</f>
        <v/>
      </c>
      <c r="I973" s="35" t="str">
        <f t="array" ref="I973">XLOOKUP(B973,'Página9'!A:A,'Página9'!G:G,"")</f>
        <v/>
      </c>
      <c r="J973" s="25" t="str">
        <f t="shared" si="2"/>
        <v/>
      </c>
    </row>
    <row r="974">
      <c r="C974" s="47"/>
      <c r="D974" s="50"/>
      <c r="E974" s="49"/>
      <c r="F974" s="49"/>
      <c r="G974" s="39" t="str">
        <f t="array" ref="G974">XLOOKUP(B974,'Página9'!A:A,'Página9'!F:F,"")</f>
        <v/>
      </c>
      <c r="H974" s="39" t="str">
        <f t="array" ref="H974">XLOOKUP(B974,'Página9'!A:A,'Página9'!C:C,"")</f>
        <v/>
      </c>
      <c r="I974" s="35" t="str">
        <f t="array" ref="I974">XLOOKUP(B974,'Página9'!A:A,'Página9'!G:G,"")</f>
        <v/>
      </c>
      <c r="J974" s="25" t="str">
        <f t="shared" si="2"/>
        <v/>
      </c>
    </row>
    <row r="975">
      <c r="C975" s="47"/>
      <c r="D975" s="50"/>
      <c r="E975" s="49"/>
      <c r="F975" s="49"/>
      <c r="G975" s="39" t="str">
        <f t="array" ref="G975">XLOOKUP(B975,'Página9'!A:A,'Página9'!F:F,"")</f>
        <v/>
      </c>
      <c r="H975" s="39" t="str">
        <f t="array" ref="H975">XLOOKUP(B975,'Página9'!A:A,'Página9'!C:C,"")</f>
        <v/>
      </c>
      <c r="I975" s="35" t="str">
        <f t="array" ref="I975">XLOOKUP(B975,'Página9'!A:A,'Página9'!G:G,"")</f>
        <v/>
      </c>
      <c r="J975" s="25" t="str">
        <f t="shared" si="2"/>
        <v/>
      </c>
    </row>
    <row r="976">
      <c r="C976" s="47"/>
      <c r="D976" s="50"/>
      <c r="E976" s="49"/>
      <c r="F976" s="49"/>
      <c r="G976" s="39" t="str">
        <f t="array" ref="G976">XLOOKUP(B976,'Página9'!A:A,'Página9'!F:F,"")</f>
        <v/>
      </c>
      <c r="H976" s="39" t="str">
        <f t="array" ref="H976">XLOOKUP(B976,'Página9'!A:A,'Página9'!C:C,"")</f>
        <v/>
      </c>
      <c r="I976" s="35" t="str">
        <f t="array" ref="I976">XLOOKUP(B976,'Página9'!A:A,'Página9'!G:G,"")</f>
        <v/>
      </c>
      <c r="J976" s="25" t="str">
        <f t="shared" si="2"/>
        <v/>
      </c>
    </row>
    <row r="977">
      <c r="C977" s="47"/>
      <c r="D977" s="50"/>
      <c r="E977" s="49"/>
      <c r="F977" s="49"/>
      <c r="G977" s="39" t="str">
        <f t="array" ref="G977">XLOOKUP(B977,'Página9'!A:A,'Página9'!F:F,"")</f>
        <v/>
      </c>
      <c r="H977" s="39" t="str">
        <f t="array" ref="H977">XLOOKUP(B977,'Página9'!A:A,'Página9'!C:C,"")</f>
        <v/>
      </c>
      <c r="I977" s="35" t="str">
        <f t="array" ref="I977">XLOOKUP(B977,'Página9'!A:A,'Página9'!G:G,"")</f>
        <v/>
      </c>
      <c r="J977" s="25" t="str">
        <f t="shared" si="2"/>
        <v/>
      </c>
    </row>
    <row r="978">
      <c r="C978" s="47"/>
      <c r="D978" s="50"/>
      <c r="E978" s="49"/>
      <c r="F978" s="49"/>
      <c r="G978" s="39" t="str">
        <f t="array" ref="G978">XLOOKUP(B978,'Página9'!A:A,'Página9'!F:F,"")</f>
        <v/>
      </c>
      <c r="H978" s="39" t="str">
        <f t="array" ref="H978">XLOOKUP(B978,'Página9'!A:A,'Página9'!C:C,"")</f>
        <v/>
      </c>
      <c r="I978" s="35" t="str">
        <f t="array" ref="I978">XLOOKUP(B978,'Página9'!A:A,'Página9'!G:G,"")</f>
        <v/>
      </c>
      <c r="J978" s="25" t="str">
        <f t="shared" si="2"/>
        <v/>
      </c>
    </row>
    <row r="979">
      <c r="C979" s="47"/>
      <c r="D979" s="50"/>
      <c r="E979" s="49"/>
      <c r="F979" s="49"/>
      <c r="G979" s="39" t="str">
        <f t="array" ref="G979">XLOOKUP(B979,'Página9'!A:A,'Página9'!F:F,"")</f>
        <v/>
      </c>
      <c r="H979" s="39" t="str">
        <f t="array" ref="H979">XLOOKUP(B979,'Página9'!A:A,'Página9'!C:C,"")</f>
        <v/>
      </c>
      <c r="I979" s="35" t="str">
        <f t="array" ref="I979">XLOOKUP(B979,'Página9'!A:A,'Página9'!G:G,"")</f>
        <v/>
      </c>
      <c r="J979" s="25" t="str">
        <f t="shared" si="2"/>
        <v/>
      </c>
    </row>
    <row r="980">
      <c r="C980" s="47"/>
      <c r="D980" s="50"/>
      <c r="E980" s="49"/>
      <c r="F980" s="49"/>
      <c r="G980" s="39" t="str">
        <f t="array" ref="G980">XLOOKUP(B980,'Página9'!A:A,'Página9'!F:F,"")</f>
        <v/>
      </c>
      <c r="H980" s="39" t="str">
        <f t="array" ref="H980">XLOOKUP(B980,'Página9'!A:A,'Página9'!C:C,"")</f>
        <v/>
      </c>
      <c r="I980" s="35" t="str">
        <f t="array" ref="I980">XLOOKUP(B980,'Página9'!A:A,'Página9'!G:G,"")</f>
        <v/>
      </c>
      <c r="J980" s="25" t="str">
        <f t="shared" si="2"/>
        <v/>
      </c>
    </row>
    <row r="981">
      <c r="C981" s="47"/>
      <c r="D981" s="50"/>
      <c r="E981" s="49"/>
      <c r="F981" s="49"/>
      <c r="G981" s="39" t="str">
        <f t="array" ref="G981">XLOOKUP(B981,'Página9'!A:A,'Página9'!F:F,"")</f>
        <v/>
      </c>
      <c r="H981" s="39" t="str">
        <f t="array" ref="H981">XLOOKUP(B981,'Página9'!A:A,'Página9'!C:C,"")</f>
        <v/>
      </c>
      <c r="I981" s="35" t="str">
        <f t="array" ref="I981">XLOOKUP(B981,'Página9'!A:A,'Página9'!G:G,"")</f>
        <v/>
      </c>
      <c r="J981" s="25" t="str">
        <f t="shared" si="2"/>
        <v/>
      </c>
    </row>
    <row r="982">
      <c r="C982" s="47"/>
      <c r="D982" s="50"/>
      <c r="E982" s="49"/>
      <c r="F982" s="49"/>
      <c r="G982" s="39" t="str">
        <f t="array" ref="G982">XLOOKUP(B982,'Página9'!A:A,'Página9'!F:F,"")</f>
        <v/>
      </c>
      <c r="H982" s="39" t="str">
        <f t="array" ref="H982">XLOOKUP(B982,'Página9'!A:A,'Página9'!C:C,"")</f>
        <v/>
      </c>
      <c r="I982" s="35" t="str">
        <f t="array" ref="I982">XLOOKUP(B982,'Página9'!A:A,'Página9'!G:G,"")</f>
        <v/>
      </c>
      <c r="J982" s="25" t="str">
        <f t="shared" si="2"/>
        <v/>
      </c>
    </row>
    <row r="983">
      <c r="C983" s="47"/>
      <c r="D983" s="50"/>
      <c r="E983" s="49"/>
      <c r="F983" s="49"/>
      <c r="G983" s="39" t="str">
        <f t="array" ref="G983">XLOOKUP(B983,'Página9'!A:A,'Página9'!F:F,"")</f>
        <v/>
      </c>
      <c r="H983" s="39" t="str">
        <f t="array" ref="H983">XLOOKUP(B983,'Página9'!A:A,'Página9'!C:C,"")</f>
        <v/>
      </c>
      <c r="I983" s="35" t="str">
        <f t="array" ref="I983">XLOOKUP(B983,'Página9'!A:A,'Página9'!G:G,"")</f>
        <v/>
      </c>
      <c r="J983" s="25" t="str">
        <f t="shared" si="2"/>
        <v/>
      </c>
    </row>
    <row r="984">
      <c r="C984" s="47"/>
      <c r="D984" s="50"/>
      <c r="E984" s="49"/>
      <c r="F984" s="49"/>
      <c r="G984" s="39" t="str">
        <f t="array" ref="G984">XLOOKUP(B984,'Página9'!A:A,'Página9'!F:F,"")</f>
        <v/>
      </c>
      <c r="H984" s="39" t="str">
        <f t="array" ref="H984">XLOOKUP(B984,'Página9'!A:A,'Página9'!C:C,"")</f>
        <v/>
      </c>
      <c r="I984" s="35" t="str">
        <f t="array" ref="I984">XLOOKUP(B984,'Página9'!A:A,'Página9'!G:G,"")</f>
        <v/>
      </c>
      <c r="J984" s="25" t="str">
        <f t="shared" si="2"/>
        <v/>
      </c>
    </row>
    <row r="985">
      <c r="C985" s="47"/>
      <c r="D985" s="50"/>
      <c r="E985" s="49"/>
      <c r="F985" s="49"/>
      <c r="G985" s="39" t="str">
        <f t="array" ref="G985">XLOOKUP(B985,'Página9'!A:A,'Página9'!F:F,"")</f>
        <v/>
      </c>
      <c r="H985" s="39" t="str">
        <f t="array" ref="H985">XLOOKUP(B985,'Página9'!A:A,'Página9'!C:C,"")</f>
        <v/>
      </c>
      <c r="I985" s="35" t="str">
        <f t="array" ref="I985">XLOOKUP(B985,'Página9'!A:A,'Página9'!G:G,"")</f>
        <v/>
      </c>
      <c r="J985" s="25" t="str">
        <f t="shared" si="2"/>
        <v/>
      </c>
    </row>
    <row r="986">
      <c r="C986" s="47"/>
      <c r="D986" s="50"/>
      <c r="E986" s="49"/>
      <c r="F986" s="49"/>
      <c r="G986" s="39" t="str">
        <f t="array" ref="G986">XLOOKUP(B986,'Página9'!A:A,'Página9'!F:F,"")</f>
        <v/>
      </c>
      <c r="H986" s="39" t="str">
        <f t="array" ref="H986">XLOOKUP(B986,'Página9'!A:A,'Página9'!C:C,"")</f>
        <v/>
      </c>
      <c r="I986" s="35" t="str">
        <f t="array" ref="I986">XLOOKUP(B986,'Página9'!A:A,'Página9'!G:G,"")</f>
        <v/>
      </c>
      <c r="J986" s="25" t="str">
        <f t="shared" si="2"/>
        <v/>
      </c>
    </row>
    <row r="987">
      <c r="C987" s="47"/>
      <c r="D987" s="50"/>
      <c r="E987" s="49"/>
      <c r="F987" s="49"/>
      <c r="G987" s="39" t="str">
        <f t="array" ref="G987">XLOOKUP(B987,'Página9'!A:A,'Página9'!F:F,"")</f>
        <v/>
      </c>
      <c r="H987" s="39" t="str">
        <f t="array" ref="H987">XLOOKUP(B987,'Página9'!A:A,'Página9'!C:C,"")</f>
        <v/>
      </c>
      <c r="I987" s="35" t="str">
        <f t="array" ref="I987">XLOOKUP(B987,'Página9'!A:A,'Página9'!G:G,"")</f>
        <v/>
      </c>
      <c r="J987" s="25" t="str">
        <f t="shared" si="2"/>
        <v/>
      </c>
    </row>
    <row r="988">
      <c r="C988" s="47"/>
      <c r="D988" s="50"/>
      <c r="E988" s="49"/>
      <c r="F988" s="49"/>
      <c r="G988" s="39" t="str">
        <f t="array" ref="G988">XLOOKUP(B988,'Página9'!A:A,'Página9'!F:F,"")</f>
        <v/>
      </c>
      <c r="H988" s="39" t="str">
        <f t="array" ref="H988">XLOOKUP(B988,'Página9'!A:A,'Página9'!C:C,"")</f>
        <v/>
      </c>
      <c r="I988" s="35" t="str">
        <f t="array" ref="I988">XLOOKUP(B988,'Página9'!A:A,'Página9'!G:G,"")</f>
        <v/>
      </c>
      <c r="J988" s="25" t="str">
        <f t="shared" si="2"/>
        <v/>
      </c>
    </row>
    <row r="989">
      <c r="C989" s="47"/>
      <c r="D989" s="50"/>
      <c r="E989" s="49"/>
      <c r="F989" s="49"/>
      <c r="G989" s="39" t="str">
        <f t="array" ref="G989">XLOOKUP(B989,'Página9'!A:A,'Página9'!F:F,"")</f>
        <v/>
      </c>
      <c r="H989" s="39" t="str">
        <f t="array" ref="H989">XLOOKUP(B989,'Página9'!A:A,'Página9'!C:C,"")</f>
        <v/>
      </c>
      <c r="I989" s="35" t="str">
        <f t="array" ref="I989">XLOOKUP(B989,'Página9'!A:A,'Página9'!G:G,"")</f>
        <v/>
      </c>
      <c r="J989" s="25" t="str">
        <f t="shared" si="2"/>
        <v/>
      </c>
    </row>
    <row r="990">
      <c r="C990" s="47"/>
      <c r="D990" s="50"/>
      <c r="E990" s="49"/>
      <c r="F990" s="49"/>
      <c r="G990" s="39" t="str">
        <f t="array" ref="G990">XLOOKUP(B990,'Página9'!A:A,'Página9'!F:F,"")</f>
        <v/>
      </c>
      <c r="H990" s="39" t="str">
        <f t="array" ref="H990">XLOOKUP(B990,'Página9'!A:A,'Página9'!C:C,"")</f>
        <v/>
      </c>
      <c r="I990" s="35" t="str">
        <f t="array" ref="I990">XLOOKUP(B990,'Página9'!A:A,'Página9'!G:G,"")</f>
        <v/>
      </c>
      <c r="J990" s="25" t="str">
        <f t="shared" si="2"/>
        <v/>
      </c>
    </row>
    <row r="991">
      <c r="C991" s="47"/>
      <c r="D991" s="50"/>
      <c r="E991" s="49"/>
      <c r="F991" s="49"/>
      <c r="G991" s="39" t="str">
        <f t="array" ref="G991">XLOOKUP(B991,'Página9'!A:A,'Página9'!F:F,"")</f>
        <v/>
      </c>
      <c r="H991" s="39" t="str">
        <f t="array" ref="H991">XLOOKUP(B991,'Página9'!A:A,'Página9'!C:C,"")</f>
        <v/>
      </c>
      <c r="I991" s="35" t="str">
        <f t="array" ref="I991">XLOOKUP(B991,'Página9'!A:A,'Página9'!G:G,"")</f>
        <v/>
      </c>
      <c r="J991" s="25" t="str">
        <f t="shared" si="2"/>
        <v/>
      </c>
    </row>
    <row r="992">
      <c r="C992" s="47"/>
      <c r="D992" s="50"/>
      <c r="E992" s="49"/>
      <c r="F992" s="49"/>
      <c r="G992" s="39" t="str">
        <f t="array" ref="G992">XLOOKUP(B992,'Página9'!A:A,'Página9'!F:F,"")</f>
        <v/>
      </c>
      <c r="H992" s="39" t="str">
        <f t="array" ref="H992">XLOOKUP(B992,'Página9'!A:A,'Página9'!C:C,"")</f>
        <v/>
      </c>
      <c r="I992" s="35" t="str">
        <f t="array" ref="I992">XLOOKUP(B992,'Página9'!A:A,'Página9'!G:G,"")</f>
        <v/>
      </c>
      <c r="J992" s="25" t="str">
        <f t="shared" si="2"/>
        <v/>
      </c>
    </row>
    <row r="993">
      <c r="C993" s="47"/>
      <c r="D993" s="50"/>
      <c r="E993" s="49"/>
      <c r="F993" s="49"/>
      <c r="G993" s="39" t="str">
        <f t="array" ref="G993">XLOOKUP(B993,'Página9'!A:A,'Página9'!F:F,"")</f>
        <v/>
      </c>
      <c r="H993" s="39" t="str">
        <f t="array" ref="H993">XLOOKUP(B993,'Página9'!A:A,'Página9'!C:C,"")</f>
        <v/>
      </c>
      <c r="I993" s="35" t="str">
        <f t="array" ref="I993">XLOOKUP(B993,'Página9'!A:A,'Página9'!G:G,"")</f>
        <v/>
      </c>
      <c r="J993" s="25" t="str">
        <f t="shared" si="2"/>
        <v/>
      </c>
    </row>
    <row r="994">
      <c r="C994" s="47"/>
      <c r="D994" s="50"/>
      <c r="E994" s="49"/>
      <c r="F994" s="49"/>
      <c r="G994" s="39" t="str">
        <f t="array" ref="G994">XLOOKUP(B994,'Página9'!A:A,'Página9'!F:F,"")</f>
        <v/>
      </c>
      <c r="H994" s="39" t="str">
        <f t="array" ref="H994">XLOOKUP(B994,'Página9'!A:A,'Página9'!C:C,"")</f>
        <v/>
      </c>
      <c r="I994" s="35" t="str">
        <f t="array" ref="I994">XLOOKUP(B994,'Página9'!A:A,'Página9'!G:G,"")</f>
        <v/>
      </c>
      <c r="J994" s="25" t="str">
        <f t="shared" si="2"/>
        <v/>
      </c>
    </row>
    <row r="995">
      <c r="C995" s="47"/>
      <c r="D995" s="50"/>
      <c r="E995" s="49"/>
      <c r="F995" s="49"/>
      <c r="G995" s="39" t="str">
        <f t="array" ref="G995">XLOOKUP(B995,'Página9'!A:A,'Página9'!F:F,"")</f>
        <v/>
      </c>
      <c r="H995" s="39" t="str">
        <f t="array" ref="H995">XLOOKUP(B995,'Página9'!A:A,'Página9'!C:C,"")</f>
        <v/>
      </c>
      <c r="I995" s="35" t="str">
        <f t="array" ref="I995">XLOOKUP(B995,'Página9'!A:A,'Página9'!G:G,"")</f>
        <v/>
      </c>
      <c r="J995" s="25" t="str">
        <f t="shared" si="2"/>
        <v/>
      </c>
    </row>
    <row r="996">
      <c r="C996" s="47"/>
      <c r="D996" s="50"/>
      <c r="E996" s="49"/>
      <c r="F996" s="49"/>
      <c r="G996" s="39" t="str">
        <f t="array" ref="G996">XLOOKUP(B996,'Página9'!A:A,'Página9'!F:F,"")</f>
        <v/>
      </c>
      <c r="H996" s="39" t="str">
        <f t="array" ref="H996">XLOOKUP(B996,'Página9'!A:A,'Página9'!C:C,"")</f>
        <v/>
      </c>
      <c r="I996" s="35" t="str">
        <f t="array" ref="I996">XLOOKUP(B996,'Página9'!A:A,'Página9'!G:G,"")</f>
        <v/>
      </c>
      <c r="J996" s="25" t="str">
        <f t="shared" si="2"/>
        <v/>
      </c>
    </row>
    <row r="997">
      <c r="C997" s="47"/>
      <c r="D997" s="50"/>
      <c r="E997" s="49"/>
      <c r="F997" s="49"/>
      <c r="G997" s="39" t="str">
        <f t="array" ref="G997">XLOOKUP(B997,'Página9'!A:A,'Página9'!F:F,"")</f>
        <v/>
      </c>
      <c r="H997" s="39" t="str">
        <f t="array" ref="H997">XLOOKUP(B997,'Página9'!A:A,'Página9'!C:C,"")</f>
        <v/>
      </c>
      <c r="I997" s="35" t="str">
        <f t="array" ref="I997">XLOOKUP(B997,'Página9'!A:A,'Página9'!G:G,"")</f>
        <v/>
      </c>
      <c r="J997" s="25" t="str">
        <f t="shared" si="2"/>
        <v/>
      </c>
    </row>
    <row r="998">
      <c r="C998" s="47"/>
      <c r="D998" s="50"/>
      <c r="E998" s="49"/>
      <c r="F998" s="49"/>
      <c r="G998" s="39" t="str">
        <f t="array" ref="G998">XLOOKUP(B998,'Página9'!A:A,'Página9'!F:F,"")</f>
        <v/>
      </c>
      <c r="H998" s="39" t="str">
        <f t="array" ref="H998">XLOOKUP(B998,'Página9'!A:A,'Página9'!C:C,"")</f>
        <v/>
      </c>
      <c r="I998" s="35" t="str">
        <f t="array" ref="I998">XLOOKUP(B998,'Página9'!A:A,'Página9'!G:G,"")</f>
        <v/>
      </c>
      <c r="J998" s="25" t="str">
        <f t="shared" si="2"/>
        <v/>
      </c>
    </row>
    <row r="999">
      <c r="C999" s="47"/>
      <c r="D999" s="50"/>
      <c r="E999" s="49"/>
      <c r="F999" s="49"/>
      <c r="G999" s="39" t="str">
        <f t="array" ref="G999">XLOOKUP(B999,'Página9'!A:A,'Página9'!F:F,"")</f>
        <v/>
      </c>
      <c r="H999" s="39" t="str">
        <f t="array" ref="H999">XLOOKUP(B999,'Página9'!A:A,'Página9'!C:C,"")</f>
        <v/>
      </c>
      <c r="I999" s="35" t="str">
        <f t="array" ref="I999">XLOOKUP(B999,'Página9'!A:A,'Página9'!G:G,"")</f>
        <v/>
      </c>
      <c r="J999" s="25" t="str">
        <f t="shared" si="2"/>
        <v/>
      </c>
    </row>
    <row r="1000">
      <c r="C1000" s="47"/>
      <c r="D1000" s="50"/>
      <c r="E1000" s="49"/>
      <c r="F1000" s="49"/>
      <c r="G1000" s="39" t="str">
        <f t="array" ref="G1000">XLOOKUP(B1000,'Página9'!A:A,'Página9'!F:F,"")</f>
        <v/>
      </c>
      <c r="H1000" s="39" t="str">
        <f t="array" ref="H1000">XLOOKUP(B1000,'Página9'!A:A,'Página9'!C:C,"")</f>
        <v/>
      </c>
      <c r="I1000" s="35" t="str">
        <f t="array" ref="I1000">XLOOKUP(B1000,'Página9'!A:A,'Página9'!G:G,"")</f>
        <v/>
      </c>
      <c r="J1000" s="25" t="str">
        <f t="shared" si="2"/>
        <v/>
      </c>
    </row>
    <row r="1001">
      <c r="A1001" s="37"/>
      <c r="B1001" s="35"/>
      <c r="C1001" s="31"/>
      <c r="D1001" s="32"/>
      <c r="E1001" s="34"/>
      <c r="F1001" s="34"/>
      <c r="G1001" s="39"/>
      <c r="H1001" s="39"/>
      <c r="I1001" s="35"/>
    </row>
    <row r="1002">
      <c r="A1002" s="37"/>
      <c r="B1002" s="35"/>
      <c r="C1002" s="31"/>
      <c r="D1002" s="32"/>
      <c r="E1002" s="34"/>
      <c r="F1002" s="34"/>
      <c r="G1002" s="39"/>
      <c r="H1002" s="39"/>
      <c r="I1002" s="35"/>
    </row>
    <row r="1003">
      <c r="A1003" s="37"/>
      <c r="B1003" s="35"/>
      <c r="C1003" s="31"/>
      <c r="D1003" s="32"/>
      <c r="E1003" s="34"/>
      <c r="F1003" s="34"/>
      <c r="G1003" s="39"/>
      <c r="H1003" s="39"/>
      <c r="I1003" s="35"/>
    </row>
    <row r="1004">
      <c r="A1004" s="37"/>
      <c r="B1004" s="35"/>
      <c r="C1004" s="31"/>
      <c r="D1004" s="32"/>
      <c r="E1004" s="34"/>
      <c r="F1004" s="34"/>
      <c r="G1004" s="39"/>
      <c r="H1004" s="39"/>
      <c r="I1004" s="35"/>
    </row>
    <row r="1005">
      <c r="A1005" s="37"/>
      <c r="B1005" s="35"/>
      <c r="C1005" s="31"/>
      <c r="D1005" s="32"/>
      <c r="E1005" s="34"/>
      <c r="F1005" s="34"/>
      <c r="G1005" s="39"/>
      <c r="H1005" s="39"/>
      <c r="I1005" s="35"/>
    </row>
    <row r="1006">
      <c r="A1006" s="37"/>
      <c r="B1006" s="35"/>
      <c r="C1006" s="31"/>
      <c r="D1006" s="32"/>
      <c r="E1006" s="34"/>
      <c r="F1006" s="34"/>
      <c r="G1006" s="39"/>
      <c r="H1006" s="39"/>
      <c r="I1006" s="35"/>
    </row>
    <row r="1007">
      <c r="A1007" s="37"/>
      <c r="B1007" s="35"/>
      <c r="C1007" s="31"/>
      <c r="D1007" s="32"/>
      <c r="E1007" s="34"/>
      <c r="F1007" s="34"/>
      <c r="G1007" s="39"/>
      <c r="H1007" s="39"/>
      <c r="I1007" s="35"/>
    </row>
    <row r="1008">
      <c r="A1008" s="37"/>
      <c r="B1008" s="35"/>
      <c r="C1008" s="31"/>
      <c r="D1008" s="32"/>
      <c r="E1008" s="34"/>
      <c r="F1008" s="34"/>
      <c r="G1008" s="39"/>
      <c r="H1008" s="39"/>
      <c r="I1008" s="35"/>
    </row>
    <row r="1009">
      <c r="A1009" s="37"/>
      <c r="B1009" s="35"/>
      <c r="C1009" s="31"/>
      <c r="D1009" s="32"/>
      <c r="E1009" s="34"/>
      <c r="F1009" s="34"/>
      <c r="G1009" s="39"/>
      <c r="H1009" s="39"/>
      <c r="I1009" s="35"/>
    </row>
    <row r="1010">
      <c r="A1010" s="37"/>
      <c r="B1010" s="35"/>
      <c r="C1010" s="31"/>
      <c r="D1010" s="32"/>
      <c r="E1010" s="34"/>
      <c r="F1010" s="34"/>
      <c r="G1010" s="39"/>
      <c r="H1010" s="39"/>
      <c r="I1010" s="35"/>
    </row>
    <row r="1011">
      <c r="A1011" s="37"/>
      <c r="B1011" s="35"/>
      <c r="C1011" s="31"/>
      <c r="D1011" s="32"/>
      <c r="E1011" s="34"/>
      <c r="F1011" s="34"/>
      <c r="G1011" s="39"/>
      <c r="H1011" s="39"/>
      <c r="I1011" s="35"/>
    </row>
    <row r="1012">
      <c r="A1012" s="37"/>
      <c r="B1012" s="35"/>
      <c r="C1012" s="31"/>
      <c r="D1012" s="32"/>
      <c r="E1012" s="34"/>
      <c r="F1012" s="34"/>
      <c r="G1012" s="39"/>
      <c r="H1012" s="39"/>
      <c r="I1012" s="35"/>
    </row>
    <row r="1013">
      <c r="A1013" s="37"/>
      <c r="B1013" s="35"/>
      <c r="C1013" s="31"/>
      <c r="D1013" s="32"/>
      <c r="E1013" s="34"/>
      <c r="F1013" s="34"/>
      <c r="G1013" s="39"/>
      <c r="H1013" s="39"/>
      <c r="I1013" s="35"/>
    </row>
    <row r="1014">
      <c r="A1014" s="37"/>
      <c r="B1014" s="35"/>
      <c r="C1014" s="31"/>
      <c r="D1014" s="32"/>
      <c r="E1014" s="34"/>
      <c r="F1014" s="34"/>
      <c r="G1014" s="39"/>
      <c r="H1014" s="39"/>
      <c r="I1014" s="35"/>
    </row>
    <row r="1015">
      <c r="A1015" s="37"/>
      <c r="B1015" s="35"/>
      <c r="C1015" s="31"/>
      <c r="D1015" s="32"/>
      <c r="E1015" s="34"/>
      <c r="F1015" s="34"/>
      <c r="G1015" s="39"/>
      <c r="H1015" s="39"/>
      <c r="I1015" s="35"/>
    </row>
    <row r="1016">
      <c r="A1016" s="37"/>
      <c r="B1016" s="35"/>
      <c r="C1016" s="31"/>
      <c r="D1016" s="32"/>
      <c r="E1016" s="34"/>
      <c r="F1016" s="34"/>
      <c r="G1016" s="39"/>
      <c r="H1016" s="39"/>
      <c r="I1016" s="35"/>
    </row>
    <row r="1017">
      <c r="A1017" s="37"/>
      <c r="B1017" s="35"/>
      <c r="C1017" s="31"/>
      <c r="D1017" s="32"/>
      <c r="E1017" s="34"/>
      <c r="F1017" s="34"/>
      <c r="G1017" s="39"/>
      <c r="H1017" s="39"/>
      <c r="I1017" s="35"/>
    </row>
    <row r="1018">
      <c r="A1018" s="37"/>
      <c r="B1018" s="35"/>
      <c r="C1018" s="31"/>
      <c r="D1018" s="32"/>
      <c r="E1018" s="34"/>
      <c r="F1018" s="34"/>
      <c r="G1018" s="39"/>
      <c r="H1018" s="39"/>
      <c r="I1018" s="35"/>
    </row>
    <row r="1019">
      <c r="A1019" s="37"/>
      <c r="B1019" s="35"/>
      <c r="C1019" s="31"/>
      <c r="D1019" s="32"/>
      <c r="E1019" s="34"/>
      <c r="F1019" s="34"/>
      <c r="G1019" s="39"/>
      <c r="H1019" s="39"/>
      <c r="I1019" s="35"/>
    </row>
    <row r="1020">
      <c r="A1020" s="37"/>
      <c r="B1020" s="35"/>
      <c r="C1020" s="31"/>
      <c r="D1020" s="32"/>
      <c r="E1020" s="34"/>
      <c r="F1020" s="34"/>
      <c r="G1020" s="39"/>
      <c r="H1020" s="39"/>
      <c r="I1020" s="35"/>
    </row>
    <row r="1021">
      <c r="A1021" s="37"/>
      <c r="B1021" s="35"/>
      <c r="C1021" s="31"/>
      <c r="D1021" s="32"/>
      <c r="E1021" s="34"/>
      <c r="F1021" s="34"/>
      <c r="G1021" s="39"/>
      <c r="H1021" s="39"/>
      <c r="I1021" s="35"/>
    </row>
    <row r="1022">
      <c r="A1022" s="37"/>
      <c r="B1022" s="35"/>
      <c r="C1022" s="31"/>
      <c r="D1022" s="32"/>
      <c r="E1022" s="34"/>
      <c r="F1022" s="34"/>
      <c r="G1022" s="39"/>
      <c r="H1022" s="39"/>
      <c r="I1022" s="35"/>
    </row>
    <row r="1023">
      <c r="A1023" s="37"/>
      <c r="B1023" s="35"/>
      <c r="C1023" s="31"/>
      <c r="D1023" s="32"/>
      <c r="E1023" s="34"/>
      <c r="F1023" s="34"/>
      <c r="G1023" s="39"/>
      <c r="H1023" s="39"/>
      <c r="I1023" s="35"/>
    </row>
    <row r="1024">
      <c r="A1024" s="37"/>
      <c r="B1024" s="35"/>
      <c r="C1024" s="31"/>
      <c r="D1024" s="32"/>
      <c r="E1024" s="34"/>
      <c r="F1024" s="34"/>
      <c r="G1024" s="39"/>
      <c r="H1024" s="39"/>
      <c r="I1024" s="35"/>
    </row>
    <row r="1025">
      <c r="A1025" s="37"/>
      <c r="B1025" s="35"/>
      <c r="C1025" s="31"/>
      <c r="D1025" s="32"/>
      <c r="E1025" s="34"/>
      <c r="F1025" s="34"/>
      <c r="G1025" s="39"/>
      <c r="H1025" s="39"/>
      <c r="I1025" s="35"/>
    </row>
    <row r="1026">
      <c r="A1026" s="37"/>
      <c r="B1026" s="35"/>
      <c r="C1026" s="31"/>
      <c r="D1026" s="32"/>
      <c r="E1026" s="34"/>
      <c r="F1026" s="34"/>
      <c r="G1026" s="39"/>
      <c r="H1026" s="39"/>
      <c r="I1026" s="35"/>
    </row>
    <row r="1027">
      <c r="A1027" s="37"/>
      <c r="B1027" s="35"/>
      <c r="C1027" s="31"/>
      <c r="D1027" s="32"/>
      <c r="E1027" s="34"/>
      <c r="F1027" s="34"/>
      <c r="G1027" s="39"/>
      <c r="H1027" s="39"/>
      <c r="I1027" s="35"/>
    </row>
    <row r="1028">
      <c r="A1028" s="37"/>
      <c r="B1028" s="35"/>
      <c r="C1028" s="31"/>
      <c r="D1028" s="32"/>
      <c r="E1028" s="34"/>
      <c r="F1028" s="34"/>
      <c r="G1028" s="39"/>
      <c r="H1028" s="39"/>
      <c r="I1028" s="35"/>
    </row>
    <row r="1029">
      <c r="A1029" s="37"/>
      <c r="B1029" s="35"/>
      <c r="C1029" s="31"/>
      <c r="D1029" s="32"/>
      <c r="E1029" s="34"/>
      <c r="F1029" s="34"/>
      <c r="G1029" s="39"/>
      <c r="H1029" s="39"/>
      <c r="I1029" s="35"/>
    </row>
    <row r="1030">
      <c r="A1030" s="37"/>
      <c r="B1030" s="35"/>
      <c r="C1030" s="31"/>
      <c r="D1030" s="32"/>
      <c r="E1030" s="34"/>
      <c r="F1030" s="34"/>
      <c r="G1030" s="39"/>
      <c r="H1030" s="39"/>
      <c r="I1030" s="35"/>
    </row>
    <row r="1031">
      <c r="A1031" s="37"/>
      <c r="B1031" s="35"/>
      <c r="C1031" s="31"/>
      <c r="D1031" s="32"/>
      <c r="E1031" s="34"/>
      <c r="F1031" s="34"/>
      <c r="G1031" s="39"/>
      <c r="H1031" s="39"/>
      <c r="I1031" s="35"/>
    </row>
    <row r="1032">
      <c r="A1032" s="37"/>
      <c r="B1032" s="35"/>
      <c r="C1032" s="31"/>
      <c r="D1032" s="32"/>
      <c r="E1032" s="34"/>
      <c r="F1032" s="34"/>
      <c r="G1032" s="39"/>
      <c r="H1032" s="39"/>
      <c r="I1032" s="35"/>
    </row>
    <row r="1033">
      <c r="A1033" s="37"/>
      <c r="B1033" s="35"/>
      <c r="C1033" s="31"/>
      <c r="D1033" s="32"/>
      <c r="E1033" s="34"/>
      <c r="F1033" s="34"/>
      <c r="G1033" s="39"/>
      <c r="H1033" s="39"/>
      <c r="I1033" s="35"/>
    </row>
    <row r="1034">
      <c r="A1034" s="37"/>
      <c r="B1034" s="35"/>
      <c r="C1034" s="31"/>
      <c r="D1034" s="32"/>
      <c r="E1034" s="34"/>
      <c r="F1034" s="34"/>
      <c r="G1034" s="39"/>
      <c r="H1034" s="39"/>
      <c r="I1034" s="35"/>
    </row>
    <row r="1035">
      <c r="A1035" s="37"/>
      <c r="B1035" s="35"/>
      <c r="C1035" s="31"/>
      <c r="D1035" s="32"/>
      <c r="E1035" s="34"/>
      <c r="F1035" s="34"/>
      <c r="G1035" s="39"/>
      <c r="H1035" s="39"/>
      <c r="I1035" s="35"/>
    </row>
    <row r="1036">
      <c r="A1036" s="37"/>
      <c r="B1036" s="35"/>
      <c r="C1036" s="31"/>
      <c r="D1036" s="32"/>
      <c r="E1036" s="34"/>
      <c r="F1036" s="34"/>
      <c r="G1036" s="39"/>
      <c r="H1036" s="39"/>
      <c r="I1036" s="35"/>
    </row>
    <row r="1037">
      <c r="A1037" s="37"/>
      <c r="B1037" s="35"/>
      <c r="C1037" s="31"/>
      <c r="D1037" s="32"/>
      <c r="E1037" s="34"/>
      <c r="F1037" s="34"/>
      <c r="G1037" s="39"/>
      <c r="H1037" s="39"/>
      <c r="I1037" s="35"/>
    </row>
    <row r="1038">
      <c r="A1038" s="37"/>
      <c r="B1038" s="35"/>
      <c r="C1038" s="31"/>
      <c r="D1038" s="32"/>
      <c r="E1038" s="34"/>
      <c r="F1038" s="34"/>
      <c r="G1038" s="39"/>
      <c r="H1038" s="39"/>
      <c r="I1038" s="35"/>
    </row>
    <row r="1039">
      <c r="A1039" s="37"/>
      <c r="B1039" s="35"/>
      <c r="C1039" s="31"/>
      <c r="D1039" s="32"/>
      <c r="E1039" s="34"/>
      <c r="F1039" s="34"/>
      <c r="G1039" s="39"/>
      <c r="H1039" s="39"/>
      <c r="I1039" s="35"/>
    </row>
    <row r="1040">
      <c r="A1040" s="37"/>
      <c r="B1040" s="35"/>
      <c r="C1040" s="31"/>
      <c r="D1040" s="32"/>
      <c r="E1040" s="34"/>
      <c r="F1040" s="34"/>
      <c r="G1040" s="39"/>
      <c r="H1040" s="39"/>
      <c r="I1040" s="35"/>
    </row>
    <row r="1041">
      <c r="A1041" s="37"/>
      <c r="B1041" s="35"/>
      <c r="C1041" s="31"/>
      <c r="D1041" s="32"/>
      <c r="E1041" s="34"/>
      <c r="F1041" s="34"/>
      <c r="G1041" s="39"/>
      <c r="H1041" s="39"/>
      <c r="I1041" s="35"/>
    </row>
    <row r="1042">
      <c r="A1042" s="37"/>
      <c r="B1042" s="35"/>
      <c r="C1042" s="31"/>
      <c r="D1042" s="32"/>
      <c r="E1042" s="34"/>
      <c r="F1042" s="34"/>
      <c r="G1042" s="39"/>
      <c r="H1042" s="39"/>
      <c r="I1042" s="35"/>
    </row>
    <row r="1043">
      <c r="A1043" s="37"/>
      <c r="B1043" s="35"/>
      <c r="C1043" s="31"/>
      <c r="D1043" s="32"/>
      <c r="E1043" s="34"/>
      <c r="F1043" s="34"/>
      <c r="G1043" s="39"/>
      <c r="H1043" s="39"/>
      <c r="I1043" s="35"/>
    </row>
    <row r="1044">
      <c r="A1044" s="37"/>
      <c r="B1044" s="35"/>
      <c r="C1044" s="31"/>
      <c r="D1044" s="32"/>
      <c r="E1044" s="34"/>
      <c r="F1044" s="34"/>
      <c r="G1044" s="39"/>
      <c r="H1044" s="39"/>
      <c r="I1044" s="35"/>
    </row>
    <row r="1045">
      <c r="A1045" s="37"/>
      <c r="B1045" s="35"/>
      <c r="C1045" s="31"/>
      <c r="D1045" s="32"/>
      <c r="E1045" s="34"/>
      <c r="F1045" s="34"/>
      <c r="G1045" s="39"/>
      <c r="H1045" s="39"/>
      <c r="I1045" s="35"/>
    </row>
    <row r="1046">
      <c r="A1046" s="37"/>
      <c r="B1046" s="35"/>
      <c r="C1046" s="31"/>
      <c r="D1046" s="32"/>
      <c r="E1046" s="34"/>
      <c r="F1046" s="34"/>
      <c r="G1046" s="39"/>
      <c r="H1046" s="39"/>
      <c r="I1046" s="35"/>
    </row>
    <row r="1047">
      <c r="A1047" s="37"/>
      <c r="B1047" s="35"/>
      <c r="C1047" s="31"/>
      <c r="D1047" s="32"/>
      <c r="E1047" s="34"/>
      <c r="F1047" s="34"/>
      <c r="G1047" s="39"/>
      <c r="H1047" s="39"/>
      <c r="I1047" s="35"/>
    </row>
    <row r="1048">
      <c r="A1048" s="37"/>
      <c r="B1048" s="35"/>
      <c r="C1048" s="31"/>
      <c r="D1048" s="32"/>
      <c r="E1048" s="34"/>
      <c r="F1048" s="34"/>
      <c r="G1048" s="39"/>
      <c r="H1048" s="39"/>
      <c r="I1048" s="35"/>
    </row>
    <row r="1049">
      <c r="A1049" s="37"/>
      <c r="B1049" s="35"/>
      <c r="C1049" s="31"/>
      <c r="D1049" s="32"/>
      <c r="E1049" s="34"/>
      <c r="F1049" s="34"/>
      <c r="G1049" s="39"/>
      <c r="H1049" s="39"/>
      <c r="I1049" s="35"/>
    </row>
    <row r="1050">
      <c r="A1050" s="37"/>
      <c r="B1050" s="35"/>
      <c r="C1050" s="31"/>
      <c r="D1050" s="32"/>
      <c r="E1050" s="34"/>
      <c r="F1050" s="34"/>
      <c r="G1050" s="39"/>
      <c r="H1050" s="39"/>
      <c r="I1050" s="35"/>
    </row>
    <row r="1051">
      <c r="A1051" s="37"/>
      <c r="B1051" s="35"/>
      <c r="C1051" s="31"/>
      <c r="D1051" s="32"/>
      <c r="E1051" s="34"/>
      <c r="F1051" s="34"/>
      <c r="G1051" s="39"/>
      <c r="H1051" s="39"/>
      <c r="I1051" s="35"/>
    </row>
    <row r="1052">
      <c r="A1052" s="37"/>
      <c r="B1052" s="35"/>
      <c r="C1052" s="31"/>
      <c r="D1052" s="32"/>
      <c r="E1052" s="34"/>
      <c r="F1052" s="34"/>
      <c r="G1052" s="39"/>
      <c r="H1052" s="39"/>
      <c r="I1052" s="35"/>
    </row>
    <row r="1053">
      <c r="A1053" s="37"/>
      <c r="B1053" s="35"/>
      <c r="C1053" s="31"/>
      <c r="D1053" s="32"/>
      <c r="E1053" s="34"/>
      <c r="F1053" s="34"/>
      <c r="G1053" s="39"/>
      <c r="H1053" s="39"/>
      <c r="I1053" s="35"/>
    </row>
    <row r="1054">
      <c r="A1054" s="37"/>
      <c r="B1054" s="35"/>
      <c r="C1054" s="31"/>
      <c r="D1054" s="32"/>
      <c r="E1054" s="34"/>
      <c r="F1054" s="34"/>
      <c r="G1054" s="39"/>
      <c r="H1054" s="39"/>
      <c r="I1054" s="35"/>
    </row>
    <row r="1055">
      <c r="A1055" s="37"/>
      <c r="B1055" s="35"/>
      <c r="C1055" s="31"/>
      <c r="D1055" s="32"/>
      <c r="E1055" s="34"/>
      <c r="F1055" s="34"/>
      <c r="G1055" s="39"/>
      <c r="H1055" s="39"/>
      <c r="I1055" s="35"/>
    </row>
    <row r="1056">
      <c r="A1056" s="37"/>
      <c r="B1056" s="35"/>
      <c r="C1056" s="31"/>
      <c r="D1056" s="32"/>
      <c r="E1056" s="34"/>
      <c r="F1056" s="34"/>
      <c r="G1056" s="39"/>
      <c r="H1056" s="39"/>
      <c r="I1056" s="35"/>
    </row>
    <row r="1057">
      <c r="A1057" s="37"/>
      <c r="B1057" s="35"/>
      <c r="C1057" s="31"/>
      <c r="D1057" s="32"/>
      <c r="E1057" s="34"/>
      <c r="F1057" s="34"/>
      <c r="G1057" s="39"/>
      <c r="H1057" s="39"/>
      <c r="I1057" s="35"/>
    </row>
    <row r="1058">
      <c r="A1058" s="37"/>
      <c r="B1058" s="35"/>
      <c r="C1058" s="31"/>
      <c r="D1058" s="32"/>
      <c r="E1058" s="34"/>
      <c r="F1058" s="34"/>
      <c r="G1058" s="39"/>
      <c r="H1058" s="39"/>
      <c r="I1058" s="35"/>
    </row>
    <row r="1059">
      <c r="A1059" s="37"/>
      <c r="B1059" s="35"/>
      <c r="C1059" s="31"/>
      <c r="D1059" s="32"/>
      <c r="E1059" s="34"/>
      <c r="F1059" s="34"/>
      <c r="G1059" s="39"/>
      <c r="H1059" s="39"/>
      <c r="I1059" s="35"/>
    </row>
    <row r="1060">
      <c r="A1060" s="37"/>
      <c r="B1060" s="35"/>
      <c r="C1060" s="31"/>
      <c r="D1060" s="32"/>
      <c r="E1060" s="34"/>
      <c r="F1060" s="34"/>
      <c r="G1060" s="39"/>
      <c r="H1060" s="39"/>
      <c r="I1060" s="35"/>
    </row>
    <row r="1061">
      <c r="A1061" s="37"/>
      <c r="B1061" s="35"/>
      <c r="C1061" s="31"/>
      <c r="D1061" s="32"/>
      <c r="E1061" s="34"/>
      <c r="F1061" s="34"/>
      <c r="G1061" s="39"/>
      <c r="H1061" s="39"/>
      <c r="I1061" s="35"/>
    </row>
    <row r="1062">
      <c r="A1062" s="37"/>
      <c r="B1062" s="35"/>
      <c r="C1062" s="31"/>
      <c r="D1062" s="32"/>
      <c r="E1062" s="34"/>
      <c r="F1062" s="34"/>
      <c r="G1062" s="39"/>
      <c r="H1062" s="39"/>
      <c r="I1062" s="35"/>
    </row>
    <row r="1063">
      <c r="A1063" s="37"/>
      <c r="B1063" s="35"/>
      <c r="C1063" s="31"/>
      <c r="D1063" s="32"/>
      <c r="E1063" s="34"/>
      <c r="F1063" s="34"/>
      <c r="G1063" s="39"/>
      <c r="H1063" s="39"/>
      <c r="I1063" s="35"/>
    </row>
    <row r="1064">
      <c r="A1064" s="37"/>
      <c r="B1064" s="35"/>
      <c r="C1064" s="31"/>
      <c r="D1064" s="32"/>
      <c r="E1064" s="34"/>
      <c r="F1064" s="34"/>
      <c r="G1064" s="39"/>
      <c r="H1064" s="39"/>
      <c r="I1064" s="35"/>
    </row>
    <row r="1065">
      <c r="A1065" s="37"/>
      <c r="B1065" s="35"/>
      <c r="C1065" s="31"/>
      <c r="D1065" s="32"/>
      <c r="E1065" s="34"/>
      <c r="F1065" s="34"/>
      <c r="G1065" s="39"/>
      <c r="H1065" s="39"/>
      <c r="I1065" s="35"/>
    </row>
    <row r="1066">
      <c r="A1066" s="37"/>
      <c r="B1066" s="35"/>
      <c r="C1066" s="31"/>
      <c r="D1066" s="32"/>
      <c r="E1066" s="34"/>
      <c r="F1066" s="34"/>
      <c r="G1066" s="39"/>
      <c r="H1066" s="39"/>
      <c r="I1066" s="35"/>
    </row>
    <row r="1067">
      <c r="A1067" s="37"/>
      <c r="B1067" s="35"/>
      <c r="C1067" s="31"/>
      <c r="D1067" s="32"/>
      <c r="E1067" s="34"/>
      <c r="F1067" s="34"/>
      <c r="G1067" s="39"/>
      <c r="H1067" s="39"/>
      <c r="I1067" s="35"/>
    </row>
    <row r="1068">
      <c r="A1068" s="37"/>
      <c r="B1068" s="35"/>
      <c r="C1068" s="31"/>
      <c r="D1068" s="32"/>
      <c r="E1068" s="34"/>
      <c r="F1068" s="34"/>
      <c r="G1068" s="39"/>
      <c r="H1068" s="39"/>
      <c r="I1068" s="35"/>
    </row>
    <row r="1069">
      <c r="A1069" s="37"/>
      <c r="B1069" s="35"/>
      <c r="C1069" s="31"/>
      <c r="D1069" s="32"/>
      <c r="E1069" s="34"/>
      <c r="F1069" s="34"/>
      <c r="G1069" s="39"/>
      <c r="H1069" s="39"/>
      <c r="I1069" s="35"/>
    </row>
    <row r="1070">
      <c r="A1070" s="37"/>
      <c r="B1070" s="35"/>
      <c r="C1070" s="31"/>
      <c r="D1070" s="32"/>
      <c r="E1070" s="34"/>
      <c r="F1070" s="34"/>
      <c r="G1070" s="39"/>
      <c r="H1070" s="39"/>
      <c r="I1070" s="35"/>
    </row>
    <row r="1071">
      <c r="A1071" s="37"/>
      <c r="B1071" s="35"/>
      <c r="C1071" s="31"/>
      <c r="D1071" s="32"/>
      <c r="E1071" s="34"/>
      <c r="F1071" s="34"/>
      <c r="G1071" s="39"/>
      <c r="H1071" s="39"/>
      <c r="I1071" s="35"/>
    </row>
    <row r="1072">
      <c r="A1072" s="37"/>
      <c r="B1072" s="35"/>
      <c r="C1072" s="31"/>
      <c r="D1072" s="32"/>
      <c r="E1072" s="34"/>
      <c r="F1072" s="34"/>
      <c r="G1072" s="39"/>
      <c r="H1072" s="39"/>
      <c r="I1072" s="35"/>
    </row>
    <row r="1073">
      <c r="A1073" s="37"/>
      <c r="B1073" s="35"/>
      <c r="C1073" s="31"/>
      <c r="D1073" s="32"/>
      <c r="E1073" s="34"/>
      <c r="F1073" s="34"/>
      <c r="G1073" s="39"/>
      <c r="H1073" s="39"/>
      <c r="I1073" s="35"/>
    </row>
    <row r="1074">
      <c r="A1074" s="37"/>
      <c r="B1074" s="35"/>
      <c r="C1074" s="31"/>
      <c r="D1074" s="32"/>
      <c r="E1074" s="34"/>
      <c r="F1074" s="34"/>
      <c r="G1074" s="39"/>
      <c r="H1074" s="39"/>
      <c r="I1074" s="35"/>
    </row>
    <row r="1075">
      <c r="A1075" s="37"/>
      <c r="B1075" s="35"/>
      <c r="C1075" s="31"/>
      <c r="D1075" s="32"/>
      <c r="E1075" s="34"/>
      <c r="F1075" s="34"/>
      <c r="G1075" s="39"/>
      <c r="H1075" s="39"/>
      <c r="I1075" s="35"/>
    </row>
    <row r="1076">
      <c r="A1076" s="37"/>
      <c r="B1076" s="35"/>
      <c r="C1076" s="31"/>
      <c r="D1076" s="32"/>
      <c r="E1076" s="34"/>
      <c r="F1076" s="34"/>
      <c r="G1076" s="39"/>
      <c r="H1076" s="39"/>
      <c r="I1076" s="35"/>
    </row>
    <row r="1077">
      <c r="A1077" s="37"/>
      <c r="B1077" s="35"/>
      <c r="C1077" s="31"/>
      <c r="D1077" s="32"/>
      <c r="E1077" s="34"/>
      <c r="F1077" s="34"/>
      <c r="G1077" s="39"/>
      <c r="H1077" s="39"/>
      <c r="I1077" s="35"/>
    </row>
    <row r="1078">
      <c r="A1078" s="37"/>
      <c r="B1078" s="35"/>
      <c r="C1078" s="31"/>
      <c r="D1078" s="32"/>
      <c r="E1078" s="34"/>
      <c r="F1078" s="34"/>
      <c r="G1078" s="39"/>
      <c r="H1078" s="39"/>
      <c r="I1078" s="35"/>
    </row>
    <row r="1079">
      <c r="A1079" s="37"/>
      <c r="B1079" s="35"/>
      <c r="C1079" s="31"/>
      <c r="D1079" s="32"/>
      <c r="E1079" s="34"/>
      <c r="F1079" s="34"/>
      <c r="G1079" s="39"/>
      <c r="H1079" s="39"/>
      <c r="I1079" s="35"/>
    </row>
    <row r="1080">
      <c r="A1080" s="37"/>
      <c r="B1080" s="35"/>
      <c r="C1080" s="31"/>
      <c r="D1080" s="32"/>
      <c r="E1080" s="34"/>
      <c r="F1080" s="34"/>
      <c r="G1080" s="39"/>
      <c r="H1080" s="39"/>
      <c r="I1080" s="35"/>
    </row>
    <row r="1081">
      <c r="A1081" s="37"/>
      <c r="B1081" s="35"/>
      <c r="C1081" s="31"/>
      <c r="D1081" s="32"/>
      <c r="E1081" s="34"/>
      <c r="F1081" s="34"/>
      <c r="G1081" s="39"/>
      <c r="H1081" s="39"/>
      <c r="I1081" s="35"/>
    </row>
    <row r="1082">
      <c r="A1082" s="37"/>
      <c r="B1082" s="35"/>
      <c r="C1082" s="31"/>
      <c r="D1082" s="32"/>
      <c r="E1082" s="34"/>
      <c r="F1082" s="34"/>
      <c r="G1082" s="39"/>
      <c r="H1082" s="39"/>
      <c r="I1082" s="35"/>
    </row>
    <row r="1083">
      <c r="A1083" s="37"/>
      <c r="B1083" s="35"/>
      <c r="C1083" s="31"/>
      <c r="D1083" s="32"/>
      <c r="E1083" s="34"/>
      <c r="F1083" s="34"/>
      <c r="G1083" s="39"/>
      <c r="H1083" s="39"/>
      <c r="I1083" s="35"/>
    </row>
    <row r="1084">
      <c r="A1084" s="37"/>
      <c r="B1084" s="35"/>
      <c r="C1084" s="31"/>
      <c r="D1084" s="32"/>
      <c r="E1084" s="34"/>
      <c r="F1084" s="34"/>
      <c r="G1084" s="39"/>
      <c r="H1084" s="39"/>
      <c r="I1084" s="35"/>
    </row>
    <row r="1085">
      <c r="A1085" s="37"/>
      <c r="B1085" s="35"/>
      <c r="C1085" s="31"/>
      <c r="D1085" s="32"/>
      <c r="E1085" s="34"/>
      <c r="F1085" s="34"/>
      <c r="G1085" s="39"/>
      <c r="H1085" s="39"/>
      <c r="I1085" s="35"/>
    </row>
    <row r="1086">
      <c r="A1086" s="37"/>
      <c r="B1086" s="35"/>
      <c r="C1086" s="31"/>
      <c r="D1086" s="32"/>
      <c r="E1086" s="34"/>
      <c r="F1086" s="34"/>
      <c r="G1086" s="39"/>
      <c r="H1086" s="39"/>
      <c r="I1086" s="35"/>
    </row>
    <row r="1087">
      <c r="A1087" s="37"/>
      <c r="B1087" s="35"/>
      <c r="C1087" s="31"/>
      <c r="D1087" s="32"/>
      <c r="E1087" s="34"/>
      <c r="F1087" s="34"/>
      <c r="G1087" s="39"/>
      <c r="H1087" s="39"/>
      <c r="I1087" s="35"/>
    </row>
    <row r="1088">
      <c r="A1088" s="37"/>
      <c r="B1088" s="35"/>
      <c r="C1088" s="31"/>
      <c r="D1088" s="32"/>
      <c r="E1088" s="34"/>
      <c r="F1088" s="34"/>
      <c r="G1088" s="39"/>
      <c r="H1088" s="39"/>
      <c r="I1088" s="35"/>
    </row>
    <row r="1089">
      <c r="A1089" s="37"/>
      <c r="B1089" s="35"/>
      <c r="C1089" s="31"/>
      <c r="D1089" s="32"/>
      <c r="E1089" s="34"/>
      <c r="F1089" s="34"/>
      <c r="G1089" s="39"/>
      <c r="H1089" s="39"/>
      <c r="I1089" s="35"/>
    </row>
    <row r="1090">
      <c r="A1090" s="37"/>
      <c r="B1090" s="35"/>
      <c r="C1090" s="31"/>
      <c r="D1090" s="32"/>
      <c r="E1090" s="34"/>
      <c r="F1090" s="34"/>
      <c r="G1090" s="39"/>
      <c r="H1090" s="39"/>
      <c r="I1090" s="35"/>
    </row>
    <row r="1091">
      <c r="A1091" s="37"/>
      <c r="B1091" s="35"/>
      <c r="C1091" s="31"/>
      <c r="D1091" s="32"/>
      <c r="E1091" s="34"/>
      <c r="F1091" s="34"/>
      <c r="G1091" s="39"/>
      <c r="H1091" s="39"/>
      <c r="I1091" s="35"/>
    </row>
    <row r="1092">
      <c r="A1092" s="37"/>
      <c r="B1092" s="35"/>
      <c r="C1092" s="31"/>
      <c r="D1092" s="32"/>
      <c r="E1092" s="34"/>
      <c r="F1092" s="34"/>
      <c r="G1092" s="39"/>
      <c r="H1092" s="39"/>
      <c r="I1092" s="35"/>
    </row>
    <row r="1093">
      <c r="A1093" s="37"/>
      <c r="B1093" s="35"/>
      <c r="C1093" s="31"/>
      <c r="D1093" s="32"/>
      <c r="E1093" s="34"/>
      <c r="F1093" s="34"/>
      <c r="G1093" s="39"/>
      <c r="H1093" s="39"/>
      <c r="I1093" s="35"/>
    </row>
    <row r="1094">
      <c r="A1094" s="37"/>
      <c r="B1094" s="35"/>
      <c r="C1094" s="31"/>
      <c r="D1094" s="32"/>
      <c r="E1094" s="34"/>
      <c r="F1094" s="34"/>
      <c r="G1094" s="39"/>
      <c r="H1094" s="39"/>
      <c r="I1094" s="35"/>
    </row>
    <row r="1095">
      <c r="A1095" s="37"/>
      <c r="B1095" s="35"/>
      <c r="C1095" s="31"/>
      <c r="D1095" s="32"/>
      <c r="E1095" s="34"/>
      <c r="F1095" s="34"/>
      <c r="G1095" s="39"/>
      <c r="H1095" s="39"/>
      <c r="I1095" s="35"/>
    </row>
    <row r="1096">
      <c r="A1096" s="37"/>
      <c r="B1096" s="35"/>
      <c r="C1096" s="31"/>
      <c r="D1096" s="32"/>
      <c r="E1096" s="34"/>
      <c r="F1096" s="34"/>
      <c r="G1096" s="39"/>
      <c r="H1096" s="39"/>
      <c r="I1096" s="35"/>
    </row>
    <row r="1097">
      <c r="A1097" s="37"/>
      <c r="B1097" s="35"/>
      <c r="C1097" s="31"/>
      <c r="D1097" s="32"/>
      <c r="E1097" s="34"/>
      <c r="F1097" s="34"/>
      <c r="G1097" s="39"/>
      <c r="H1097" s="39"/>
      <c r="I1097" s="35"/>
    </row>
    <row r="1098">
      <c r="A1098" s="37"/>
      <c r="B1098" s="35"/>
      <c r="C1098" s="31"/>
      <c r="D1098" s="32"/>
      <c r="E1098" s="34"/>
      <c r="F1098" s="34"/>
      <c r="G1098" s="39"/>
      <c r="H1098" s="39"/>
      <c r="I1098" s="35"/>
    </row>
    <row r="1099">
      <c r="A1099" s="37"/>
      <c r="B1099" s="35"/>
      <c r="C1099" s="31"/>
      <c r="D1099" s="32"/>
      <c r="E1099" s="34"/>
      <c r="F1099" s="34"/>
      <c r="G1099" s="39"/>
      <c r="H1099" s="39"/>
      <c r="I1099" s="35"/>
    </row>
    <row r="1100">
      <c r="A1100" s="37"/>
      <c r="B1100" s="35"/>
      <c r="C1100" s="31"/>
      <c r="D1100" s="32"/>
      <c r="E1100" s="34"/>
      <c r="F1100" s="34"/>
      <c r="G1100" s="39"/>
      <c r="H1100" s="39"/>
      <c r="I1100" s="35"/>
    </row>
    <row r="1101">
      <c r="A1101" s="37"/>
      <c r="B1101" s="35"/>
      <c r="C1101" s="31"/>
      <c r="D1101" s="32"/>
      <c r="E1101" s="34"/>
      <c r="F1101" s="34"/>
      <c r="G1101" s="39"/>
      <c r="H1101" s="39"/>
      <c r="I1101" s="35"/>
    </row>
    <row r="1102">
      <c r="A1102" s="37"/>
      <c r="B1102" s="35"/>
      <c r="C1102" s="31"/>
      <c r="D1102" s="32"/>
      <c r="E1102" s="34"/>
      <c r="F1102" s="34"/>
      <c r="G1102" s="39"/>
      <c r="H1102" s="39"/>
      <c r="I1102" s="35"/>
    </row>
    <row r="1103">
      <c r="A1103" s="37"/>
      <c r="B1103" s="35"/>
      <c r="C1103" s="31"/>
      <c r="D1103" s="32"/>
      <c r="E1103" s="34"/>
      <c r="F1103" s="34"/>
      <c r="G1103" s="39"/>
      <c r="H1103" s="39"/>
      <c r="I1103" s="35"/>
    </row>
    <row r="1104">
      <c r="A1104" s="37"/>
      <c r="B1104" s="35"/>
      <c r="C1104" s="31"/>
      <c r="D1104" s="32"/>
      <c r="E1104" s="34"/>
      <c r="F1104" s="34"/>
      <c r="G1104" s="39"/>
      <c r="H1104" s="39"/>
      <c r="I1104" s="35"/>
    </row>
    <row r="1105">
      <c r="A1105" s="37"/>
      <c r="B1105" s="35"/>
      <c r="C1105" s="31"/>
      <c r="D1105" s="32"/>
      <c r="E1105" s="34"/>
      <c r="F1105" s="34"/>
      <c r="G1105" s="39"/>
      <c r="H1105" s="39"/>
      <c r="I1105" s="35"/>
    </row>
    <row r="1106">
      <c r="A1106" s="37"/>
      <c r="B1106" s="35"/>
      <c r="C1106" s="31"/>
      <c r="D1106" s="32"/>
      <c r="E1106" s="34"/>
      <c r="F1106" s="34"/>
      <c r="G1106" s="39"/>
      <c r="H1106" s="39"/>
      <c r="I1106" s="35"/>
    </row>
    <row r="1107">
      <c r="A1107" s="37"/>
      <c r="B1107" s="35"/>
      <c r="C1107" s="31"/>
      <c r="D1107" s="32"/>
      <c r="E1107" s="34"/>
      <c r="F1107" s="34"/>
      <c r="G1107" s="39"/>
      <c r="H1107" s="39"/>
      <c r="I1107" s="35"/>
    </row>
    <row r="1108">
      <c r="A1108" s="37"/>
      <c r="B1108" s="35"/>
      <c r="C1108" s="31"/>
      <c r="D1108" s="32"/>
      <c r="E1108" s="34"/>
      <c r="F1108" s="34"/>
      <c r="G1108" s="39"/>
      <c r="H1108" s="39"/>
      <c r="I1108" s="35"/>
    </row>
    <row r="1109">
      <c r="A1109" s="37"/>
      <c r="B1109" s="35"/>
      <c r="C1109" s="31"/>
      <c r="D1109" s="32"/>
      <c r="E1109" s="34"/>
      <c r="F1109" s="34"/>
      <c r="G1109" s="39"/>
      <c r="H1109" s="39"/>
      <c r="I1109" s="35"/>
    </row>
    <row r="1110">
      <c r="A1110" s="37"/>
      <c r="B1110" s="35"/>
      <c r="C1110" s="31"/>
      <c r="D1110" s="32"/>
      <c r="E1110" s="34"/>
      <c r="F1110" s="34"/>
      <c r="G1110" s="39"/>
      <c r="H1110" s="39"/>
      <c r="I1110" s="35"/>
    </row>
    <row r="1111">
      <c r="A1111" s="37"/>
      <c r="B1111" s="35"/>
      <c r="C1111" s="31"/>
      <c r="D1111" s="32"/>
      <c r="E1111" s="34"/>
      <c r="F1111" s="34"/>
      <c r="G1111" s="39"/>
      <c r="H1111" s="39"/>
      <c r="I1111" s="35"/>
    </row>
    <row r="1112">
      <c r="A1112" s="37"/>
      <c r="B1112" s="35"/>
      <c r="C1112" s="31"/>
      <c r="D1112" s="32"/>
      <c r="E1112" s="34"/>
      <c r="F1112" s="34"/>
      <c r="G1112" s="39"/>
      <c r="H1112" s="39"/>
      <c r="I1112" s="35"/>
    </row>
    <row r="1113">
      <c r="A1113" s="37"/>
      <c r="B1113" s="35"/>
      <c r="C1113" s="31"/>
      <c r="D1113" s="32"/>
      <c r="E1113" s="34"/>
      <c r="F1113" s="34"/>
      <c r="G1113" s="39"/>
      <c r="H1113" s="39"/>
      <c r="I1113" s="35"/>
    </row>
    <row r="1114">
      <c r="A1114" s="37"/>
      <c r="B1114" s="35"/>
      <c r="C1114" s="31"/>
      <c r="D1114" s="32"/>
      <c r="E1114" s="34"/>
      <c r="F1114" s="34"/>
      <c r="G1114" s="39"/>
      <c r="H1114" s="39"/>
      <c r="I1114" s="35"/>
    </row>
    <row r="1115">
      <c r="A1115" s="37"/>
      <c r="B1115" s="35"/>
      <c r="C1115" s="31"/>
      <c r="D1115" s="32"/>
      <c r="E1115" s="34"/>
      <c r="F1115" s="34"/>
      <c r="G1115" s="39"/>
      <c r="H1115" s="39"/>
      <c r="I1115" s="35"/>
    </row>
    <row r="1116">
      <c r="A1116" s="37"/>
      <c r="B1116" s="35"/>
      <c r="C1116" s="31"/>
      <c r="D1116" s="32"/>
      <c r="E1116" s="34"/>
      <c r="F1116" s="34"/>
      <c r="G1116" s="39"/>
      <c r="H1116" s="39"/>
      <c r="I1116" s="35"/>
    </row>
    <row r="1117">
      <c r="A1117" s="37"/>
      <c r="B1117" s="35"/>
      <c r="C1117" s="31"/>
      <c r="D1117" s="32"/>
      <c r="E1117" s="34"/>
      <c r="F1117" s="34"/>
      <c r="G1117" s="39"/>
      <c r="H1117" s="39"/>
      <c r="I1117" s="35"/>
    </row>
    <row r="1118">
      <c r="A1118" s="37"/>
      <c r="B1118" s="35"/>
      <c r="C1118" s="31"/>
      <c r="D1118" s="32"/>
      <c r="E1118" s="34"/>
      <c r="F1118" s="34"/>
      <c r="G1118" s="39"/>
      <c r="H1118" s="39"/>
      <c r="I1118" s="35"/>
    </row>
    <row r="1119">
      <c r="A1119" s="37"/>
      <c r="B1119" s="35"/>
      <c r="C1119" s="31"/>
      <c r="D1119" s="32"/>
      <c r="E1119" s="34"/>
      <c r="F1119" s="34"/>
      <c r="G1119" s="39"/>
      <c r="H1119" s="39"/>
      <c r="I1119" s="35"/>
    </row>
    <row r="1120">
      <c r="A1120" s="37"/>
      <c r="B1120" s="35"/>
      <c r="C1120" s="31"/>
      <c r="D1120" s="32"/>
      <c r="E1120" s="34"/>
      <c r="F1120" s="34"/>
      <c r="G1120" s="39"/>
      <c r="H1120" s="39"/>
      <c r="I1120" s="35"/>
    </row>
    <row r="1121">
      <c r="A1121" s="37"/>
      <c r="B1121" s="35"/>
      <c r="C1121" s="31"/>
      <c r="D1121" s="32"/>
      <c r="E1121" s="34"/>
      <c r="F1121" s="34"/>
      <c r="G1121" s="39"/>
      <c r="H1121" s="39"/>
      <c r="I1121" s="35"/>
    </row>
    <row r="1122">
      <c r="A1122" s="37"/>
      <c r="B1122" s="35"/>
      <c r="C1122" s="31"/>
      <c r="D1122" s="32"/>
      <c r="E1122" s="34"/>
      <c r="F1122" s="34"/>
      <c r="G1122" s="39"/>
      <c r="H1122" s="39"/>
      <c r="I1122" s="35"/>
    </row>
    <row r="1123">
      <c r="A1123" s="37"/>
      <c r="B1123" s="35"/>
      <c r="C1123" s="31"/>
      <c r="D1123" s="32"/>
      <c r="E1123" s="34"/>
      <c r="F1123" s="34"/>
      <c r="G1123" s="39"/>
      <c r="H1123" s="39"/>
      <c r="I1123" s="35"/>
    </row>
    <row r="1124">
      <c r="A1124" s="37"/>
      <c r="B1124" s="35"/>
      <c r="C1124" s="31"/>
      <c r="D1124" s="32"/>
      <c r="E1124" s="34"/>
      <c r="F1124" s="34"/>
      <c r="G1124" s="39"/>
      <c r="H1124" s="39"/>
      <c r="I1124" s="35"/>
    </row>
    <row r="1125">
      <c r="A1125" s="37"/>
      <c r="B1125" s="35"/>
      <c r="C1125" s="31"/>
      <c r="D1125" s="32"/>
      <c r="E1125" s="34"/>
      <c r="F1125" s="34"/>
      <c r="G1125" s="39"/>
      <c r="H1125" s="39"/>
      <c r="I1125" s="35"/>
    </row>
    <row r="1126">
      <c r="A1126" s="37"/>
      <c r="B1126" s="35"/>
      <c r="C1126" s="31"/>
      <c r="D1126" s="32"/>
      <c r="E1126" s="34"/>
      <c r="F1126" s="34"/>
      <c r="G1126" s="39"/>
      <c r="H1126" s="39"/>
      <c r="I1126" s="35"/>
    </row>
    <row r="1127">
      <c r="A1127" s="37"/>
      <c r="B1127" s="35"/>
      <c r="C1127" s="31"/>
      <c r="D1127" s="32"/>
      <c r="E1127" s="34"/>
      <c r="F1127" s="34"/>
      <c r="G1127" s="39"/>
      <c r="H1127" s="39"/>
      <c r="I1127" s="35"/>
    </row>
    <row r="1128">
      <c r="A1128" s="37"/>
      <c r="B1128" s="35"/>
      <c r="C1128" s="31"/>
      <c r="D1128" s="32"/>
      <c r="E1128" s="34"/>
      <c r="F1128" s="34"/>
      <c r="G1128" s="39"/>
      <c r="H1128" s="39"/>
      <c r="I1128" s="35"/>
    </row>
    <row r="1129">
      <c r="A1129" s="37"/>
      <c r="B1129" s="35"/>
      <c r="C1129" s="31"/>
      <c r="D1129" s="32"/>
      <c r="E1129" s="34"/>
      <c r="F1129" s="34"/>
      <c r="G1129" s="39"/>
      <c r="H1129" s="39"/>
      <c r="I1129" s="35"/>
    </row>
    <row r="1130">
      <c r="A1130" s="37"/>
      <c r="B1130" s="35"/>
      <c r="C1130" s="31"/>
      <c r="D1130" s="32"/>
      <c r="E1130" s="34"/>
      <c r="F1130" s="34"/>
      <c r="G1130" s="39"/>
      <c r="H1130" s="39"/>
      <c r="I1130" s="35"/>
    </row>
    <row r="1131">
      <c r="A1131" s="37"/>
      <c r="B1131" s="35"/>
      <c r="C1131" s="31"/>
      <c r="D1131" s="32"/>
      <c r="E1131" s="34"/>
      <c r="F1131" s="34"/>
      <c r="G1131" s="39"/>
      <c r="H1131" s="39"/>
      <c r="I1131" s="35"/>
    </row>
    <row r="1132">
      <c r="A1132" s="37"/>
      <c r="B1132" s="35"/>
      <c r="C1132" s="31"/>
      <c r="D1132" s="32"/>
      <c r="E1132" s="34"/>
      <c r="F1132" s="34"/>
      <c r="G1132" s="39"/>
      <c r="H1132" s="39"/>
      <c r="I1132" s="35"/>
    </row>
    <row r="1133">
      <c r="A1133" s="37"/>
      <c r="B1133" s="35"/>
      <c r="C1133" s="31"/>
      <c r="D1133" s="32"/>
      <c r="E1133" s="34"/>
      <c r="F1133" s="34"/>
      <c r="G1133" s="39"/>
      <c r="H1133" s="39"/>
      <c r="I1133" s="35"/>
    </row>
    <row r="1134">
      <c r="A1134" s="37"/>
      <c r="B1134" s="35"/>
      <c r="C1134" s="31"/>
      <c r="D1134" s="32"/>
      <c r="E1134" s="34"/>
      <c r="F1134" s="34"/>
      <c r="G1134" s="39"/>
      <c r="H1134" s="39"/>
      <c r="I1134" s="35"/>
    </row>
    <row r="1135">
      <c r="A1135" s="37"/>
      <c r="B1135" s="35"/>
      <c r="C1135" s="31"/>
      <c r="D1135" s="32"/>
      <c r="E1135" s="34"/>
      <c r="F1135" s="34"/>
      <c r="G1135" s="39"/>
      <c r="H1135" s="39"/>
      <c r="I1135" s="35"/>
    </row>
    <row r="1136">
      <c r="A1136" s="37"/>
      <c r="B1136" s="35"/>
      <c r="C1136" s="31"/>
      <c r="D1136" s="32"/>
      <c r="E1136" s="34"/>
      <c r="F1136" s="34"/>
      <c r="G1136" s="39"/>
      <c r="H1136" s="39"/>
      <c r="I1136" s="35"/>
    </row>
    <row r="1137">
      <c r="A1137" s="37"/>
      <c r="B1137" s="35"/>
      <c r="C1137" s="31"/>
      <c r="D1137" s="32"/>
      <c r="E1137" s="34"/>
      <c r="F1137" s="34"/>
      <c r="G1137" s="39"/>
      <c r="H1137" s="39"/>
      <c r="I1137" s="35"/>
    </row>
    <row r="1138">
      <c r="A1138" s="37"/>
      <c r="B1138" s="35"/>
      <c r="C1138" s="31"/>
      <c r="D1138" s="32"/>
      <c r="E1138" s="34"/>
      <c r="F1138" s="34"/>
      <c r="G1138" s="39"/>
      <c r="H1138" s="39"/>
      <c r="I1138" s="35"/>
    </row>
    <row r="1139">
      <c r="A1139" s="37"/>
      <c r="B1139" s="35"/>
      <c r="C1139" s="31"/>
      <c r="D1139" s="32"/>
      <c r="E1139" s="34"/>
      <c r="F1139" s="34"/>
      <c r="G1139" s="39"/>
      <c r="H1139" s="39"/>
      <c r="I1139" s="35"/>
    </row>
    <row r="1140">
      <c r="A1140" s="37"/>
      <c r="B1140" s="35"/>
      <c r="C1140" s="31"/>
      <c r="D1140" s="32"/>
      <c r="E1140" s="34"/>
      <c r="F1140" s="34"/>
      <c r="G1140" s="39"/>
      <c r="H1140" s="39"/>
      <c r="I1140" s="35"/>
    </row>
    <row r="1141">
      <c r="A1141" s="37"/>
      <c r="B1141" s="35"/>
      <c r="C1141" s="31"/>
      <c r="D1141" s="32"/>
      <c r="E1141" s="34"/>
      <c r="F1141" s="34"/>
      <c r="G1141" s="39"/>
      <c r="H1141" s="39"/>
      <c r="I1141" s="35"/>
    </row>
    <row r="1142">
      <c r="A1142" s="37"/>
      <c r="B1142" s="35"/>
      <c r="C1142" s="31"/>
      <c r="D1142" s="32"/>
      <c r="E1142" s="34"/>
      <c r="F1142" s="34"/>
      <c r="G1142" s="39"/>
      <c r="H1142" s="39"/>
      <c r="I1142" s="35"/>
    </row>
    <row r="1143">
      <c r="A1143" s="37"/>
      <c r="B1143" s="35"/>
      <c r="C1143" s="31"/>
      <c r="D1143" s="32"/>
      <c r="E1143" s="34"/>
      <c r="F1143" s="34"/>
      <c r="G1143" s="39"/>
      <c r="H1143" s="39"/>
      <c r="I1143" s="35"/>
    </row>
    <row r="1144">
      <c r="A1144" s="37"/>
      <c r="B1144" s="35"/>
      <c r="C1144" s="31"/>
      <c r="D1144" s="32"/>
      <c r="E1144" s="34"/>
      <c r="F1144" s="34"/>
      <c r="G1144" s="39"/>
      <c r="H1144" s="39"/>
      <c r="I1144" s="35"/>
    </row>
    <row r="1145">
      <c r="A1145" s="37"/>
      <c r="B1145" s="35"/>
      <c r="C1145" s="31"/>
      <c r="D1145" s="32"/>
      <c r="E1145" s="34"/>
      <c r="F1145" s="34"/>
      <c r="G1145" s="39"/>
      <c r="H1145" s="39"/>
      <c r="I1145" s="35"/>
    </row>
    <row r="1146">
      <c r="A1146" s="37"/>
      <c r="B1146" s="35"/>
      <c r="C1146" s="31"/>
      <c r="D1146" s="32"/>
      <c r="E1146" s="34"/>
      <c r="F1146" s="34"/>
      <c r="G1146" s="39"/>
      <c r="H1146" s="39"/>
      <c r="I1146" s="35"/>
    </row>
    <row r="1147">
      <c r="A1147" s="37"/>
      <c r="B1147" s="35"/>
      <c r="C1147" s="31"/>
      <c r="D1147" s="32"/>
      <c r="E1147" s="34"/>
      <c r="F1147" s="34"/>
      <c r="G1147" s="39"/>
      <c r="H1147" s="39"/>
      <c r="I1147" s="35"/>
    </row>
    <row r="1148">
      <c r="A1148" s="37"/>
      <c r="B1148" s="35"/>
      <c r="C1148" s="31"/>
      <c r="D1148" s="32"/>
      <c r="E1148" s="34"/>
      <c r="F1148" s="34"/>
      <c r="G1148" s="39"/>
      <c r="H1148" s="39"/>
      <c r="I1148" s="35"/>
    </row>
    <row r="1149">
      <c r="A1149" s="37"/>
      <c r="B1149" s="35"/>
      <c r="C1149" s="31"/>
      <c r="D1149" s="32"/>
      <c r="E1149" s="34"/>
      <c r="F1149" s="34"/>
      <c r="G1149" s="39"/>
      <c r="H1149" s="39"/>
      <c r="I1149" s="35"/>
    </row>
    <row r="1150">
      <c r="A1150" s="37"/>
      <c r="B1150" s="35"/>
      <c r="C1150" s="31"/>
      <c r="D1150" s="32"/>
      <c r="E1150" s="34"/>
      <c r="F1150" s="34"/>
      <c r="G1150" s="39"/>
      <c r="H1150" s="39"/>
      <c r="I1150" s="35"/>
    </row>
    <row r="1151">
      <c r="A1151" s="37"/>
      <c r="B1151" s="35"/>
      <c r="C1151" s="31"/>
      <c r="D1151" s="32"/>
      <c r="E1151" s="34"/>
      <c r="F1151" s="34"/>
      <c r="G1151" s="39"/>
      <c r="H1151" s="39"/>
      <c r="I1151" s="35"/>
    </row>
    <row r="1152">
      <c r="A1152" s="37"/>
      <c r="B1152" s="35"/>
      <c r="C1152" s="31"/>
      <c r="D1152" s="32"/>
      <c r="E1152" s="34"/>
      <c r="F1152" s="34"/>
      <c r="G1152" s="39"/>
      <c r="H1152" s="39"/>
      <c r="I1152" s="35"/>
    </row>
    <row r="1153">
      <c r="A1153" s="37"/>
      <c r="B1153" s="35"/>
      <c r="C1153" s="31"/>
      <c r="D1153" s="32"/>
      <c r="E1153" s="34"/>
      <c r="F1153" s="34"/>
      <c r="G1153" s="39"/>
      <c r="H1153" s="39"/>
      <c r="I1153" s="35"/>
    </row>
    <row r="1154">
      <c r="A1154" s="37"/>
      <c r="B1154" s="35"/>
      <c r="C1154" s="31"/>
      <c r="D1154" s="32"/>
      <c r="E1154" s="34"/>
      <c r="F1154" s="34"/>
      <c r="G1154" s="39"/>
      <c r="H1154" s="39"/>
      <c r="I1154" s="35"/>
    </row>
    <row r="1155">
      <c r="A1155" s="37"/>
      <c r="B1155" s="35"/>
      <c r="C1155" s="31"/>
      <c r="D1155" s="32"/>
      <c r="E1155" s="34"/>
      <c r="F1155" s="34"/>
      <c r="G1155" s="39"/>
      <c r="H1155" s="39"/>
      <c r="I1155" s="35"/>
    </row>
    <row r="1156">
      <c r="A1156" s="37"/>
      <c r="B1156" s="35"/>
      <c r="C1156" s="31"/>
      <c r="D1156" s="32"/>
      <c r="E1156" s="34"/>
      <c r="F1156" s="34"/>
      <c r="G1156" s="39"/>
      <c r="H1156" s="39"/>
      <c r="I1156" s="35"/>
    </row>
    <row r="1157">
      <c r="A1157" s="37"/>
      <c r="B1157" s="35"/>
      <c r="C1157" s="31"/>
      <c r="D1157" s="32"/>
      <c r="E1157" s="34"/>
      <c r="F1157" s="34"/>
      <c r="G1157" s="39"/>
      <c r="H1157" s="39"/>
      <c r="I1157" s="35"/>
    </row>
    <row r="1158">
      <c r="A1158" s="37"/>
      <c r="B1158" s="35"/>
      <c r="C1158" s="31"/>
      <c r="D1158" s="32"/>
      <c r="E1158" s="34"/>
      <c r="F1158" s="34"/>
      <c r="G1158" s="39"/>
      <c r="H1158" s="39"/>
      <c r="I1158" s="35"/>
    </row>
    <row r="1159">
      <c r="A1159" s="37"/>
      <c r="B1159" s="35"/>
      <c r="C1159" s="31"/>
      <c r="D1159" s="32"/>
      <c r="E1159" s="34"/>
      <c r="F1159" s="34"/>
      <c r="G1159" s="39"/>
      <c r="H1159" s="39"/>
      <c r="I1159" s="35"/>
    </row>
    <row r="1160">
      <c r="A1160" s="37"/>
      <c r="B1160" s="35"/>
      <c r="C1160" s="31"/>
      <c r="D1160" s="32"/>
      <c r="E1160" s="34"/>
      <c r="F1160" s="34"/>
      <c r="G1160" s="39"/>
      <c r="H1160" s="39"/>
      <c r="I1160" s="35"/>
    </row>
    <row r="1161">
      <c r="A1161" s="37"/>
      <c r="B1161" s="35"/>
      <c r="C1161" s="31"/>
      <c r="D1161" s="32"/>
      <c r="E1161" s="34"/>
      <c r="F1161" s="34"/>
      <c r="G1161" s="39"/>
      <c r="H1161" s="39"/>
      <c r="I1161" s="35"/>
    </row>
    <row r="1162">
      <c r="A1162" s="37"/>
      <c r="B1162" s="35"/>
      <c r="C1162" s="31"/>
      <c r="D1162" s="32"/>
      <c r="E1162" s="34"/>
      <c r="F1162" s="34"/>
      <c r="G1162" s="39"/>
      <c r="H1162" s="39"/>
      <c r="I1162" s="35"/>
    </row>
    <row r="1163">
      <c r="A1163" s="37"/>
      <c r="B1163" s="35"/>
      <c r="C1163" s="31"/>
      <c r="D1163" s="32"/>
      <c r="E1163" s="34"/>
      <c r="F1163" s="34"/>
      <c r="G1163" s="39"/>
      <c r="H1163" s="39"/>
      <c r="I1163" s="35"/>
    </row>
    <row r="1164">
      <c r="A1164" s="37"/>
      <c r="B1164" s="35"/>
      <c r="C1164" s="31"/>
      <c r="D1164" s="32"/>
      <c r="E1164" s="34"/>
      <c r="F1164" s="34"/>
      <c r="G1164" s="39"/>
      <c r="H1164" s="39"/>
      <c r="I1164" s="35"/>
    </row>
    <row r="1165">
      <c r="A1165" s="37"/>
      <c r="B1165" s="35"/>
      <c r="C1165" s="31"/>
      <c r="D1165" s="32"/>
      <c r="E1165" s="34"/>
      <c r="F1165" s="34"/>
      <c r="G1165" s="39"/>
      <c r="H1165" s="39"/>
      <c r="I1165" s="35"/>
    </row>
    <row r="1166">
      <c r="A1166" s="37"/>
      <c r="B1166" s="35"/>
      <c r="C1166" s="31"/>
      <c r="D1166" s="32"/>
      <c r="E1166" s="34"/>
      <c r="F1166" s="34"/>
      <c r="G1166" s="39"/>
      <c r="H1166" s="39"/>
      <c r="I1166" s="35"/>
    </row>
    <row r="1167">
      <c r="A1167" s="37"/>
      <c r="B1167" s="35"/>
      <c r="C1167" s="31"/>
      <c r="D1167" s="32"/>
      <c r="E1167" s="34"/>
      <c r="F1167" s="34"/>
      <c r="G1167" s="39"/>
      <c r="H1167" s="39"/>
      <c r="I1167" s="35"/>
    </row>
    <row r="1168">
      <c r="A1168" s="37"/>
      <c r="B1168" s="35"/>
      <c r="C1168" s="31"/>
      <c r="D1168" s="32"/>
      <c r="E1168" s="34"/>
      <c r="F1168" s="34"/>
      <c r="G1168" s="39"/>
      <c r="H1168" s="39"/>
      <c r="I1168" s="35"/>
    </row>
    <row r="1169">
      <c r="A1169" s="37"/>
      <c r="B1169" s="35"/>
      <c r="C1169" s="31"/>
      <c r="D1169" s="32"/>
      <c r="E1169" s="34"/>
      <c r="F1169" s="34"/>
      <c r="G1169" s="39"/>
      <c r="H1169" s="39"/>
      <c r="I1169" s="35"/>
    </row>
    <row r="1170">
      <c r="A1170" s="37"/>
      <c r="B1170" s="35"/>
      <c r="C1170" s="31"/>
      <c r="D1170" s="32"/>
      <c r="E1170" s="34"/>
      <c r="F1170" s="34"/>
      <c r="G1170" s="39"/>
      <c r="H1170" s="39"/>
      <c r="I1170" s="35"/>
    </row>
    <row r="1171">
      <c r="A1171" s="37"/>
      <c r="B1171" s="35"/>
      <c r="C1171" s="31"/>
      <c r="D1171" s="32"/>
      <c r="E1171" s="34"/>
      <c r="F1171" s="34"/>
      <c r="G1171" s="39"/>
      <c r="H1171" s="39"/>
      <c r="I1171" s="35"/>
    </row>
    <row r="1172">
      <c r="A1172" s="37"/>
      <c r="B1172" s="35"/>
      <c r="C1172" s="31"/>
      <c r="D1172" s="32"/>
      <c r="E1172" s="34"/>
      <c r="F1172" s="34"/>
      <c r="G1172" s="39"/>
      <c r="H1172" s="39"/>
      <c r="I1172" s="35"/>
    </row>
    <row r="1173">
      <c r="A1173" s="37"/>
      <c r="B1173" s="35"/>
      <c r="C1173" s="31"/>
      <c r="D1173" s="32"/>
      <c r="E1173" s="34"/>
      <c r="F1173" s="34"/>
      <c r="G1173" s="39"/>
      <c r="H1173" s="39"/>
      <c r="I1173" s="35"/>
    </row>
    <row r="1174">
      <c r="A1174" s="37"/>
      <c r="B1174" s="35"/>
      <c r="C1174" s="31"/>
      <c r="D1174" s="32"/>
      <c r="E1174" s="34"/>
      <c r="F1174" s="34"/>
      <c r="G1174" s="39"/>
      <c r="H1174" s="39"/>
      <c r="I1174" s="35"/>
    </row>
    <row r="1175">
      <c r="A1175" s="37"/>
      <c r="B1175" s="35"/>
      <c r="C1175" s="31"/>
      <c r="D1175" s="32"/>
      <c r="E1175" s="34"/>
      <c r="F1175" s="34"/>
      <c r="G1175" s="39"/>
      <c r="H1175" s="39"/>
      <c r="I1175" s="35"/>
    </row>
    <row r="1176">
      <c r="A1176" s="37"/>
      <c r="B1176" s="35"/>
      <c r="C1176" s="31"/>
      <c r="D1176" s="32"/>
      <c r="E1176" s="34"/>
      <c r="F1176" s="34"/>
      <c r="G1176" s="39"/>
      <c r="H1176" s="39"/>
      <c r="I1176" s="35"/>
    </row>
    <row r="1177">
      <c r="A1177" s="37"/>
      <c r="B1177" s="35"/>
      <c r="C1177" s="31"/>
      <c r="D1177" s="32"/>
      <c r="E1177" s="34"/>
      <c r="F1177" s="34"/>
      <c r="G1177" s="39"/>
      <c r="H1177" s="39"/>
      <c r="I1177" s="35"/>
    </row>
    <row r="1178">
      <c r="A1178" s="37"/>
      <c r="B1178" s="35"/>
      <c r="C1178" s="31"/>
      <c r="D1178" s="32"/>
      <c r="E1178" s="34"/>
      <c r="F1178" s="34"/>
      <c r="G1178" s="39"/>
      <c r="H1178" s="39"/>
      <c r="I1178" s="35"/>
    </row>
    <row r="1179">
      <c r="A1179" s="37"/>
      <c r="B1179" s="35"/>
      <c r="C1179" s="31"/>
      <c r="D1179" s="32"/>
      <c r="E1179" s="34"/>
      <c r="F1179" s="34"/>
      <c r="G1179" s="39"/>
      <c r="H1179" s="39"/>
      <c r="I1179" s="35"/>
    </row>
    <row r="1180">
      <c r="A1180" s="37"/>
      <c r="B1180" s="35"/>
      <c r="C1180" s="31"/>
      <c r="D1180" s="32"/>
      <c r="E1180" s="34"/>
      <c r="F1180" s="34"/>
      <c r="G1180" s="39"/>
      <c r="H1180" s="39"/>
      <c r="I1180" s="35"/>
    </row>
    <row r="1181">
      <c r="A1181" s="37"/>
      <c r="B1181" s="35"/>
      <c r="C1181" s="31"/>
      <c r="D1181" s="32"/>
      <c r="E1181" s="34"/>
      <c r="F1181" s="34"/>
      <c r="G1181" s="39"/>
      <c r="H1181" s="39"/>
      <c r="I1181" s="35"/>
    </row>
    <row r="1182">
      <c r="A1182" s="37"/>
      <c r="B1182" s="35"/>
      <c r="C1182" s="31"/>
      <c r="D1182" s="32"/>
      <c r="E1182" s="34"/>
      <c r="F1182" s="34"/>
      <c r="G1182" s="39"/>
      <c r="H1182" s="39"/>
      <c r="I1182" s="35"/>
    </row>
    <row r="1183">
      <c r="A1183" s="37"/>
      <c r="B1183" s="35"/>
      <c r="C1183" s="31"/>
      <c r="D1183" s="32"/>
      <c r="E1183" s="34"/>
      <c r="F1183" s="34"/>
      <c r="G1183" s="39"/>
      <c r="H1183" s="39"/>
      <c r="I1183" s="35"/>
    </row>
    <row r="1184">
      <c r="A1184" s="37"/>
      <c r="B1184" s="35"/>
      <c r="C1184" s="31"/>
      <c r="D1184" s="32"/>
      <c r="E1184" s="34"/>
      <c r="F1184" s="34"/>
      <c r="G1184" s="39"/>
      <c r="H1184" s="39"/>
      <c r="I1184" s="35"/>
    </row>
    <row r="1185">
      <c r="A1185" s="37"/>
      <c r="B1185" s="35"/>
      <c r="C1185" s="31"/>
      <c r="D1185" s="32"/>
      <c r="E1185" s="34"/>
      <c r="F1185" s="34"/>
      <c r="G1185" s="39"/>
      <c r="H1185" s="39"/>
      <c r="I1185" s="35"/>
    </row>
    <row r="1186">
      <c r="A1186" s="37"/>
      <c r="B1186" s="35"/>
      <c r="C1186" s="31"/>
      <c r="D1186" s="32"/>
      <c r="E1186" s="34"/>
      <c r="F1186" s="34"/>
      <c r="G1186" s="39"/>
      <c r="H1186" s="39"/>
      <c r="I1186" s="35"/>
    </row>
    <row r="1187">
      <c r="A1187" s="37"/>
      <c r="B1187" s="35"/>
      <c r="C1187" s="31"/>
      <c r="D1187" s="32"/>
      <c r="E1187" s="34"/>
      <c r="F1187" s="34"/>
      <c r="G1187" s="39"/>
      <c r="H1187" s="39"/>
      <c r="I1187" s="35"/>
    </row>
    <row r="1188">
      <c r="A1188" s="37"/>
      <c r="B1188" s="35"/>
      <c r="C1188" s="31"/>
      <c r="D1188" s="32"/>
      <c r="E1188" s="34"/>
      <c r="F1188" s="34"/>
      <c r="G1188" s="39"/>
      <c r="H1188" s="39"/>
      <c r="I1188" s="35"/>
    </row>
    <row r="1189">
      <c r="A1189" s="37"/>
      <c r="B1189" s="35"/>
      <c r="C1189" s="31"/>
      <c r="D1189" s="32"/>
      <c r="E1189" s="34"/>
      <c r="F1189" s="34"/>
      <c r="G1189" s="39"/>
      <c r="H1189" s="39"/>
      <c r="I1189" s="35"/>
    </row>
    <row r="1190">
      <c r="A1190" s="37"/>
      <c r="B1190" s="35"/>
      <c r="C1190" s="31"/>
      <c r="D1190" s="32"/>
      <c r="E1190" s="34"/>
      <c r="F1190" s="34"/>
      <c r="G1190" s="39"/>
      <c r="H1190" s="39"/>
      <c r="I1190" s="35"/>
    </row>
    <row r="1191">
      <c r="A1191" s="37"/>
      <c r="B1191" s="35"/>
      <c r="C1191" s="31"/>
      <c r="D1191" s="32"/>
      <c r="E1191" s="34"/>
      <c r="F1191" s="34"/>
      <c r="G1191" s="39"/>
      <c r="H1191" s="39"/>
      <c r="I1191" s="35"/>
    </row>
    <row r="1192">
      <c r="A1192" s="37"/>
      <c r="B1192" s="35"/>
      <c r="C1192" s="31"/>
      <c r="D1192" s="32"/>
      <c r="E1192" s="34"/>
      <c r="F1192" s="34"/>
      <c r="G1192" s="39"/>
      <c r="H1192" s="39"/>
      <c r="I1192" s="35"/>
    </row>
    <row r="1193">
      <c r="A1193" s="37"/>
      <c r="B1193" s="35"/>
      <c r="C1193" s="31"/>
      <c r="D1193" s="32"/>
      <c r="E1193" s="34"/>
      <c r="F1193" s="34"/>
      <c r="G1193" s="39"/>
      <c r="H1193" s="39"/>
      <c r="I1193" s="35"/>
    </row>
    <row r="1194">
      <c r="A1194" s="37"/>
      <c r="B1194" s="35"/>
      <c r="C1194" s="31"/>
      <c r="D1194" s="32"/>
      <c r="E1194" s="34"/>
      <c r="F1194" s="34"/>
      <c r="G1194" s="39"/>
      <c r="H1194" s="39"/>
      <c r="I1194" s="35"/>
    </row>
    <row r="1195">
      <c r="A1195" s="37"/>
      <c r="B1195" s="35"/>
      <c r="C1195" s="31"/>
      <c r="D1195" s="32"/>
      <c r="E1195" s="34"/>
      <c r="F1195" s="34"/>
      <c r="G1195" s="39"/>
      <c r="H1195" s="39"/>
      <c r="I1195" s="35"/>
    </row>
    <row r="1196">
      <c r="A1196" s="37"/>
      <c r="B1196" s="35"/>
      <c r="C1196" s="31"/>
      <c r="D1196" s="32"/>
      <c r="E1196" s="34"/>
      <c r="F1196" s="34"/>
      <c r="G1196" s="39"/>
      <c r="H1196" s="39"/>
      <c r="I1196" s="35"/>
    </row>
    <row r="1197">
      <c r="A1197" s="37"/>
      <c r="B1197" s="35"/>
      <c r="C1197" s="31"/>
      <c r="D1197" s="32"/>
      <c r="E1197" s="34"/>
      <c r="F1197" s="34"/>
      <c r="G1197" s="39"/>
      <c r="H1197" s="39"/>
      <c r="I1197" s="35"/>
    </row>
    <row r="1198">
      <c r="A1198" s="37"/>
      <c r="B1198" s="35"/>
      <c r="C1198" s="31"/>
      <c r="D1198" s="32"/>
      <c r="E1198" s="34"/>
      <c r="F1198" s="34"/>
      <c r="G1198" s="39"/>
      <c r="H1198" s="39"/>
      <c r="I1198" s="35"/>
    </row>
    <row r="1199">
      <c r="A1199" s="37"/>
      <c r="B1199" s="35"/>
      <c r="C1199" s="31"/>
      <c r="D1199" s="32"/>
      <c r="E1199" s="34"/>
      <c r="F1199" s="34"/>
      <c r="G1199" s="39"/>
      <c r="H1199" s="39"/>
      <c r="I1199" s="35"/>
    </row>
    <row r="1200">
      <c r="A1200" s="37"/>
      <c r="B1200" s="35"/>
      <c r="C1200" s="31"/>
      <c r="D1200" s="32"/>
      <c r="E1200" s="34"/>
      <c r="F1200" s="34"/>
      <c r="G1200" s="39"/>
      <c r="H1200" s="39"/>
      <c r="I1200" s="35"/>
    </row>
    <row r="1201">
      <c r="A1201" s="37"/>
      <c r="B1201" s="35"/>
      <c r="C1201" s="31"/>
      <c r="D1201" s="32"/>
      <c r="E1201" s="34"/>
      <c r="F1201" s="34"/>
      <c r="G1201" s="39"/>
      <c r="H1201" s="39"/>
      <c r="I1201" s="35"/>
    </row>
    <row r="1202">
      <c r="A1202" s="37"/>
      <c r="B1202" s="35"/>
      <c r="C1202" s="31"/>
      <c r="D1202" s="32"/>
      <c r="E1202" s="34"/>
      <c r="F1202" s="34"/>
      <c r="G1202" s="39"/>
      <c r="H1202" s="39"/>
      <c r="I1202" s="35"/>
    </row>
    <row r="1203">
      <c r="A1203" s="37"/>
      <c r="B1203" s="35"/>
      <c r="C1203" s="31"/>
      <c r="D1203" s="32"/>
      <c r="E1203" s="34"/>
      <c r="F1203" s="34"/>
      <c r="G1203" s="39"/>
      <c r="H1203" s="39"/>
      <c r="I1203" s="35"/>
    </row>
    <row r="1204">
      <c r="A1204" s="37"/>
      <c r="B1204" s="35"/>
      <c r="C1204" s="31"/>
      <c r="D1204" s="32"/>
      <c r="E1204" s="34"/>
      <c r="F1204" s="34"/>
      <c r="G1204" s="39"/>
      <c r="H1204" s="39"/>
      <c r="I1204" s="35"/>
    </row>
    <row r="1205">
      <c r="A1205" s="37"/>
      <c r="B1205" s="35"/>
      <c r="C1205" s="31"/>
      <c r="D1205" s="32"/>
      <c r="E1205" s="34"/>
      <c r="F1205" s="34"/>
      <c r="G1205" s="39"/>
      <c r="H1205" s="39"/>
      <c r="I1205" s="35"/>
    </row>
    <row r="1206">
      <c r="A1206" s="37"/>
      <c r="B1206" s="35"/>
      <c r="C1206" s="31"/>
      <c r="D1206" s="32"/>
      <c r="E1206" s="34"/>
      <c r="F1206" s="34"/>
      <c r="G1206" s="39"/>
      <c r="H1206" s="39"/>
      <c r="I1206" s="35"/>
    </row>
    <row r="1207">
      <c r="A1207" s="37"/>
      <c r="B1207" s="35"/>
      <c r="C1207" s="31"/>
      <c r="D1207" s="32"/>
      <c r="E1207" s="34"/>
      <c r="F1207" s="34"/>
      <c r="G1207" s="39"/>
      <c r="H1207" s="39"/>
      <c r="I1207" s="35"/>
    </row>
    <row r="1208">
      <c r="A1208" s="37"/>
      <c r="B1208" s="35"/>
      <c r="C1208" s="31"/>
      <c r="D1208" s="32"/>
      <c r="E1208" s="34"/>
      <c r="F1208" s="34"/>
      <c r="G1208" s="39"/>
      <c r="H1208" s="39"/>
      <c r="I1208" s="35"/>
    </row>
    <row r="1209">
      <c r="A1209" s="37"/>
      <c r="B1209" s="35"/>
      <c r="C1209" s="31"/>
      <c r="D1209" s="32"/>
      <c r="E1209" s="34"/>
      <c r="F1209" s="34"/>
      <c r="G1209" s="39"/>
      <c r="H1209" s="39"/>
      <c r="I1209" s="35"/>
    </row>
    <row r="1210">
      <c r="A1210" s="37"/>
      <c r="B1210" s="35"/>
      <c r="C1210" s="31"/>
      <c r="D1210" s="32"/>
      <c r="E1210" s="34"/>
      <c r="F1210" s="34"/>
      <c r="G1210" s="39"/>
      <c r="H1210" s="39"/>
      <c r="I1210" s="35"/>
    </row>
    <row r="1211">
      <c r="A1211" s="37"/>
      <c r="B1211" s="35"/>
      <c r="C1211" s="31"/>
      <c r="D1211" s="32"/>
      <c r="E1211" s="34"/>
      <c r="F1211" s="34"/>
      <c r="G1211" s="39"/>
      <c r="H1211" s="39"/>
      <c r="I1211" s="35"/>
    </row>
    <row r="1212">
      <c r="A1212" s="37"/>
      <c r="B1212" s="35"/>
      <c r="C1212" s="31"/>
      <c r="D1212" s="32"/>
      <c r="E1212" s="34"/>
      <c r="F1212" s="34"/>
      <c r="G1212" s="39"/>
      <c r="H1212" s="39"/>
      <c r="I1212" s="35"/>
    </row>
    <row r="1213">
      <c r="A1213" s="37"/>
      <c r="B1213" s="35"/>
      <c r="C1213" s="31"/>
      <c r="D1213" s="32"/>
      <c r="E1213" s="34"/>
      <c r="F1213" s="34"/>
      <c r="G1213" s="39"/>
      <c r="H1213" s="39"/>
      <c r="I1213" s="35"/>
    </row>
    <row r="1214">
      <c r="A1214" s="37"/>
      <c r="B1214" s="35"/>
      <c r="C1214" s="31"/>
      <c r="D1214" s="32"/>
      <c r="E1214" s="34"/>
      <c r="F1214" s="34"/>
      <c r="G1214" s="39"/>
      <c r="H1214" s="39"/>
      <c r="I1214" s="35"/>
    </row>
    <row r="1215">
      <c r="A1215" s="37"/>
      <c r="B1215" s="35"/>
      <c r="C1215" s="31"/>
      <c r="D1215" s="32"/>
      <c r="E1215" s="34"/>
      <c r="F1215" s="34"/>
      <c r="G1215" s="39"/>
      <c r="H1215" s="39"/>
      <c r="I1215" s="35"/>
    </row>
    <row r="1216">
      <c r="A1216" s="37"/>
      <c r="B1216" s="35"/>
      <c r="C1216" s="31"/>
      <c r="D1216" s="32"/>
      <c r="E1216" s="34"/>
      <c r="F1216" s="34"/>
      <c r="G1216" s="39"/>
      <c r="H1216" s="39"/>
      <c r="I1216" s="35"/>
    </row>
    <row r="1217">
      <c r="A1217" s="37"/>
      <c r="B1217" s="35"/>
      <c r="C1217" s="31"/>
      <c r="D1217" s="32"/>
      <c r="E1217" s="34"/>
      <c r="F1217" s="34"/>
      <c r="G1217" s="39"/>
      <c r="H1217" s="39"/>
      <c r="I1217" s="35"/>
    </row>
    <row r="1218">
      <c r="A1218" s="37"/>
      <c r="B1218" s="35"/>
      <c r="C1218" s="31"/>
      <c r="D1218" s="32"/>
      <c r="E1218" s="34"/>
      <c r="F1218" s="34"/>
      <c r="G1218" s="39"/>
      <c r="H1218" s="39"/>
      <c r="I1218" s="35"/>
    </row>
    <row r="1219">
      <c r="A1219" s="37"/>
      <c r="B1219" s="35"/>
      <c r="C1219" s="31"/>
      <c r="D1219" s="32"/>
      <c r="E1219" s="34"/>
      <c r="F1219" s="34"/>
      <c r="G1219" s="39"/>
      <c r="H1219" s="39"/>
      <c r="I1219" s="35"/>
    </row>
    <row r="1220">
      <c r="A1220" s="37"/>
      <c r="B1220" s="35"/>
      <c r="C1220" s="31"/>
      <c r="D1220" s="32"/>
      <c r="E1220" s="34"/>
      <c r="F1220" s="34"/>
      <c r="G1220" s="39"/>
      <c r="H1220" s="39"/>
      <c r="I1220" s="35"/>
    </row>
    <row r="1221">
      <c r="A1221" s="37"/>
      <c r="B1221" s="35"/>
      <c r="C1221" s="31"/>
      <c r="D1221" s="32"/>
      <c r="E1221" s="34"/>
      <c r="F1221" s="34"/>
      <c r="G1221" s="39"/>
      <c r="H1221" s="39"/>
      <c r="I1221" s="35"/>
    </row>
    <row r="1222">
      <c r="A1222" s="37"/>
      <c r="B1222" s="35"/>
      <c r="C1222" s="31"/>
      <c r="D1222" s="32"/>
      <c r="E1222" s="34"/>
      <c r="F1222" s="34"/>
      <c r="G1222" s="39"/>
      <c r="H1222" s="39"/>
      <c r="I1222" s="35"/>
    </row>
    <row r="1223">
      <c r="A1223" s="37"/>
      <c r="B1223" s="35"/>
      <c r="C1223" s="31"/>
      <c r="D1223" s="32"/>
      <c r="E1223" s="34"/>
      <c r="F1223" s="34"/>
      <c r="G1223" s="39"/>
      <c r="H1223" s="39"/>
      <c r="I1223" s="35"/>
    </row>
    <row r="1224">
      <c r="A1224" s="37"/>
      <c r="B1224" s="35"/>
      <c r="C1224" s="31"/>
      <c r="D1224" s="32"/>
      <c r="E1224" s="34"/>
      <c r="F1224" s="34"/>
      <c r="G1224" s="39"/>
      <c r="H1224" s="39"/>
      <c r="I1224" s="35"/>
    </row>
    <row r="1225">
      <c r="A1225" s="37"/>
      <c r="B1225" s="35"/>
      <c r="C1225" s="31"/>
      <c r="D1225" s="32"/>
      <c r="E1225" s="34"/>
      <c r="F1225" s="34"/>
      <c r="G1225" s="39"/>
      <c r="H1225" s="39"/>
      <c r="I1225" s="35"/>
    </row>
    <row r="1226">
      <c r="A1226" s="37"/>
      <c r="B1226" s="35"/>
      <c r="C1226" s="31"/>
      <c r="D1226" s="32"/>
      <c r="E1226" s="34"/>
      <c r="F1226" s="34"/>
      <c r="G1226" s="39"/>
      <c r="H1226" s="39"/>
      <c r="I1226" s="35"/>
    </row>
    <row r="1227">
      <c r="A1227" s="37"/>
      <c r="B1227" s="35"/>
      <c r="C1227" s="31"/>
      <c r="D1227" s="32"/>
      <c r="E1227" s="34"/>
      <c r="F1227" s="34"/>
      <c r="G1227" s="39"/>
      <c r="H1227" s="39"/>
      <c r="I1227" s="35"/>
    </row>
    <row r="1228">
      <c r="A1228" s="37"/>
      <c r="B1228" s="35"/>
      <c r="C1228" s="31"/>
      <c r="D1228" s="32"/>
      <c r="E1228" s="34"/>
      <c r="F1228" s="34"/>
      <c r="G1228" s="39"/>
      <c r="H1228" s="39"/>
      <c r="I1228" s="35"/>
    </row>
    <row r="1229">
      <c r="A1229" s="37"/>
      <c r="B1229" s="35"/>
      <c r="C1229" s="31"/>
      <c r="D1229" s="32"/>
      <c r="E1229" s="34"/>
      <c r="F1229" s="34"/>
      <c r="G1229" s="39"/>
      <c r="H1229" s="39"/>
      <c r="I1229" s="35"/>
    </row>
    <row r="1230">
      <c r="A1230" s="37"/>
      <c r="B1230" s="35"/>
      <c r="C1230" s="31"/>
      <c r="D1230" s="32"/>
      <c r="E1230" s="34"/>
      <c r="F1230" s="34"/>
      <c r="G1230" s="39"/>
      <c r="H1230" s="39"/>
      <c r="I1230" s="35"/>
    </row>
    <row r="1231">
      <c r="A1231" s="37"/>
      <c r="B1231" s="35"/>
      <c r="C1231" s="31"/>
      <c r="D1231" s="32"/>
      <c r="E1231" s="34"/>
      <c r="F1231" s="34"/>
      <c r="G1231" s="39"/>
      <c r="H1231" s="39"/>
      <c r="I1231" s="35"/>
    </row>
    <row r="1232">
      <c r="A1232" s="37"/>
      <c r="B1232" s="35"/>
      <c r="C1232" s="31"/>
      <c r="D1232" s="32"/>
      <c r="E1232" s="34"/>
      <c r="F1232" s="34"/>
      <c r="G1232" s="39"/>
      <c r="H1232" s="39"/>
      <c r="I1232" s="35"/>
    </row>
    <row r="1233">
      <c r="A1233" s="37"/>
      <c r="B1233" s="35"/>
      <c r="C1233" s="31"/>
      <c r="D1233" s="32"/>
      <c r="E1233" s="34"/>
      <c r="F1233" s="34"/>
      <c r="G1233" s="39"/>
      <c r="H1233" s="39"/>
      <c r="I1233" s="35"/>
    </row>
    <row r="1234">
      <c r="A1234" s="37"/>
      <c r="B1234" s="35"/>
      <c r="C1234" s="31"/>
      <c r="D1234" s="32"/>
      <c r="E1234" s="34"/>
      <c r="F1234" s="34"/>
      <c r="G1234" s="39"/>
      <c r="H1234" s="39"/>
      <c r="I1234" s="35"/>
    </row>
    <row r="1235">
      <c r="A1235" s="37"/>
      <c r="B1235" s="35"/>
      <c r="C1235" s="31"/>
      <c r="D1235" s="32"/>
      <c r="E1235" s="34"/>
      <c r="F1235" s="34"/>
      <c r="G1235" s="39"/>
      <c r="H1235" s="39"/>
      <c r="I1235" s="35"/>
    </row>
    <row r="1236">
      <c r="A1236" s="37"/>
      <c r="B1236" s="35"/>
      <c r="C1236" s="31"/>
      <c r="D1236" s="32"/>
      <c r="E1236" s="34"/>
      <c r="F1236" s="34"/>
      <c r="G1236" s="39"/>
      <c r="H1236" s="39"/>
      <c r="I1236" s="35"/>
    </row>
    <row r="1237">
      <c r="A1237" s="37"/>
      <c r="B1237" s="35"/>
      <c r="C1237" s="31"/>
      <c r="D1237" s="32"/>
      <c r="E1237" s="34"/>
      <c r="F1237" s="34"/>
      <c r="G1237" s="39"/>
      <c r="H1237" s="39"/>
      <c r="I1237" s="35"/>
    </row>
    <row r="1238">
      <c r="A1238" s="37"/>
      <c r="B1238" s="35"/>
      <c r="C1238" s="31"/>
      <c r="D1238" s="32"/>
      <c r="E1238" s="34"/>
      <c r="F1238" s="34"/>
      <c r="G1238" s="39"/>
      <c r="H1238" s="39"/>
      <c r="I1238" s="35"/>
    </row>
    <row r="1239">
      <c r="A1239" s="37"/>
      <c r="B1239" s="35"/>
      <c r="C1239" s="31"/>
      <c r="D1239" s="32"/>
      <c r="E1239" s="34"/>
      <c r="F1239" s="34"/>
      <c r="G1239" s="39"/>
      <c r="H1239" s="39"/>
      <c r="I1239" s="35"/>
    </row>
    <row r="1240">
      <c r="A1240" s="37"/>
      <c r="B1240" s="35"/>
      <c r="C1240" s="31"/>
      <c r="D1240" s="32"/>
      <c r="E1240" s="34"/>
      <c r="F1240" s="34"/>
      <c r="G1240" s="39"/>
      <c r="H1240" s="39"/>
      <c r="I1240" s="35"/>
    </row>
    <row r="1241">
      <c r="A1241" s="37"/>
      <c r="B1241" s="35"/>
      <c r="C1241" s="31"/>
      <c r="D1241" s="32"/>
      <c r="E1241" s="34"/>
      <c r="F1241" s="34"/>
      <c r="G1241" s="39"/>
      <c r="H1241" s="39"/>
      <c r="I1241" s="35"/>
    </row>
    <row r="1242">
      <c r="A1242" s="37"/>
      <c r="B1242" s="35"/>
      <c r="C1242" s="31"/>
      <c r="D1242" s="32"/>
      <c r="E1242" s="34"/>
      <c r="F1242" s="34"/>
      <c r="G1242" s="39"/>
      <c r="H1242" s="39"/>
      <c r="I1242" s="35"/>
    </row>
    <row r="1243">
      <c r="A1243" s="37"/>
      <c r="B1243" s="35"/>
      <c r="C1243" s="31"/>
      <c r="D1243" s="32"/>
      <c r="E1243" s="34"/>
      <c r="F1243" s="34"/>
      <c r="G1243" s="39"/>
      <c r="H1243" s="39"/>
      <c r="I1243" s="35"/>
    </row>
    <row r="1244">
      <c r="A1244" s="37"/>
      <c r="B1244" s="35"/>
      <c r="C1244" s="31"/>
      <c r="D1244" s="32"/>
      <c r="E1244" s="34"/>
      <c r="F1244" s="34"/>
      <c r="G1244" s="39"/>
      <c r="H1244" s="39"/>
      <c r="I1244" s="35"/>
    </row>
    <row r="1245">
      <c r="A1245" s="37"/>
      <c r="B1245" s="35"/>
      <c r="C1245" s="31"/>
      <c r="D1245" s="32"/>
      <c r="E1245" s="34"/>
      <c r="F1245" s="34"/>
      <c r="G1245" s="39"/>
      <c r="H1245" s="39"/>
      <c r="I1245" s="35"/>
    </row>
    <row r="1246">
      <c r="A1246" s="37"/>
      <c r="B1246" s="35"/>
      <c r="C1246" s="31"/>
      <c r="D1246" s="32"/>
      <c r="E1246" s="34"/>
      <c r="F1246" s="34"/>
      <c r="G1246" s="39"/>
      <c r="H1246" s="39"/>
      <c r="I1246" s="35"/>
    </row>
    <row r="1247">
      <c r="A1247" s="37"/>
      <c r="B1247" s="35"/>
      <c r="C1247" s="31"/>
      <c r="D1247" s="32"/>
      <c r="E1247" s="34"/>
      <c r="F1247" s="34"/>
      <c r="G1247" s="39"/>
      <c r="H1247" s="39"/>
      <c r="I1247" s="35"/>
    </row>
    <row r="1248">
      <c r="A1248" s="37"/>
      <c r="B1248" s="35"/>
      <c r="C1248" s="31"/>
      <c r="D1248" s="32"/>
      <c r="E1248" s="34"/>
      <c r="F1248" s="34"/>
      <c r="G1248" s="39"/>
      <c r="H1248" s="39"/>
      <c r="I1248" s="35"/>
    </row>
    <row r="1249">
      <c r="A1249" s="37"/>
      <c r="B1249" s="35"/>
      <c r="C1249" s="31"/>
      <c r="D1249" s="32"/>
      <c r="E1249" s="34"/>
      <c r="F1249" s="34"/>
      <c r="G1249" s="39"/>
      <c r="H1249" s="39"/>
      <c r="I1249" s="35"/>
    </row>
    <row r="1250">
      <c r="A1250" s="37"/>
      <c r="B1250" s="35"/>
      <c r="C1250" s="31"/>
      <c r="D1250" s="32"/>
      <c r="E1250" s="34"/>
      <c r="F1250" s="34"/>
      <c r="G1250" s="39"/>
      <c r="H1250" s="39"/>
      <c r="I1250" s="35"/>
    </row>
    <row r="1251">
      <c r="A1251" s="37"/>
      <c r="B1251" s="35"/>
      <c r="C1251" s="31"/>
      <c r="D1251" s="32"/>
      <c r="E1251" s="34"/>
      <c r="F1251" s="34"/>
      <c r="G1251" s="39"/>
      <c r="H1251" s="39"/>
      <c r="I1251" s="35"/>
    </row>
    <row r="1252">
      <c r="A1252" s="37"/>
      <c r="B1252" s="35"/>
      <c r="C1252" s="31"/>
      <c r="D1252" s="32"/>
      <c r="E1252" s="34"/>
      <c r="F1252" s="34"/>
      <c r="G1252" s="39"/>
      <c r="H1252" s="39"/>
      <c r="I1252" s="35"/>
    </row>
    <row r="1253">
      <c r="A1253" s="37"/>
      <c r="B1253" s="35"/>
      <c r="C1253" s="31"/>
      <c r="D1253" s="32"/>
      <c r="E1253" s="34"/>
      <c r="F1253" s="34"/>
      <c r="G1253" s="39"/>
      <c r="H1253" s="39"/>
      <c r="I1253" s="35"/>
    </row>
    <row r="1254">
      <c r="A1254" s="37"/>
      <c r="B1254" s="35"/>
      <c r="C1254" s="31"/>
      <c r="D1254" s="32"/>
      <c r="E1254" s="34"/>
      <c r="F1254" s="34"/>
      <c r="G1254" s="39"/>
      <c r="H1254" s="39"/>
      <c r="I1254" s="35"/>
    </row>
    <row r="1255">
      <c r="A1255" s="37"/>
      <c r="B1255" s="35"/>
      <c r="C1255" s="31"/>
      <c r="D1255" s="32"/>
      <c r="E1255" s="34"/>
      <c r="F1255" s="34"/>
      <c r="G1255" s="39"/>
      <c r="H1255" s="39"/>
      <c r="I1255" s="35"/>
    </row>
    <row r="1256">
      <c r="A1256" s="37"/>
      <c r="B1256" s="35"/>
      <c r="C1256" s="31"/>
      <c r="D1256" s="32"/>
      <c r="E1256" s="34"/>
      <c r="F1256" s="34"/>
      <c r="G1256" s="39"/>
      <c r="H1256" s="39"/>
      <c r="I1256" s="35"/>
    </row>
    <row r="1257">
      <c r="A1257" s="37"/>
      <c r="B1257" s="35"/>
      <c r="C1257" s="31"/>
      <c r="D1257" s="32"/>
      <c r="E1257" s="34"/>
      <c r="F1257" s="34"/>
      <c r="G1257" s="39"/>
      <c r="H1257" s="39"/>
      <c r="I1257" s="35"/>
    </row>
    <row r="1258">
      <c r="A1258" s="37"/>
      <c r="B1258" s="35"/>
      <c r="C1258" s="31"/>
      <c r="D1258" s="32"/>
      <c r="E1258" s="34"/>
      <c r="F1258" s="34"/>
      <c r="G1258" s="39"/>
      <c r="H1258" s="39"/>
      <c r="I1258" s="35"/>
    </row>
    <row r="1259">
      <c r="A1259" s="37"/>
      <c r="B1259" s="35"/>
      <c r="C1259" s="31"/>
      <c r="D1259" s="32"/>
      <c r="E1259" s="34"/>
      <c r="F1259" s="34"/>
      <c r="G1259" s="39"/>
      <c r="H1259" s="39"/>
      <c r="I1259" s="35"/>
    </row>
    <row r="1260">
      <c r="A1260" s="37"/>
      <c r="B1260" s="35"/>
      <c r="C1260" s="31"/>
      <c r="D1260" s="32"/>
      <c r="E1260" s="34"/>
      <c r="F1260" s="34"/>
      <c r="G1260" s="39"/>
      <c r="H1260" s="39"/>
      <c r="I1260" s="35"/>
    </row>
    <row r="1261">
      <c r="A1261" s="37"/>
      <c r="B1261" s="35"/>
      <c r="C1261" s="31"/>
      <c r="D1261" s="32"/>
      <c r="E1261" s="34"/>
      <c r="F1261" s="34"/>
      <c r="G1261" s="39"/>
      <c r="H1261" s="39"/>
      <c r="I1261" s="35"/>
    </row>
    <row r="1262">
      <c r="A1262" s="37"/>
      <c r="B1262" s="35"/>
      <c r="C1262" s="31"/>
      <c r="D1262" s="32"/>
      <c r="E1262" s="34"/>
      <c r="F1262" s="34"/>
      <c r="G1262" s="39"/>
      <c r="H1262" s="39"/>
      <c r="I1262" s="35"/>
    </row>
    <row r="1263">
      <c r="A1263" s="37"/>
      <c r="B1263" s="35"/>
      <c r="C1263" s="31"/>
      <c r="D1263" s="32"/>
      <c r="E1263" s="34"/>
      <c r="F1263" s="34"/>
      <c r="G1263" s="39"/>
      <c r="H1263" s="39"/>
      <c r="I1263" s="35"/>
    </row>
    <row r="1264">
      <c r="A1264" s="37"/>
      <c r="B1264" s="35"/>
      <c r="C1264" s="31"/>
      <c r="D1264" s="32"/>
      <c r="E1264" s="34"/>
      <c r="F1264" s="34"/>
      <c r="G1264" s="39"/>
      <c r="H1264" s="39"/>
      <c r="I1264" s="35"/>
    </row>
    <row r="1265">
      <c r="A1265" s="37"/>
      <c r="B1265" s="35"/>
      <c r="C1265" s="31"/>
      <c r="D1265" s="32"/>
      <c r="E1265" s="34"/>
      <c r="F1265" s="34"/>
      <c r="G1265" s="39"/>
      <c r="H1265" s="39"/>
      <c r="I1265" s="35"/>
    </row>
    <row r="1266">
      <c r="A1266" s="37"/>
      <c r="B1266" s="35"/>
      <c r="C1266" s="31"/>
      <c r="D1266" s="32"/>
      <c r="E1266" s="34"/>
      <c r="F1266" s="34"/>
      <c r="G1266" s="39"/>
      <c r="H1266" s="39"/>
      <c r="I1266" s="35"/>
    </row>
    <row r="1267">
      <c r="A1267" s="37"/>
      <c r="B1267" s="35"/>
      <c r="C1267" s="31"/>
      <c r="D1267" s="32"/>
      <c r="E1267" s="34"/>
      <c r="F1267" s="34"/>
      <c r="G1267" s="39"/>
      <c r="H1267" s="39"/>
      <c r="I1267" s="35"/>
    </row>
    <row r="1268">
      <c r="A1268" s="37"/>
      <c r="B1268" s="35"/>
      <c r="C1268" s="31"/>
      <c r="D1268" s="32"/>
      <c r="E1268" s="34"/>
      <c r="F1268" s="34"/>
      <c r="G1268" s="39"/>
      <c r="H1268" s="39"/>
      <c r="I1268" s="35"/>
    </row>
    <row r="1269">
      <c r="A1269" s="37"/>
      <c r="B1269" s="35"/>
      <c r="C1269" s="31"/>
      <c r="D1269" s="32"/>
      <c r="E1269" s="34"/>
      <c r="F1269" s="34"/>
      <c r="G1269" s="39"/>
      <c r="H1269" s="39"/>
      <c r="I1269" s="35"/>
    </row>
    <row r="1270">
      <c r="A1270" s="37"/>
      <c r="B1270" s="35"/>
      <c r="C1270" s="31"/>
      <c r="D1270" s="32"/>
      <c r="E1270" s="34"/>
      <c r="F1270" s="34"/>
      <c r="G1270" s="39"/>
      <c r="H1270" s="39"/>
      <c r="I1270" s="35"/>
    </row>
    <row r="1271">
      <c r="A1271" s="37"/>
      <c r="B1271" s="35"/>
      <c r="C1271" s="31"/>
      <c r="D1271" s="32"/>
      <c r="E1271" s="34"/>
      <c r="F1271" s="34"/>
      <c r="G1271" s="39"/>
      <c r="H1271" s="39"/>
      <c r="I1271" s="35"/>
    </row>
    <row r="1272">
      <c r="A1272" s="37"/>
      <c r="B1272" s="35"/>
      <c r="C1272" s="31"/>
      <c r="D1272" s="32"/>
      <c r="E1272" s="34"/>
      <c r="F1272" s="34"/>
      <c r="G1272" s="39"/>
      <c r="H1272" s="39"/>
      <c r="I1272" s="35"/>
    </row>
    <row r="1273">
      <c r="A1273" s="37"/>
      <c r="B1273" s="35"/>
      <c r="C1273" s="31"/>
      <c r="D1273" s="32"/>
      <c r="E1273" s="34"/>
      <c r="F1273" s="34"/>
      <c r="G1273" s="39"/>
      <c r="H1273" s="39"/>
      <c r="I1273" s="35"/>
    </row>
    <row r="1274">
      <c r="A1274" s="37"/>
      <c r="B1274" s="35"/>
      <c r="C1274" s="31"/>
      <c r="D1274" s="32"/>
      <c r="E1274" s="34"/>
      <c r="F1274" s="34"/>
      <c r="G1274" s="39"/>
      <c r="H1274" s="39"/>
      <c r="I1274" s="35"/>
    </row>
    <row r="1275">
      <c r="A1275" s="37"/>
      <c r="B1275" s="35"/>
      <c r="C1275" s="31"/>
      <c r="D1275" s="32"/>
      <c r="E1275" s="34"/>
      <c r="F1275" s="34"/>
      <c r="G1275" s="39"/>
      <c r="H1275" s="39"/>
      <c r="I1275" s="35"/>
    </row>
    <row r="1276">
      <c r="A1276" s="37"/>
      <c r="B1276" s="35"/>
      <c r="C1276" s="31"/>
      <c r="D1276" s="32"/>
      <c r="E1276" s="34"/>
      <c r="F1276" s="34"/>
      <c r="G1276" s="39"/>
      <c r="H1276" s="39"/>
      <c r="I1276" s="35"/>
    </row>
    <row r="1277">
      <c r="A1277" s="37"/>
      <c r="B1277" s="35"/>
      <c r="C1277" s="31"/>
      <c r="D1277" s="32"/>
      <c r="E1277" s="34"/>
      <c r="F1277" s="34"/>
      <c r="G1277" s="39"/>
      <c r="H1277" s="39"/>
      <c r="I1277" s="35"/>
    </row>
    <row r="1278">
      <c r="A1278" s="37"/>
      <c r="B1278" s="35"/>
      <c r="C1278" s="31"/>
      <c r="D1278" s="32"/>
      <c r="E1278" s="34"/>
      <c r="F1278" s="34"/>
      <c r="G1278" s="39"/>
      <c r="H1278" s="39"/>
      <c r="I1278" s="35"/>
    </row>
    <row r="1279">
      <c r="A1279" s="37"/>
      <c r="B1279" s="35"/>
      <c r="C1279" s="31"/>
      <c r="D1279" s="32"/>
      <c r="E1279" s="34"/>
      <c r="F1279" s="34"/>
      <c r="G1279" s="39"/>
      <c r="H1279" s="39"/>
      <c r="I1279" s="35"/>
    </row>
    <row r="1280">
      <c r="A1280" s="37"/>
      <c r="B1280" s="35"/>
      <c r="C1280" s="31"/>
      <c r="D1280" s="32"/>
      <c r="E1280" s="34"/>
      <c r="F1280" s="34"/>
      <c r="G1280" s="39"/>
      <c r="H1280" s="39"/>
      <c r="I1280" s="35"/>
    </row>
    <row r="1281">
      <c r="A1281" s="37"/>
      <c r="B1281" s="35"/>
      <c r="C1281" s="31"/>
      <c r="D1281" s="32"/>
      <c r="E1281" s="34"/>
      <c r="F1281" s="34"/>
      <c r="G1281" s="39"/>
      <c r="H1281" s="39"/>
      <c r="I1281" s="35"/>
    </row>
    <row r="1282">
      <c r="A1282" s="37"/>
      <c r="B1282" s="35"/>
      <c r="C1282" s="31"/>
      <c r="D1282" s="32"/>
      <c r="E1282" s="34"/>
      <c r="F1282" s="34"/>
      <c r="G1282" s="39"/>
      <c r="H1282" s="39"/>
      <c r="I1282" s="35"/>
    </row>
    <row r="1283">
      <c r="A1283" s="37"/>
      <c r="B1283" s="35"/>
      <c r="C1283" s="31"/>
      <c r="D1283" s="32"/>
      <c r="E1283" s="34"/>
      <c r="F1283" s="34"/>
      <c r="G1283" s="39"/>
      <c r="H1283" s="39"/>
      <c r="I1283" s="35"/>
    </row>
    <row r="1284">
      <c r="A1284" s="37"/>
      <c r="B1284" s="35"/>
      <c r="C1284" s="31"/>
      <c r="D1284" s="32"/>
      <c r="E1284" s="34"/>
      <c r="F1284" s="34"/>
      <c r="G1284" s="39"/>
      <c r="H1284" s="39"/>
      <c r="I1284" s="35"/>
    </row>
    <row r="1285">
      <c r="A1285" s="37"/>
      <c r="B1285" s="35"/>
      <c r="C1285" s="31"/>
      <c r="D1285" s="32"/>
      <c r="E1285" s="34"/>
      <c r="F1285" s="34"/>
      <c r="G1285" s="39"/>
      <c r="H1285" s="39"/>
      <c r="I1285" s="35"/>
    </row>
    <row r="1286">
      <c r="A1286" s="37"/>
      <c r="B1286" s="35"/>
      <c r="C1286" s="31"/>
      <c r="D1286" s="32"/>
      <c r="E1286" s="34"/>
      <c r="F1286" s="34"/>
      <c r="G1286" s="39"/>
      <c r="H1286" s="39"/>
      <c r="I1286" s="35"/>
    </row>
    <row r="1287">
      <c r="A1287" s="37"/>
      <c r="B1287" s="35"/>
      <c r="C1287" s="31"/>
      <c r="D1287" s="32"/>
      <c r="E1287" s="34"/>
      <c r="F1287" s="34"/>
      <c r="G1287" s="39"/>
      <c r="H1287" s="39"/>
      <c r="I1287" s="35"/>
    </row>
    <row r="1288">
      <c r="A1288" s="37"/>
      <c r="B1288" s="35"/>
      <c r="C1288" s="31"/>
      <c r="D1288" s="32"/>
      <c r="E1288" s="34"/>
      <c r="F1288" s="34"/>
      <c r="G1288" s="39"/>
      <c r="H1288" s="39"/>
      <c r="I1288" s="35"/>
    </row>
    <row r="1289">
      <c r="A1289" s="37"/>
      <c r="B1289" s="35"/>
      <c r="C1289" s="31"/>
      <c r="D1289" s="32"/>
      <c r="E1289" s="34"/>
      <c r="F1289" s="34"/>
      <c r="G1289" s="39"/>
      <c r="H1289" s="39"/>
      <c r="I1289" s="35"/>
    </row>
    <row r="1290">
      <c r="A1290" s="37"/>
      <c r="B1290" s="35"/>
      <c r="C1290" s="31"/>
      <c r="D1290" s="32"/>
      <c r="E1290" s="34"/>
      <c r="F1290" s="34"/>
      <c r="G1290" s="39"/>
      <c r="H1290" s="39"/>
      <c r="I1290" s="35"/>
    </row>
    <row r="1291">
      <c r="A1291" s="37"/>
      <c r="B1291" s="35"/>
      <c r="C1291" s="31"/>
      <c r="D1291" s="32"/>
      <c r="E1291" s="34"/>
      <c r="F1291" s="34"/>
      <c r="G1291" s="39"/>
      <c r="H1291" s="39"/>
      <c r="I1291" s="35"/>
    </row>
    <row r="1292">
      <c r="A1292" s="37"/>
      <c r="B1292" s="35"/>
      <c r="C1292" s="31"/>
      <c r="D1292" s="32"/>
      <c r="E1292" s="34"/>
      <c r="F1292" s="34"/>
      <c r="G1292" s="39"/>
      <c r="H1292" s="39"/>
      <c r="I1292" s="35"/>
    </row>
    <row r="1293">
      <c r="A1293" s="37"/>
      <c r="B1293" s="35"/>
      <c r="C1293" s="31"/>
      <c r="D1293" s="32"/>
      <c r="E1293" s="34"/>
      <c r="F1293" s="34"/>
      <c r="G1293" s="39"/>
      <c r="H1293" s="39"/>
      <c r="I1293" s="35"/>
    </row>
    <row r="1294">
      <c r="A1294" s="37"/>
      <c r="B1294" s="35"/>
      <c r="C1294" s="31"/>
      <c r="D1294" s="32"/>
      <c r="E1294" s="34"/>
      <c r="F1294" s="34"/>
      <c r="G1294" s="39"/>
      <c r="H1294" s="39"/>
      <c r="I1294" s="35"/>
    </row>
    <row r="1295">
      <c r="A1295" s="37"/>
      <c r="B1295" s="35"/>
      <c r="C1295" s="31"/>
      <c r="D1295" s="32"/>
      <c r="E1295" s="34"/>
      <c r="F1295" s="34"/>
      <c r="G1295" s="39"/>
      <c r="H1295" s="39"/>
      <c r="I1295" s="35"/>
    </row>
    <row r="1296">
      <c r="A1296" s="37"/>
      <c r="B1296" s="35"/>
      <c r="C1296" s="31"/>
      <c r="D1296" s="32"/>
      <c r="E1296" s="34"/>
      <c r="F1296" s="34"/>
      <c r="G1296" s="39"/>
      <c r="H1296" s="39"/>
      <c r="I1296" s="35"/>
    </row>
    <row r="1297">
      <c r="A1297" s="37"/>
      <c r="B1297" s="35"/>
      <c r="C1297" s="31"/>
      <c r="D1297" s="32"/>
      <c r="E1297" s="34"/>
      <c r="F1297" s="34"/>
      <c r="G1297" s="39"/>
      <c r="H1297" s="39"/>
      <c r="I1297" s="35"/>
    </row>
    <row r="1298">
      <c r="A1298" s="37"/>
      <c r="B1298" s="35"/>
      <c r="C1298" s="31"/>
      <c r="D1298" s="32"/>
      <c r="E1298" s="34"/>
      <c r="F1298" s="34"/>
      <c r="G1298" s="39"/>
      <c r="H1298" s="39"/>
      <c r="I1298" s="35"/>
    </row>
    <row r="1299">
      <c r="A1299" s="37"/>
      <c r="B1299" s="35"/>
      <c r="C1299" s="31"/>
      <c r="D1299" s="32"/>
      <c r="E1299" s="34"/>
      <c r="F1299" s="34"/>
      <c r="G1299" s="39"/>
      <c r="H1299" s="39"/>
      <c r="I1299" s="35"/>
    </row>
    <row r="1300">
      <c r="A1300" s="37"/>
      <c r="B1300" s="35"/>
      <c r="C1300" s="31"/>
      <c r="D1300" s="32"/>
      <c r="E1300" s="34"/>
      <c r="F1300" s="34"/>
      <c r="G1300" s="39"/>
      <c r="H1300" s="39"/>
      <c r="I1300" s="35"/>
    </row>
    <row r="1301">
      <c r="A1301" s="37"/>
      <c r="B1301" s="35"/>
      <c r="C1301" s="31"/>
      <c r="D1301" s="32"/>
      <c r="E1301" s="34"/>
      <c r="F1301" s="34"/>
      <c r="G1301" s="39"/>
      <c r="H1301" s="39"/>
      <c r="I1301" s="35"/>
    </row>
    <row r="1302">
      <c r="A1302" s="37"/>
      <c r="B1302" s="35"/>
      <c r="C1302" s="31"/>
      <c r="D1302" s="32"/>
      <c r="E1302" s="34"/>
      <c r="F1302" s="34"/>
      <c r="G1302" s="39"/>
      <c r="H1302" s="39"/>
      <c r="I1302" s="35"/>
    </row>
    <row r="1303">
      <c r="A1303" s="37"/>
      <c r="B1303" s="35"/>
      <c r="C1303" s="31"/>
      <c r="D1303" s="32"/>
      <c r="E1303" s="34"/>
      <c r="F1303" s="34"/>
      <c r="G1303" s="39"/>
      <c r="H1303" s="39"/>
      <c r="I1303" s="35"/>
    </row>
    <row r="1304">
      <c r="A1304" s="37"/>
      <c r="B1304" s="35"/>
      <c r="C1304" s="31"/>
      <c r="D1304" s="32"/>
      <c r="E1304" s="34"/>
      <c r="F1304" s="34"/>
      <c r="G1304" s="39"/>
      <c r="H1304" s="39"/>
      <c r="I1304" s="35"/>
    </row>
    <row r="1305">
      <c r="A1305" s="37"/>
      <c r="B1305" s="35"/>
      <c r="C1305" s="31"/>
      <c r="D1305" s="32"/>
      <c r="E1305" s="34"/>
      <c r="F1305" s="34"/>
      <c r="G1305" s="39"/>
      <c r="H1305" s="39"/>
      <c r="I1305" s="35"/>
    </row>
    <row r="1306">
      <c r="A1306" s="37"/>
      <c r="B1306" s="35"/>
      <c r="C1306" s="31"/>
      <c r="D1306" s="32"/>
      <c r="E1306" s="34"/>
      <c r="F1306" s="34"/>
      <c r="G1306" s="39"/>
      <c r="H1306" s="39"/>
      <c r="I1306" s="35"/>
    </row>
    <row r="1307">
      <c r="A1307" s="37"/>
      <c r="B1307" s="35"/>
      <c r="C1307" s="31"/>
      <c r="D1307" s="32"/>
      <c r="E1307" s="34"/>
      <c r="F1307" s="34"/>
      <c r="G1307" s="39"/>
      <c r="H1307" s="39"/>
      <c r="I1307" s="35"/>
    </row>
    <row r="1308">
      <c r="A1308" s="37"/>
      <c r="B1308" s="35"/>
      <c r="C1308" s="31"/>
      <c r="D1308" s="32"/>
      <c r="E1308" s="34"/>
      <c r="F1308" s="34"/>
      <c r="G1308" s="39"/>
      <c r="H1308" s="39"/>
      <c r="I1308" s="35"/>
    </row>
    <row r="1309">
      <c r="A1309" s="37"/>
      <c r="B1309" s="35"/>
      <c r="C1309" s="31"/>
      <c r="D1309" s="32"/>
      <c r="E1309" s="34"/>
      <c r="F1309" s="34"/>
      <c r="G1309" s="39"/>
      <c r="H1309" s="39"/>
      <c r="I1309" s="35"/>
    </row>
    <row r="1310">
      <c r="A1310" s="37"/>
      <c r="B1310" s="35"/>
      <c r="C1310" s="31"/>
      <c r="D1310" s="32"/>
      <c r="E1310" s="34"/>
      <c r="F1310" s="34"/>
      <c r="G1310" s="39"/>
      <c r="H1310" s="39"/>
      <c r="I1310" s="35"/>
    </row>
    <row r="1311">
      <c r="A1311" s="37"/>
      <c r="B1311" s="35"/>
      <c r="C1311" s="31"/>
      <c r="D1311" s="32"/>
      <c r="E1311" s="34"/>
      <c r="F1311" s="34"/>
      <c r="G1311" s="39"/>
      <c r="H1311" s="39"/>
      <c r="I1311" s="35"/>
    </row>
    <row r="1312">
      <c r="A1312" s="37"/>
      <c r="B1312" s="35"/>
      <c r="C1312" s="31"/>
      <c r="D1312" s="32"/>
      <c r="E1312" s="34"/>
      <c r="F1312" s="34"/>
      <c r="G1312" s="39"/>
      <c r="H1312" s="39"/>
      <c r="I1312" s="35"/>
    </row>
    <row r="1313">
      <c r="A1313" s="37"/>
      <c r="B1313" s="35"/>
      <c r="C1313" s="31"/>
      <c r="D1313" s="32"/>
      <c r="E1313" s="34"/>
      <c r="F1313" s="34"/>
      <c r="G1313" s="39"/>
      <c r="H1313" s="39"/>
      <c r="I1313" s="35"/>
    </row>
    <row r="1314">
      <c r="A1314" s="37"/>
      <c r="B1314" s="35"/>
      <c r="C1314" s="31"/>
      <c r="D1314" s="32"/>
      <c r="E1314" s="34"/>
      <c r="F1314" s="34"/>
      <c r="G1314" s="39"/>
      <c r="H1314" s="39"/>
      <c r="I1314" s="35"/>
    </row>
    <row r="1315">
      <c r="A1315" s="37"/>
      <c r="B1315" s="35"/>
      <c r="C1315" s="31"/>
      <c r="D1315" s="32"/>
      <c r="E1315" s="34"/>
      <c r="F1315" s="34"/>
      <c r="G1315" s="39"/>
      <c r="H1315" s="39"/>
      <c r="I1315" s="35"/>
    </row>
    <row r="1316">
      <c r="A1316" s="37"/>
      <c r="B1316" s="35"/>
      <c r="C1316" s="31"/>
      <c r="D1316" s="32"/>
      <c r="E1316" s="34"/>
      <c r="F1316" s="34"/>
      <c r="G1316" s="39"/>
      <c r="H1316" s="39"/>
      <c r="I1316" s="35"/>
    </row>
    <row r="1317">
      <c r="A1317" s="37"/>
      <c r="B1317" s="35"/>
      <c r="C1317" s="31"/>
      <c r="D1317" s="32"/>
      <c r="E1317" s="34"/>
      <c r="F1317" s="34"/>
      <c r="G1317" s="39"/>
      <c r="H1317" s="39"/>
      <c r="I1317" s="35"/>
    </row>
    <row r="1318">
      <c r="A1318" s="37"/>
      <c r="B1318" s="35"/>
      <c r="C1318" s="31"/>
      <c r="D1318" s="32"/>
      <c r="E1318" s="34"/>
      <c r="F1318" s="34"/>
      <c r="G1318" s="39"/>
      <c r="H1318" s="39"/>
      <c r="I1318" s="35"/>
    </row>
    <row r="1319">
      <c r="A1319" s="37"/>
      <c r="B1319" s="35"/>
      <c r="C1319" s="31"/>
      <c r="D1319" s="32"/>
      <c r="E1319" s="34"/>
      <c r="F1319" s="34"/>
      <c r="G1319" s="39"/>
      <c r="H1319" s="39"/>
      <c r="I1319" s="35"/>
    </row>
    <row r="1320">
      <c r="A1320" s="37"/>
      <c r="B1320" s="35"/>
      <c r="C1320" s="31"/>
      <c r="D1320" s="32"/>
      <c r="E1320" s="34"/>
      <c r="F1320" s="34"/>
      <c r="G1320" s="39"/>
      <c r="H1320" s="39"/>
      <c r="I1320" s="35"/>
    </row>
    <row r="1321">
      <c r="A1321" s="37"/>
      <c r="B1321" s="35"/>
      <c r="C1321" s="31"/>
      <c r="D1321" s="32"/>
      <c r="E1321" s="34"/>
      <c r="F1321" s="34"/>
      <c r="G1321" s="39"/>
      <c r="H1321" s="39"/>
      <c r="I1321" s="35"/>
    </row>
    <row r="1322">
      <c r="A1322" s="37"/>
      <c r="B1322" s="35"/>
      <c r="C1322" s="31"/>
      <c r="D1322" s="32"/>
      <c r="E1322" s="34"/>
      <c r="F1322" s="34"/>
      <c r="G1322" s="39"/>
      <c r="H1322" s="39"/>
      <c r="I1322" s="35"/>
    </row>
    <row r="1323">
      <c r="A1323" s="37"/>
      <c r="B1323" s="35"/>
      <c r="C1323" s="31"/>
      <c r="D1323" s="32"/>
      <c r="E1323" s="34"/>
      <c r="F1323" s="34"/>
      <c r="G1323" s="39"/>
      <c r="H1323" s="39"/>
      <c r="I1323" s="35"/>
    </row>
    <row r="1324">
      <c r="A1324" s="37"/>
      <c r="B1324" s="35"/>
      <c r="C1324" s="31"/>
      <c r="D1324" s="32"/>
      <c r="E1324" s="34"/>
      <c r="F1324" s="34"/>
      <c r="G1324" s="39"/>
      <c r="H1324" s="39"/>
      <c r="I1324" s="35"/>
    </row>
    <row r="1325">
      <c r="A1325" s="37"/>
      <c r="B1325" s="35"/>
      <c r="C1325" s="31"/>
      <c r="D1325" s="32"/>
      <c r="E1325" s="34"/>
      <c r="F1325" s="34"/>
      <c r="G1325" s="39"/>
      <c r="H1325" s="39"/>
      <c r="I1325" s="35"/>
    </row>
    <row r="1326">
      <c r="A1326" s="37"/>
      <c r="B1326" s="35"/>
      <c r="C1326" s="31"/>
      <c r="D1326" s="32"/>
      <c r="E1326" s="34"/>
      <c r="F1326" s="34"/>
      <c r="G1326" s="39"/>
      <c r="H1326" s="39"/>
      <c r="I1326" s="35"/>
    </row>
    <row r="1327">
      <c r="A1327" s="37"/>
      <c r="B1327" s="35"/>
      <c r="C1327" s="31"/>
      <c r="D1327" s="32"/>
      <c r="E1327" s="34"/>
      <c r="F1327" s="34"/>
      <c r="G1327" s="39"/>
      <c r="H1327" s="39"/>
      <c r="I1327" s="35"/>
    </row>
    <row r="1328">
      <c r="A1328" s="37"/>
      <c r="B1328" s="35"/>
      <c r="C1328" s="31"/>
      <c r="D1328" s="32"/>
      <c r="E1328" s="34"/>
      <c r="F1328" s="34"/>
      <c r="G1328" s="39"/>
      <c r="H1328" s="39"/>
      <c r="I1328" s="35"/>
    </row>
    <row r="1329">
      <c r="A1329" s="37"/>
      <c r="B1329" s="35"/>
      <c r="C1329" s="31"/>
      <c r="D1329" s="32"/>
      <c r="E1329" s="34"/>
      <c r="F1329" s="34"/>
      <c r="G1329" s="39"/>
      <c r="H1329" s="39"/>
      <c r="I1329" s="35"/>
    </row>
    <row r="1330">
      <c r="A1330" s="37"/>
      <c r="B1330" s="35"/>
      <c r="C1330" s="31"/>
      <c r="D1330" s="32"/>
      <c r="E1330" s="34"/>
      <c r="F1330" s="34"/>
      <c r="G1330" s="39"/>
      <c r="H1330" s="39"/>
      <c r="I1330" s="35"/>
    </row>
    <row r="1331">
      <c r="A1331" s="37"/>
      <c r="B1331" s="35"/>
      <c r="C1331" s="31"/>
      <c r="D1331" s="32"/>
      <c r="E1331" s="34"/>
      <c r="F1331" s="34"/>
      <c r="G1331" s="39"/>
      <c r="H1331" s="39"/>
      <c r="I1331" s="35"/>
    </row>
    <row r="1332">
      <c r="A1332" s="37"/>
      <c r="B1332" s="35"/>
      <c r="C1332" s="31"/>
      <c r="D1332" s="32"/>
      <c r="E1332" s="34"/>
      <c r="F1332" s="34"/>
      <c r="G1332" s="39"/>
      <c r="H1332" s="39"/>
      <c r="I1332" s="35"/>
    </row>
    <row r="1333">
      <c r="A1333" s="37"/>
      <c r="B1333" s="35"/>
      <c r="C1333" s="31"/>
      <c r="D1333" s="32"/>
      <c r="E1333" s="34"/>
      <c r="F1333" s="34"/>
      <c r="G1333" s="39"/>
      <c r="H1333" s="39"/>
      <c r="I1333" s="35"/>
    </row>
    <row r="1334">
      <c r="A1334" s="37"/>
      <c r="B1334" s="35"/>
      <c r="C1334" s="31"/>
      <c r="D1334" s="32"/>
      <c r="E1334" s="34"/>
      <c r="F1334" s="34"/>
      <c r="G1334" s="39"/>
      <c r="H1334" s="39"/>
      <c r="I1334" s="35"/>
    </row>
    <row r="1335">
      <c r="A1335" s="37"/>
      <c r="B1335" s="35"/>
      <c r="C1335" s="31"/>
      <c r="D1335" s="32"/>
      <c r="E1335" s="34"/>
      <c r="F1335" s="34"/>
      <c r="G1335" s="39"/>
      <c r="H1335" s="39"/>
      <c r="I1335" s="35"/>
    </row>
    <row r="1336">
      <c r="A1336" s="37"/>
      <c r="B1336" s="35"/>
      <c r="C1336" s="31"/>
      <c r="D1336" s="32"/>
      <c r="E1336" s="34"/>
      <c r="F1336" s="34"/>
      <c r="G1336" s="39"/>
      <c r="H1336" s="39"/>
      <c r="I1336" s="35"/>
    </row>
    <row r="1337">
      <c r="A1337" s="37"/>
      <c r="B1337" s="35"/>
      <c r="C1337" s="31"/>
      <c r="D1337" s="32"/>
      <c r="E1337" s="34"/>
      <c r="F1337" s="34"/>
      <c r="G1337" s="39"/>
      <c r="H1337" s="39"/>
      <c r="I1337" s="35"/>
    </row>
    <row r="1338">
      <c r="A1338" s="37"/>
      <c r="B1338" s="35"/>
      <c r="C1338" s="31"/>
      <c r="D1338" s="32"/>
      <c r="E1338" s="34"/>
      <c r="F1338" s="34"/>
      <c r="G1338" s="39"/>
      <c r="H1338" s="39"/>
      <c r="I1338" s="35"/>
    </row>
    <row r="1339">
      <c r="A1339" s="37"/>
      <c r="B1339" s="35"/>
      <c r="C1339" s="31"/>
      <c r="D1339" s="32"/>
      <c r="E1339" s="34"/>
      <c r="F1339" s="34"/>
      <c r="G1339" s="39"/>
      <c r="H1339" s="39"/>
      <c r="I1339" s="35"/>
    </row>
    <row r="1340">
      <c r="A1340" s="37"/>
      <c r="B1340" s="35"/>
      <c r="C1340" s="31"/>
      <c r="D1340" s="32"/>
      <c r="E1340" s="34"/>
      <c r="F1340" s="34"/>
      <c r="G1340" s="39"/>
      <c r="H1340" s="39"/>
      <c r="I1340" s="35"/>
    </row>
    <row r="1341">
      <c r="A1341" s="37"/>
      <c r="B1341" s="35"/>
      <c r="C1341" s="31"/>
      <c r="D1341" s="32"/>
      <c r="E1341" s="34"/>
      <c r="F1341" s="34"/>
      <c r="G1341" s="39"/>
      <c r="H1341" s="39"/>
      <c r="I1341" s="35"/>
    </row>
    <row r="1342">
      <c r="A1342" s="37"/>
      <c r="B1342" s="35"/>
      <c r="C1342" s="31"/>
      <c r="D1342" s="32"/>
      <c r="E1342" s="34"/>
      <c r="F1342" s="34"/>
      <c r="G1342" s="39"/>
      <c r="H1342" s="39"/>
      <c r="I1342" s="35"/>
    </row>
    <row r="1343">
      <c r="A1343" s="37"/>
      <c r="B1343" s="35"/>
      <c r="C1343" s="31"/>
      <c r="D1343" s="32"/>
      <c r="E1343" s="34"/>
      <c r="F1343" s="34"/>
      <c r="G1343" s="39"/>
      <c r="H1343" s="39"/>
      <c r="I1343" s="35"/>
    </row>
    <row r="1344">
      <c r="A1344" s="37"/>
      <c r="B1344" s="35"/>
      <c r="C1344" s="31"/>
      <c r="D1344" s="32"/>
      <c r="E1344" s="34"/>
      <c r="F1344" s="34"/>
      <c r="G1344" s="39"/>
      <c r="H1344" s="39"/>
      <c r="I1344" s="35"/>
    </row>
    <row r="1345">
      <c r="A1345" s="37"/>
      <c r="B1345" s="35"/>
      <c r="C1345" s="31"/>
      <c r="D1345" s="32"/>
      <c r="E1345" s="34"/>
      <c r="F1345" s="34"/>
      <c r="G1345" s="39"/>
      <c r="H1345" s="39"/>
      <c r="I1345" s="35"/>
    </row>
    <row r="1346">
      <c r="A1346" s="37"/>
      <c r="B1346" s="35"/>
      <c r="C1346" s="31"/>
      <c r="D1346" s="32"/>
      <c r="E1346" s="34"/>
      <c r="F1346" s="34"/>
      <c r="G1346" s="39"/>
      <c r="H1346" s="39"/>
      <c r="I1346" s="35"/>
    </row>
    <row r="1347">
      <c r="A1347" s="37"/>
      <c r="B1347" s="35"/>
      <c r="C1347" s="31"/>
      <c r="D1347" s="32"/>
      <c r="E1347" s="34"/>
      <c r="F1347" s="34"/>
      <c r="G1347" s="39"/>
      <c r="H1347" s="39"/>
      <c r="I1347" s="35"/>
    </row>
    <row r="1348">
      <c r="A1348" s="37"/>
      <c r="B1348" s="35"/>
      <c r="C1348" s="31"/>
      <c r="D1348" s="32"/>
      <c r="E1348" s="34"/>
      <c r="F1348" s="34"/>
      <c r="G1348" s="39"/>
      <c r="H1348" s="39"/>
      <c r="I1348" s="35"/>
    </row>
    <row r="1349">
      <c r="A1349" s="37"/>
      <c r="B1349" s="35"/>
      <c r="C1349" s="31"/>
      <c r="D1349" s="32"/>
      <c r="E1349" s="34"/>
      <c r="F1349" s="34"/>
      <c r="G1349" s="39"/>
      <c r="H1349" s="39"/>
      <c r="I1349" s="35"/>
    </row>
    <row r="1350">
      <c r="A1350" s="37"/>
      <c r="B1350" s="35"/>
      <c r="C1350" s="31"/>
      <c r="D1350" s="32"/>
      <c r="E1350" s="34"/>
      <c r="F1350" s="34"/>
      <c r="G1350" s="39"/>
      <c r="H1350" s="39"/>
      <c r="I1350" s="35"/>
    </row>
    <row r="1351">
      <c r="A1351" s="37"/>
      <c r="B1351" s="35"/>
      <c r="C1351" s="31"/>
      <c r="D1351" s="32"/>
      <c r="E1351" s="34"/>
      <c r="F1351" s="34"/>
      <c r="G1351" s="39"/>
      <c r="H1351" s="39"/>
      <c r="I1351" s="35"/>
    </row>
    <row r="1352">
      <c r="A1352" s="37"/>
      <c r="B1352" s="35"/>
      <c r="C1352" s="31"/>
      <c r="D1352" s="32"/>
      <c r="E1352" s="34"/>
      <c r="F1352" s="34"/>
      <c r="G1352" s="39"/>
      <c r="H1352" s="39"/>
      <c r="I1352" s="35"/>
    </row>
    <row r="1353">
      <c r="A1353" s="37"/>
      <c r="B1353" s="35"/>
      <c r="C1353" s="31"/>
      <c r="D1353" s="32"/>
      <c r="E1353" s="34"/>
      <c r="F1353" s="34"/>
      <c r="G1353" s="39"/>
      <c r="H1353" s="39"/>
      <c r="I1353" s="35"/>
    </row>
    <row r="1354">
      <c r="A1354" s="37"/>
      <c r="B1354" s="35"/>
      <c r="C1354" s="31"/>
      <c r="D1354" s="32"/>
      <c r="E1354" s="34"/>
      <c r="F1354" s="34"/>
      <c r="G1354" s="39"/>
      <c r="H1354" s="39"/>
      <c r="I1354" s="35"/>
    </row>
    <row r="1355">
      <c r="A1355" s="37"/>
      <c r="B1355" s="35"/>
      <c r="C1355" s="31"/>
      <c r="D1355" s="32"/>
      <c r="E1355" s="34"/>
      <c r="F1355" s="34"/>
      <c r="G1355" s="39"/>
      <c r="H1355" s="39"/>
      <c r="I1355" s="35"/>
    </row>
    <row r="1356">
      <c r="A1356" s="37"/>
      <c r="B1356" s="35"/>
      <c r="C1356" s="31"/>
      <c r="D1356" s="32"/>
      <c r="E1356" s="34"/>
      <c r="F1356" s="34"/>
      <c r="G1356" s="39"/>
      <c r="H1356" s="39"/>
      <c r="I1356" s="35"/>
    </row>
    <row r="1357">
      <c r="A1357" s="37"/>
      <c r="B1357" s="35"/>
      <c r="C1357" s="31"/>
      <c r="D1357" s="32"/>
      <c r="E1357" s="34"/>
      <c r="F1357" s="34"/>
      <c r="G1357" s="39"/>
      <c r="H1357" s="39"/>
      <c r="I1357" s="35"/>
    </row>
    <row r="1358">
      <c r="A1358" s="37"/>
      <c r="B1358" s="35"/>
      <c r="C1358" s="31"/>
      <c r="D1358" s="32"/>
      <c r="E1358" s="34"/>
      <c r="F1358" s="34"/>
      <c r="G1358" s="39"/>
      <c r="H1358" s="39"/>
      <c r="I1358" s="35"/>
    </row>
    <row r="1359">
      <c r="A1359" s="37"/>
      <c r="B1359" s="35"/>
      <c r="C1359" s="31"/>
      <c r="D1359" s="32"/>
      <c r="E1359" s="34"/>
      <c r="F1359" s="34"/>
      <c r="G1359" s="39"/>
      <c r="H1359" s="39"/>
      <c r="I1359" s="35"/>
    </row>
    <row r="1360">
      <c r="A1360" s="37"/>
      <c r="B1360" s="35"/>
      <c r="C1360" s="31"/>
      <c r="D1360" s="32"/>
      <c r="E1360" s="34"/>
      <c r="F1360" s="34"/>
      <c r="G1360" s="39"/>
      <c r="H1360" s="39"/>
      <c r="I1360" s="35"/>
    </row>
    <row r="1361">
      <c r="A1361" s="37"/>
      <c r="B1361" s="35"/>
      <c r="C1361" s="31"/>
      <c r="D1361" s="32"/>
      <c r="E1361" s="34"/>
      <c r="F1361" s="34"/>
      <c r="G1361" s="39"/>
      <c r="H1361" s="39"/>
      <c r="I1361" s="35"/>
    </row>
    <row r="1362">
      <c r="A1362" s="37"/>
      <c r="B1362" s="35"/>
      <c r="C1362" s="31"/>
      <c r="D1362" s="32"/>
      <c r="E1362" s="34"/>
      <c r="F1362" s="34"/>
      <c r="G1362" s="39"/>
      <c r="H1362" s="39"/>
      <c r="I1362" s="35"/>
    </row>
    <row r="1363">
      <c r="A1363" s="37"/>
      <c r="B1363" s="35"/>
      <c r="C1363" s="31"/>
      <c r="D1363" s="32"/>
      <c r="E1363" s="34"/>
      <c r="F1363" s="34"/>
      <c r="G1363" s="39"/>
      <c r="H1363" s="39"/>
      <c r="I1363" s="35"/>
    </row>
    <row r="1364">
      <c r="A1364" s="37"/>
      <c r="B1364" s="35"/>
      <c r="C1364" s="31"/>
      <c r="D1364" s="32"/>
      <c r="E1364" s="34"/>
      <c r="F1364" s="34"/>
      <c r="G1364" s="39"/>
      <c r="H1364" s="39"/>
      <c r="I1364" s="35"/>
    </row>
    <row r="1365">
      <c r="A1365" s="37"/>
      <c r="B1365" s="35"/>
      <c r="C1365" s="31"/>
      <c r="D1365" s="32"/>
      <c r="E1365" s="34"/>
      <c r="F1365" s="34"/>
      <c r="G1365" s="39"/>
      <c r="H1365" s="39"/>
      <c r="I1365" s="35"/>
    </row>
    <row r="1366">
      <c r="A1366" s="37"/>
      <c r="B1366" s="35"/>
      <c r="C1366" s="31"/>
      <c r="D1366" s="32"/>
      <c r="E1366" s="34"/>
      <c r="F1366" s="34"/>
      <c r="G1366" s="39"/>
      <c r="H1366" s="39"/>
      <c r="I1366" s="35"/>
    </row>
    <row r="1367">
      <c r="A1367" s="37"/>
      <c r="B1367" s="35"/>
      <c r="C1367" s="31"/>
      <c r="D1367" s="32"/>
      <c r="E1367" s="34"/>
      <c r="F1367" s="34"/>
      <c r="G1367" s="39"/>
      <c r="H1367" s="39"/>
      <c r="I1367" s="35"/>
    </row>
    <row r="1368">
      <c r="A1368" s="37"/>
      <c r="B1368" s="35"/>
      <c r="C1368" s="31"/>
      <c r="D1368" s="32"/>
      <c r="E1368" s="34"/>
      <c r="F1368" s="34"/>
      <c r="G1368" s="39"/>
      <c r="H1368" s="39"/>
      <c r="I1368" s="35"/>
    </row>
    <row r="1369">
      <c r="A1369" s="37"/>
      <c r="B1369" s="35"/>
      <c r="C1369" s="31"/>
      <c r="D1369" s="32"/>
      <c r="E1369" s="34"/>
      <c r="F1369" s="34"/>
      <c r="G1369" s="39"/>
      <c r="H1369" s="39"/>
      <c r="I1369" s="35"/>
    </row>
    <row r="1370">
      <c r="A1370" s="37"/>
      <c r="B1370" s="35"/>
      <c r="C1370" s="31"/>
      <c r="D1370" s="32"/>
      <c r="E1370" s="34"/>
      <c r="F1370" s="34"/>
      <c r="G1370" s="39"/>
      <c r="H1370" s="39"/>
      <c r="I1370" s="35"/>
    </row>
    <row r="1371">
      <c r="A1371" s="37"/>
      <c r="B1371" s="35"/>
      <c r="C1371" s="31"/>
      <c r="D1371" s="32"/>
      <c r="E1371" s="34"/>
      <c r="F1371" s="34"/>
      <c r="G1371" s="39"/>
      <c r="H1371" s="39"/>
      <c r="I1371" s="35"/>
    </row>
    <row r="1372">
      <c r="A1372" s="37"/>
      <c r="B1372" s="35"/>
      <c r="C1372" s="31"/>
      <c r="D1372" s="32"/>
      <c r="E1372" s="34"/>
      <c r="F1372" s="34"/>
      <c r="G1372" s="39"/>
      <c r="H1372" s="39"/>
      <c r="I1372" s="35"/>
    </row>
    <row r="1373">
      <c r="A1373" s="37"/>
      <c r="B1373" s="35"/>
      <c r="C1373" s="31"/>
      <c r="D1373" s="32"/>
      <c r="E1373" s="34"/>
      <c r="F1373" s="34"/>
      <c r="G1373" s="39"/>
      <c r="H1373" s="39"/>
      <c r="I1373" s="35"/>
    </row>
    <row r="1374">
      <c r="A1374" s="37"/>
      <c r="B1374" s="35"/>
      <c r="C1374" s="31"/>
      <c r="D1374" s="32"/>
      <c r="E1374" s="34"/>
      <c r="F1374" s="34"/>
      <c r="G1374" s="39"/>
      <c r="H1374" s="39"/>
      <c r="I1374" s="35"/>
    </row>
    <row r="1375">
      <c r="A1375" s="37"/>
      <c r="B1375" s="35"/>
      <c r="C1375" s="31"/>
      <c r="D1375" s="32"/>
      <c r="E1375" s="34"/>
      <c r="F1375" s="34"/>
      <c r="G1375" s="39"/>
      <c r="H1375" s="39"/>
      <c r="I1375" s="35"/>
    </row>
    <row r="1376">
      <c r="A1376" s="37"/>
      <c r="B1376" s="35"/>
      <c r="C1376" s="31"/>
      <c r="D1376" s="32"/>
      <c r="E1376" s="34"/>
      <c r="F1376" s="34"/>
      <c r="G1376" s="39"/>
      <c r="H1376" s="39"/>
      <c r="I1376" s="35"/>
    </row>
    <row r="1377">
      <c r="A1377" s="37"/>
      <c r="B1377" s="35"/>
      <c r="C1377" s="31"/>
      <c r="D1377" s="32"/>
      <c r="E1377" s="34"/>
      <c r="F1377" s="34"/>
      <c r="G1377" s="39"/>
      <c r="H1377" s="39"/>
      <c r="I1377" s="35"/>
    </row>
    <row r="1378">
      <c r="A1378" s="37"/>
      <c r="B1378" s="35"/>
      <c r="C1378" s="31"/>
      <c r="D1378" s="32"/>
      <c r="E1378" s="34"/>
      <c r="F1378" s="34"/>
      <c r="G1378" s="39"/>
      <c r="H1378" s="39"/>
      <c r="I1378" s="35"/>
    </row>
    <row r="1379">
      <c r="A1379" s="37"/>
      <c r="B1379" s="35"/>
      <c r="C1379" s="31"/>
      <c r="D1379" s="32"/>
      <c r="E1379" s="34"/>
      <c r="F1379" s="34"/>
      <c r="G1379" s="39"/>
      <c r="H1379" s="39"/>
      <c r="I1379" s="35"/>
    </row>
    <row r="1380">
      <c r="A1380" s="37"/>
      <c r="B1380" s="35"/>
      <c r="C1380" s="31"/>
      <c r="D1380" s="32"/>
      <c r="E1380" s="34"/>
      <c r="F1380" s="34"/>
      <c r="G1380" s="39"/>
      <c r="H1380" s="39"/>
      <c r="I1380" s="35"/>
    </row>
    <row r="1381">
      <c r="A1381" s="37"/>
      <c r="B1381" s="35"/>
      <c r="C1381" s="31"/>
      <c r="D1381" s="32"/>
      <c r="E1381" s="34"/>
      <c r="F1381" s="34"/>
      <c r="G1381" s="39"/>
      <c r="H1381" s="39"/>
      <c r="I1381" s="35"/>
    </row>
    <row r="1382">
      <c r="A1382" s="37"/>
      <c r="B1382" s="35"/>
      <c r="C1382" s="31"/>
      <c r="D1382" s="32"/>
      <c r="E1382" s="34"/>
      <c r="F1382" s="34"/>
      <c r="G1382" s="39"/>
      <c r="H1382" s="39"/>
      <c r="I1382" s="35"/>
    </row>
    <row r="1383">
      <c r="A1383" s="37"/>
      <c r="B1383" s="35"/>
      <c r="C1383" s="31"/>
      <c r="D1383" s="32"/>
      <c r="E1383" s="34"/>
      <c r="F1383" s="34"/>
      <c r="G1383" s="39"/>
      <c r="H1383" s="39"/>
      <c r="I1383" s="35"/>
    </row>
    <row r="1384">
      <c r="A1384" s="37"/>
      <c r="B1384" s="35"/>
      <c r="C1384" s="31"/>
      <c r="D1384" s="32"/>
      <c r="E1384" s="34"/>
      <c r="F1384" s="34"/>
      <c r="G1384" s="39"/>
      <c r="H1384" s="39"/>
      <c r="I1384" s="35"/>
    </row>
    <row r="1385">
      <c r="A1385" s="37"/>
      <c r="B1385" s="35"/>
      <c r="C1385" s="31"/>
      <c r="D1385" s="32"/>
      <c r="E1385" s="34"/>
      <c r="F1385" s="34"/>
      <c r="G1385" s="39"/>
      <c r="H1385" s="39"/>
      <c r="I1385" s="35"/>
    </row>
    <row r="1386">
      <c r="A1386" s="37"/>
      <c r="B1386" s="35"/>
      <c r="C1386" s="31"/>
      <c r="D1386" s="32"/>
      <c r="E1386" s="34"/>
      <c r="F1386" s="34"/>
      <c r="G1386" s="39"/>
      <c r="H1386" s="39"/>
      <c r="I1386" s="35"/>
    </row>
    <row r="1387">
      <c r="A1387" s="37"/>
      <c r="B1387" s="35"/>
      <c r="C1387" s="31"/>
      <c r="D1387" s="32"/>
      <c r="E1387" s="34"/>
      <c r="F1387" s="34"/>
      <c r="G1387" s="39"/>
      <c r="H1387" s="39"/>
      <c r="I1387" s="35"/>
    </row>
    <row r="1388">
      <c r="A1388" s="37"/>
      <c r="B1388" s="35"/>
      <c r="C1388" s="31"/>
      <c r="D1388" s="32"/>
      <c r="E1388" s="34"/>
      <c r="F1388" s="34"/>
      <c r="G1388" s="39"/>
      <c r="H1388" s="39"/>
      <c r="I1388" s="35"/>
    </row>
    <row r="1389">
      <c r="A1389" s="37"/>
      <c r="B1389" s="35"/>
      <c r="C1389" s="31"/>
      <c r="D1389" s="32"/>
      <c r="E1389" s="34"/>
      <c r="F1389" s="34"/>
      <c r="G1389" s="39"/>
      <c r="H1389" s="39"/>
      <c r="I1389" s="35"/>
    </row>
    <row r="1390">
      <c r="A1390" s="37"/>
      <c r="B1390" s="35"/>
      <c r="C1390" s="31"/>
      <c r="D1390" s="32"/>
      <c r="E1390" s="34"/>
      <c r="F1390" s="34"/>
      <c r="G1390" s="39"/>
      <c r="H1390" s="39"/>
      <c r="I1390" s="35"/>
    </row>
    <row r="1391">
      <c r="A1391" s="37"/>
      <c r="B1391" s="35"/>
      <c r="C1391" s="31"/>
      <c r="D1391" s="32"/>
      <c r="E1391" s="34"/>
      <c r="F1391" s="34"/>
      <c r="G1391" s="39"/>
      <c r="H1391" s="39"/>
      <c r="I1391" s="35"/>
    </row>
    <row r="1392">
      <c r="A1392" s="37"/>
      <c r="B1392" s="35"/>
      <c r="C1392" s="31"/>
      <c r="D1392" s="32"/>
      <c r="E1392" s="34"/>
      <c r="F1392" s="34"/>
      <c r="G1392" s="39"/>
      <c r="H1392" s="39"/>
      <c r="I1392" s="35"/>
    </row>
    <row r="1393">
      <c r="A1393" s="37"/>
      <c r="B1393" s="35"/>
      <c r="C1393" s="31"/>
      <c r="D1393" s="32"/>
      <c r="E1393" s="34"/>
      <c r="F1393" s="34"/>
      <c r="G1393" s="39"/>
      <c r="H1393" s="39"/>
      <c r="I1393" s="35"/>
    </row>
    <row r="1394">
      <c r="A1394" s="37"/>
      <c r="B1394" s="35"/>
      <c r="C1394" s="31"/>
      <c r="D1394" s="32"/>
      <c r="E1394" s="34"/>
      <c r="F1394" s="34"/>
      <c r="G1394" s="39"/>
      <c r="H1394" s="39"/>
      <c r="I1394" s="35"/>
    </row>
    <row r="1395">
      <c r="A1395" s="37"/>
      <c r="B1395" s="35"/>
      <c r="C1395" s="31"/>
      <c r="D1395" s="32"/>
      <c r="E1395" s="34"/>
      <c r="F1395" s="34"/>
      <c r="G1395" s="39"/>
      <c r="H1395" s="39"/>
      <c r="I1395" s="35"/>
    </row>
    <row r="1396">
      <c r="A1396" s="37"/>
      <c r="B1396" s="35"/>
      <c r="C1396" s="31"/>
      <c r="D1396" s="32"/>
      <c r="E1396" s="34"/>
      <c r="F1396" s="34"/>
      <c r="G1396" s="39"/>
      <c r="H1396" s="39"/>
      <c r="I1396" s="35"/>
    </row>
    <row r="1397">
      <c r="A1397" s="37"/>
      <c r="B1397" s="35"/>
      <c r="C1397" s="31"/>
      <c r="D1397" s="32"/>
      <c r="E1397" s="34"/>
      <c r="F1397" s="34"/>
      <c r="G1397" s="39"/>
      <c r="H1397" s="39"/>
      <c r="I1397" s="35"/>
    </row>
    <row r="1398">
      <c r="A1398" s="37"/>
      <c r="B1398" s="35"/>
      <c r="C1398" s="31"/>
      <c r="D1398" s="32"/>
      <c r="E1398" s="34"/>
      <c r="F1398" s="34"/>
      <c r="G1398" s="39"/>
      <c r="H1398" s="39"/>
      <c r="I1398" s="35"/>
    </row>
    <row r="1399">
      <c r="A1399" s="37"/>
      <c r="B1399" s="35"/>
      <c r="C1399" s="31"/>
      <c r="D1399" s="32"/>
      <c r="E1399" s="34"/>
      <c r="F1399" s="34"/>
      <c r="G1399" s="39"/>
      <c r="H1399" s="39"/>
      <c r="I1399" s="35"/>
    </row>
    <row r="1400">
      <c r="A1400" s="37"/>
      <c r="B1400" s="35"/>
      <c r="C1400" s="31"/>
      <c r="D1400" s="32"/>
      <c r="E1400" s="34"/>
      <c r="F1400" s="34"/>
      <c r="G1400" s="39"/>
      <c r="H1400" s="39"/>
      <c r="I1400" s="35"/>
    </row>
    <row r="1401">
      <c r="A1401" s="37"/>
      <c r="B1401" s="35"/>
      <c r="C1401" s="31"/>
      <c r="D1401" s="32"/>
      <c r="E1401" s="34"/>
      <c r="F1401" s="34"/>
      <c r="G1401" s="39"/>
      <c r="H1401" s="39"/>
      <c r="I1401" s="35"/>
    </row>
    <row r="1402">
      <c r="A1402" s="37"/>
      <c r="B1402" s="35"/>
      <c r="C1402" s="31"/>
      <c r="D1402" s="32"/>
      <c r="E1402" s="34"/>
      <c r="F1402" s="34"/>
      <c r="G1402" s="39"/>
      <c r="H1402" s="39"/>
      <c r="I1402" s="35"/>
    </row>
    <row r="1403">
      <c r="A1403" s="37"/>
      <c r="B1403" s="35"/>
      <c r="C1403" s="31"/>
      <c r="D1403" s="32"/>
      <c r="E1403" s="34"/>
      <c r="F1403" s="34"/>
      <c r="G1403" s="39"/>
      <c r="H1403" s="39"/>
      <c r="I1403" s="35"/>
    </row>
    <row r="1404">
      <c r="A1404" s="37"/>
      <c r="B1404" s="35"/>
      <c r="C1404" s="31"/>
      <c r="D1404" s="32"/>
      <c r="E1404" s="34"/>
      <c r="F1404" s="34"/>
      <c r="G1404" s="39"/>
      <c r="H1404" s="39"/>
      <c r="I1404" s="35"/>
    </row>
    <row r="1405">
      <c r="A1405" s="37"/>
      <c r="B1405" s="35"/>
      <c r="C1405" s="31"/>
      <c r="D1405" s="32"/>
      <c r="E1405" s="34"/>
      <c r="F1405" s="34"/>
      <c r="G1405" s="39"/>
      <c r="H1405" s="39"/>
      <c r="I1405" s="35"/>
    </row>
    <row r="1406">
      <c r="A1406" s="37"/>
      <c r="B1406" s="35"/>
      <c r="C1406" s="31"/>
      <c r="D1406" s="32"/>
      <c r="E1406" s="34"/>
      <c r="F1406" s="34"/>
      <c r="G1406" s="39"/>
      <c r="H1406" s="39"/>
      <c r="I1406" s="35"/>
    </row>
    <row r="1407">
      <c r="A1407" s="37"/>
      <c r="B1407" s="35"/>
      <c r="C1407" s="31"/>
      <c r="D1407" s="32"/>
      <c r="E1407" s="34"/>
      <c r="F1407" s="34"/>
      <c r="G1407" s="39"/>
      <c r="H1407" s="39"/>
      <c r="I1407" s="35"/>
    </row>
    <row r="1408">
      <c r="A1408" s="37"/>
      <c r="B1408" s="35"/>
      <c r="C1408" s="31"/>
      <c r="D1408" s="32"/>
      <c r="E1408" s="34"/>
      <c r="F1408" s="34"/>
      <c r="G1408" s="39"/>
      <c r="H1408" s="39"/>
      <c r="I1408" s="35"/>
    </row>
    <row r="1409">
      <c r="A1409" s="37"/>
      <c r="B1409" s="35"/>
      <c r="C1409" s="31"/>
      <c r="D1409" s="32"/>
      <c r="E1409" s="34"/>
      <c r="F1409" s="34"/>
      <c r="G1409" s="39"/>
      <c r="H1409" s="39"/>
      <c r="I1409" s="35"/>
    </row>
    <row r="1410">
      <c r="A1410" s="37"/>
      <c r="B1410" s="35"/>
      <c r="C1410" s="31"/>
      <c r="D1410" s="32"/>
      <c r="E1410" s="34"/>
      <c r="F1410" s="34"/>
      <c r="G1410" s="39"/>
      <c r="H1410" s="39"/>
      <c r="I1410" s="35"/>
    </row>
    <row r="1411">
      <c r="A1411" s="37"/>
      <c r="B1411" s="35"/>
      <c r="C1411" s="31"/>
      <c r="D1411" s="32"/>
      <c r="E1411" s="34"/>
      <c r="F1411" s="34"/>
      <c r="G1411" s="39"/>
      <c r="H1411" s="39"/>
      <c r="I1411" s="35"/>
    </row>
    <row r="1412">
      <c r="A1412" s="37"/>
      <c r="B1412" s="35"/>
      <c r="C1412" s="31"/>
      <c r="D1412" s="32"/>
      <c r="E1412" s="34"/>
      <c r="F1412" s="34"/>
      <c r="G1412" s="39"/>
      <c r="H1412" s="39"/>
      <c r="I1412" s="35"/>
    </row>
    <row r="1413">
      <c r="A1413" s="37"/>
      <c r="B1413" s="35"/>
      <c r="C1413" s="31"/>
      <c r="D1413" s="32"/>
      <c r="E1413" s="34"/>
      <c r="F1413" s="34"/>
      <c r="G1413" s="39"/>
      <c r="H1413" s="39"/>
      <c r="I1413" s="35"/>
    </row>
    <row r="1414">
      <c r="A1414" s="37"/>
      <c r="B1414" s="35"/>
      <c r="C1414" s="31"/>
      <c r="D1414" s="32"/>
      <c r="E1414" s="34"/>
      <c r="F1414" s="34"/>
      <c r="G1414" s="39"/>
      <c r="H1414" s="39"/>
      <c r="I1414" s="35"/>
    </row>
    <row r="1415">
      <c r="A1415" s="37"/>
      <c r="B1415" s="35"/>
      <c r="C1415" s="31"/>
      <c r="D1415" s="32"/>
      <c r="E1415" s="34"/>
      <c r="F1415" s="34"/>
      <c r="G1415" s="39"/>
      <c r="H1415" s="39"/>
      <c r="I1415" s="35"/>
    </row>
    <row r="1416">
      <c r="A1416" s="37"/>
      <c r="B1416" s="35"/>
      <c r="C1416" s="31"/>
      <c r="D1416" s="32"/>
      <c r="E1416" s="34"/>
      <c r="F1416" s="34"/>
      <c r="G1416" s="39"/>
      <c r="H1416" s="39"/>
      <c r="I1416" s="35"/>
    </row>
    <row r="1417">
      <c r="A1417" s="37"/>
      <c r="B1417" s="35"/>
      <c r="C1417" s="31"/>
      <c r="D1417" s="32"/>
      <c r="E1417" s="34"/>
      <c r="F1417" s="34"/>
      <c r="G1417" s="39"/>
      <c r="H1417" s="39"/>
      <c r="I1417" s="35"/>
    </row>
    <row r="1418">
      <c r="A1418" s="37"/>
      <c r="B1418" s="35"/>
      <c r="C1418" s="31"/>
      <c r="D1418" s="32"/>
      <c r="E1418" s="34"/>
      <c r="F1418" s="34"/>
      <c r="G1418" s="39"/>
      <c r="H1418" s="39"/>
      <c r="I1418" s="35"/>
    </row>
    <row r="1419">
      <c r="A1419" s="37"/>
      <c r="B1419" s="35"/>
      <c r="C1419" s="31"/>
      <c r="D1419" s="32"/>
      <c r="E1419" s="34"/>
      <c r="F1419" s="34"/>
      <c r="G1419" s="39"/>
      <c r="H1419" s="39"/>
      <c r="I1419" s="35"/>
    </row>
    <row r="1420">
      <c r="A1420" s="37"/>
      <c r="B1420" s="35"/>
      <c r="C1420" s="31"/>
      <c r="D1420" s="32"/>
      <c r="E1420" s="34"/>
      <c r="F1420" s="34"/>
      <c r="G1420" s="39"/>
      <c r="H1420" s="39"/>
      <c r="I1420" s="35"/>
    </row>
    <row r="1421">
      <c r="A1421" s="37"/>
      <c r="B1421" s="35"/>
      <c r="C1421" s="31"/>
      <c r="D1421" s="32"/>
      <c r="E1421" s="34"/>
      <c r="F1421" s="34"/>
      <c r="G1421" s="39"/>
      <c r="H1421" s="39"/>
      <c r="I1421" s="35"/>
    </row>
    <row r="1422">
      <c r="A1422" s="37"/>
      <c r="B1422" s="35"/>
      <c r="C1422" s="31"/>
      <c r="D1422" s="32"/>
      <c r="E1422" s="34"/>
      <c r="F1422" s="34"/>
      <c r="G1422" s="39"/>
      <c r="H1422" s="39"/>
      <c r="I1422" s="35"/>
    </row>
    <row r="1423">
      <c r="A1423" s="37"/>
      <c r="B1423" s="35"/>
      <c r="C1423" s="31"/>
      <c r="D1423" s="32"/>
      <c r="E1423" s="34"/>
      <c r="F1423" s="34"/>
      <c r="G1423" s="39"/>
      <c r="H1423" s="39"/>
      <c r="I1423" s="35"/>
    </row>
    <row r="1424">
      <c r="A1424" s="37"/>
      <c r="B1424" s="35"/>
      <c r="C1424" s="31"/>
      <c r="D1424" s="32"/>
      <c r="E1424" s="34"/>
      <c r="F1424" s="34"/>
      <c r="G1424" s="39"/>
      <c r="H1424" s="39"/>
      <c r="I1424" s="35"/>
    </row>
    <row r="1425">
      <c r="A1425" s="37"/>
      <c r="B1425" s="35"/>
      <c r="C1425" s="31"/>
      <c r="D1425" s="32"/>
      <c r="E1425" s="34"/>
      <c r="F1425" s="34"/>
      <c r="G1425" s="39"/>
      <c r="H1425" s="39"/>
      <c r="I1425" s="35"/>
    </row>
    <row r="1426">
      <c r="A1426" s="37"/>
      <c r="B1426" s="35"/>
      <c r="C1426" s="31"/>
      <c r="D1426" s="32"/>
      <c r="E1426" s="34"/>
      <c r="F1426" s="34"/>
      <c r="G1426" s="39"/>
      <c r="H1426" s="39"/>
      <c r="I1426" s="35"/>
    </row>
    <row r="1427">
      <c r="A1427" s="37"/>
      <c r="B1427" s="35"/>
      <c r="C1427" s="31"/>
      <c r="D1427" s="32"/>
      <c r="E1427" s="34"/>
      <c r="F1427" s="34"/>
      <c r="G1427" s="39"/>
      <c r="H1427" s="39"/>
      <c r="I1427" s="35"/>
    </row>
    <row r="1428">
      <c r="A1428" s="37"/>
      <c r="B1428" s="35"/>
      <c r="C1428" s="31"/>
      <c r="D1428" s="32"/>
      <c r="E1428" s="34"/>
      <c r="F1428" s="34"/>
      <c r="G1428" s="39"/>
      <c r="H1428" s="39"/>
      <c r="I1428" s="35"/>
    </row>
    <row r="1429">
      <c r="A1429" s="37"/>
      <c r="B1429" s="35"/>
      <c r="C1429" s="31"/>
      <c r="D1429" s="32"/>
      <c r="E1429" s="34"/>
      <c r="F1429" s="34"/>
      <c r="G1429" s="39"/>
      <c r="H1429" s="39"/>
      <c r="I1429" s="35"/>
    </row>
    <row r="1430">
      <c r="A1430" s="37"/>
      <c r="B1430" s="35"/>
      <c r="C1430" s="31"/>
      <c r="D1430" s="32"/>
      <c r="E1430" s="34"/>
      <c r="F1430" s="34"/>
      <c r="G1430" s="39"/>
      <c r="H1430" s="39"/>
      <c r="I1430" s="35"/>
    </row>
    <row r="1431">
      <c r="A1431" s="37"/>
      <c r="B1431" s="35"/>
      <c r="C1431" s="31"/>
      <c r="D1431" s="32"/>
      <c r="E1431" s="34"/>
      <c r="F1431" s="34"/>
      <c r="G1431" s="39"/>
      <c r="H1431" s="39"/>
      <c r="I1431" s="35"/>
    </row>
    <row r="1432">
      <c r="A1432" s="37"/>
      <c r="B1432" s="35"/>
      <c r="C1432" s="31"/>
      <c r="D1432" s="32"/>
      <c r="E1432" s="34"/>
      <c r="F1432" s="34"/>
      <c r="G1432" s="39"/>
      <c r="H1432" s="39"/>
      <c r="I1432" s="35"/>
    </row>
    <row r="1433">
      <c r="A1433" s="37"/>
      <c r="B1433" s="35"/>
      <c r="C1433" s="31"/>
      <c r="D1433" s="32"/>
      <c r="E1433" s="34"/>
      <c r="F1433" s="34"/>
      <c r="G1433" s="39"/>
      <c r="H1433" s="39"/>
      <c r="I1433" s="35"/>
    </row>
    <row r="1434">
      <c r="A1434" s="37"/>
      <c r="B1434" s="35"/>
      <c r="C1434" s="31"/>
      <c r="D1434" s="32"/>
      <c r="E1434" s="34"/>
      <c r="F1434" s="34"/>
      <c r="G1434" s="39"/>
      <c r="H1434" s="39"/>
      <c r="I1434" s="35"/>
    </row>
    <row r="1435">
      <c r="A1435" s="37"/>
      <c r="B1435" s="35"/>
      <c r="C1435" s="31"/>
      <c r="D1435" s="32"/>
      <c r="E1435" s="34"/>
      <c r="F1435" s="34"/>
      <c r="G1435" s="39"/>
      <c r="H1435" s="39"/>
      <c r="I1435" s="35"/>
    </row>
    <row r="1436">
      <c r="A1436" s="37"/>
      <c r="B1436" s="35"/>
      <c r="C1436" s="31"/>
      <c r="D1436" s="32"/>
      <c r="E1436" s="34"/>
      <c r="F1436" s="34"/>
      <c r="G1436" s="39"/>
      <c r="H1436" s="39"/>
      <c r="I1436" s="35"/>
    </row>
    <row r="1437">
      <c r="A1437" s="37"/>
      <c r="B1437" s="35"/>
      <c r="C1437" s="31"/>
      <c r="D1437" s="32"/>
      <c r="E1437" s="34"/>
      <c r="F1437" s="34"/>
      <c r="G1437" s="39"/>
      <c r="H1437" s="39"/>
      <c r="I1437" s="35"/>
    </row>
    <row r="1438">
      <c r="A1438" s="37"/>
      <c r="B1438" s="35"/>
      <c r="C1438" s="31"/>
      <c r="D1438" s="32"/>
      <c r="E1438" s="34"/>
      <c r="F1438" s="34"/>
      <c r="G1438" s="39"/>
      <c r="H1438" s="39"/>
      <c r="I1438" s="35"/>
    </row>
    <row r="1439">
      <c r="A1439" s="37"/>
      <c r="B1439" s="35"/>
      <c r="C1439" s="31"/>
      <c r="D1439" s="32"/>
      <c r="E1439" s="34"/>
      <c r="F1439" s="34"/>
      <c r="G1439" s="39"/>
      <c r="H1439" s="39"/>
      <c r="I1439" s="35"/>
    </row>
    <row r="1440">
      <c r="A1440" s="37"/>
      <c r="B1440" s="35"/>
      <c r="C1440" s="31"/>
      <c r="D1440" s="32"/>
      <c r="E1440" s="34"/>
      <c r="F1440" s="34"/>
      <c r="G1440" s="39"/>
      <c r="H1440" s="39"/>
      <c r="I1440" s="35"/>
    </row>
    <row r="1441">
      <c r="A1441" s="37"/>
      <c r="B1441" s="35"/>
      <c r="C1441" s="31"/>
      <c r="D1441" s="32"/>
      <c r="E1441" s="34"/>
      <c r="F1441" s="34"/>
      <c r="G1441" s="39"/>
      <c r="H1441" s="39"/>
      <c r="I1441" s="35"/>
    </row>
    <row r="1442">
      <c r="A1442" s="37"/>
      <c r="B1442" s="35"/>
      <c r="C1442" s="31"/>
      <c r="D1442" s="32"/>
      <c r="E1442" s="34"/>
      <c r="F1442" s="34"/>
      <c r="G1442" s="39"/>
      <c r="H1442" s="39"/>
      <c r="I1442" s="35"/>
    </row>
    <row r="1443">
      <c r="A1443" s="37"/>
      <c r="B1443" s="35"/>
      <c r="C1443" s="31"/>
      <c r="D1443" s="32"/>
      <c r="E1443" s="34"/>
      <c r="F1443" s="34"/>
      <c r="G1443" s="39"/>
      <c r="H1443" s="39"/>
      <c r="I1443" s="35"/>
    </row>
    <row r="1444">
      <c r="A1444" s="37"/>
      <c r="B1444" s="35"/>
      <c r="C1444" s="31"/>
      <c r="D1444" s="32"/>
      <c r="E1444" s="34"/>
      <c r="F1444" s="34"/>
      <c r="G1444" s="39"/>
      <c r="H1444" s="39"/>
      <c r="I1444" s="35"/>
    </row>
    <row r="1445">
      <c r="A1445" s="37"/>
      <c r="B1445" s="35"/>
      <c r="C1445" s="31"/>
      <c r="D1445" s="32"/>
      <c r="E1445" s="34"/>
      <c r="F1445" s="34"/>
      <c r="G1445" s="39"/>
      <c r="H1445" s="39"/>
      <c r="I1445" s="35"/>
    </row>
    <row r="1446">
      <c r="A1446" s="37"/>
      <c r="B1446" s="35"/>
      <c r="C1446" s="31"/>
      <c r="D1446" s="32"/>
      <c r="E1446" s="34"/>
      <c r="F1446" s="34"/>
      <c r="G1446" s="39"/>
      <c r="H1446" s="39"/>
      <c r="I1446" s="35"/>
    </row>
    <row r="1447">
      <c r="A1447" s="37"/>
      <c r="B1447" s="35"/>
      <c r="C1447" s="31"/>
      <c r="D1447" s="32"/>
      <c r="E1447" s="34"/>
      <c r="F1447" s="34"/>
      <c r="G1447" s="39"/>
      <c r="H1447" s="39"/>
      <c r="I1447" s="35"/>
    </row>
    <row r="1448">
      <c r="A1448" s="37"/>
      <c r="B1448" s="35"/>
      <c r="C1448" s="31"/>
      <c r="D1448" s="32"/>
      <c r="E1448" s="34"/>
      <c r="F1448" s="34"/>
      <c r="G1448" s="39"/>
      <c r="H1448" s="39"/>
      <c r="I1448" s="35"/>
    </row>
    <row r="1449">
      <c r="A1449" s="37"/>
      <c r="B1449" s="35"/>
      <c r="C1449" s="31"/>
      <c r="D1449" s="32"/>
      <c r="E1449" s="34"/>
      <c r="F1449" s="34"/>
      <c r="G1449" s="39"/>
      <c r="H1449" s="39"/>
      <c r="I1449" s="35"/>
    </row>
    <row r="1450">
      <c r="A1450" s="37"/>
      <c r="B1450" s="35"/>
      <c r="C1450" s="31"/>
      <c r="D1450" s="32"/>
      <c r="E1450" s="34"/>
      <c r="F1450" s="34"/>
      <c r="G1450" s="39"/>
      <c r="H1450" s="39"/>
      <c r="I1450" s="35"/>
    </row>
    <row r="1451">
      <c r="A1451" s="37"/>
      <c r="B1451" s="35"/>
      <c r="C1451" s="31"/>
      <c r="D1451" s="32"/>
      <c r="E1451" s="34"/>
      <c r="F1451" s="34"/>
      <c r="G1451" s="39"/>
      <c r="H1451" s="39"/>
      <c r="I1451" s="35"/>
    </row>
    <row r="1452">
      <c r="A1452" s="37"/>
      <c r="B1452" s="35"/>
      <c r="C1452" s="31"/>
      <c r="D1452" s="32"/>
      <c r="E1452" s="34"/>
      <c r="F1452" s="34"/>
      <c r="G1452" s="39"/>
      <c r="H1452" s="39"/>
      <c r="I1452" s="35"/>
    </row>
    <row r="1453">
      <c r="A1453" s="37"/>
      <c r="B1453" s="35"/>
      <c r="C1453" s="31"/>
      <c r="D1453" s="32"/>
      <c r="E1453" s="34"/>
      <c r="F1453" s="34"/>
      <c r="G1453" s="39"/>
      <c r="H1453" s="39"/>
      <c r="I1453" s="35"/>
    </row>
    <row r="1454">
      <c r="A1454" s="37"/>
      <c r="B1454" s="35"/>
      <c r="C1454" s="31"/>
      <c r="D1454" s="32"/>
      <c r="E1454" s="34"/>
      <c r="F1454" s="34"/>
      <c r="G1454" s="39"/>
      <c r="H1454" s="39"/>
      <c r="I1454" s="35"/>
    </row>
    <row r="1455">
      <c r="A1455" s="37"/>
      <c r="B1455" s="35"/>
      <c r="C1455" s="31"/>
      <c r="D1455" s="32"/>
      <c r="E1455" s="34"/>
      <c r="F1455" s="34"/>
      <c r="G1455" s="39"/>
      <c r="H1455" s="39"/>
      <c r="I1455" s="35"/>
    </row>
    <row r="1456">
      <c r="A1456" s="37"/>
      <c r="B1456" s="35"/>
      <c r="C1456" s="31"/>
      <c r="D1456" s="32"/>
      <c r="E1456" s="34"/>
      <c r="F1456" s="34"/>
      <c r="G1456" s="39"/>
      <c r="H1456" s="39"/>
      <c r="I1456" s="35"/>
    </row>
    <row r="1457">
      <c r="A1457" s="37"/>
      <c r="B1457" s="35"/>
      <c r="C1457" s="31"/>
      <c r="D1457" s="32"/>
      <c r="E1457" s="34"/>
      <c r="F1457" s="34"/>
      <c r="G1457" s="39"/>
      <c r="H1457" s="39"/>
      <c r="I1457" s="35"/>
    </row>
    <row r="1458">
      <c r="A1458" s="37"/>
      <c r="B1458" s="35"/>
      <c r="C1458" s="31"/>
      <c r="D1458" s="32"/>
      <c r="E1458" s="34"/>
      <c r="F1458" s="34"/>
      <c r="G1458" s="39"/>
      <c r="H1458" s="39"/>
      <c r="I1458" s="35"/>
    </row>
    <row r="1459">
      <c r="A1459" s="37"/>
      <c r="B1459" s="35"/>
      <c r="C1459" s="31"/>
      <c r="D1459" s="32"/>
      <c r="E1459" s="34"/>
      <c r="F1459" s="34"/>
      <c r="G1459" s="39"/>
      <c r="H1459" s="39"/>
      <c r="I1459" s="35"/>
    </row>
    <row r="1460">
      <c r="A1460" s="37"/>
      <c r="B1460" s="35"/>
      <c r="C1460" s="31"/>
      <c r="D1460" s="32"/>
      <c r="E1460" s="34"/>
      <c r="F1460" s="34"/>
      <c r="G1460" s="39"/>
      <c r="H1460" s="39"/>
      <c r="I1460" s="35"/>
    </row>
    <row r="1461">
      <c r="A1461" s="37"/>
      <c r="B1461" s="35"/>
      <c r="C1461" s="31"/>
      <c r="D1461" s="32"/>
      <c r="E1461" s="34"/>
      <c r="F1461" s="34"/>
      <c r="G1461" s="39"/>
      <c r="H1461" s="39"/>
      <c r="I1461" s="35"/>
    </row>
    <row r="1462">
      <c r="A1462" s="37"/>
      <c r="B1462" s="35"/>
      <c r="C1462" s="31"/>
      <c r="D1462" s="32"/>
      <c r="E1462" s="34"/>
      <c r="F1462" s="34"/>
      <c r="G1462" s="39"/>
      <c r="H1462" s="39"/>
      <c r="I1462" s="35"/>
    </row>
    <row r="1463">
      <c r="A1463" s="37"/>
      <c r="B1463" s="35"/>
      <c r="C1463" s="31"/>
      <c r="D1463" s="32"/>
      <c r="E1463" s="34"/>
      <c r="F1463" s="34"/>
      <c r="G1463" s="39"/>
      <c r="H1463" s="39"/>
      <c r="I1463" s="35"/>
    </row>
    <row r="1464">
      <c r="A1464" s="37"/>
      <c r="B1464" s="35"/>
      <c r="C1464" s="31"/>
      <c r="D1464" s="32"/>
      <c r="E1464" s="34"/>
      <c r="F1464" s="34"/>
      <c r="G1464" s="39"/>
      <c r="H1464" s="39"/>
      <c r="I1464" s="35"/>
    </row>
    <row r="1465">
      <c r="A1465" s="37"/>
      <c r="B1465" s="35"/>
      <c r="C1465" s="31"/>
      <c r="D1465" s="32"/>
      <c r="E1465" s="34"/>
      <c r="F1465" s="34"/>
      <c r="G1465" s="39"/>
      <c r="H1465" s="39"/>
      <c r="I1465" s="35"/>
    </row>
    <row r="1466">
      <c r="A1466" s="37"/>
      <c r="B1466" s="35"/>
      <c r="C1466" s="31"/>
      <c r="D1466" s="32"/>
      <c r="E1466" s="34"/>
      <c r="F1466" s="34"/>
      <c r="G1466" s="39"/>
      <c r="H1466" s="39"/>
      <c r="I1466" s="35"/>
    </row>
    <row r="1467">
      <c r="A1467" s="37"/>
      <c r="B1467" s="35"/>
      <c r="C1467" s="31"/>
      <c r="D1467" s="32"/>
      <c r="E1467" s="34"/>
      <c r="F1467" s="34"/>
      <c r="G1467" s="39"/>
      <c r="H1467" s="39"/>
      <c r="I1467" s="35"/>
    </row>
    <row r="1468">
      <c r="A1468" s="37"/>
      <c r="B1468" s="35"/>
      <c r="C1468" s="31"/>
      <c r="D1468" s="32"/>
      <c r="E1468" s="34"/>
      <c r="F1468" s="34"/>
      <c r="G1468" s="39"/>
      <c r="H1468" s="39"/>
      <c r="I1468" s="35"/>
    </row>
    <row r="1469">
      <c r="A1469" s="37"/>
      <c r="B1469" s="35"/>
      <c r="C1469" s="31"/>
      <c r="D1469" s="32"/>
      <c r="E1469" s="34"/>
      <c r="F1469" s="34"/>
      <c r="G1469" s="39"/>
      <c r="H1469" s="39"/>
      <c r="I1469" s="35"/>
    </row>
    <row r="1470">
      <c r="A1470" s="37"/>
      <c r="B1470" s="35"/>
      <c r="C1470" s="31"/>
      <c r="D1470" s="32"/>
      <c r="E1470" s="34"/>
      <c r="F1470" s="34"/>
      <c r="G1470" s="39"/>
      <c r="H1470" s="39"/>
      <c r="I1470" s="35"/>
    </row>
    <row r="1471">
      <c r="A1471" s="37"/>
      <c r="B1471" s="35"/>
      <c r="C1471" s="31"/>
      <c r="D1471" s="32"/>
      <c r="E1471" s="34"/>
      <c r="F1471" s="34"/>
      <c r="G1471" s="39"/>
      <c r="H1471" s="39"/>
      <c r="I1471" s="35"/>
    </row>
    <row r="1472">
      <c r="A1472" s="37"/>
      <c r="B1472" s="35"/>
      <c r="C1472" s="31"/>
      <c r="D1472" s="32"/>
      <c r="E1472" s="34"/>
      <c r="F1472" s="34"/>
      <c r="G1472" s="39"/>
      <c r="H1472" s="39"/>
      <c r="I1472" s="35"/>
    </row>
    <row r="1473">
      <c r="A1473" s="37"/>
      <c r="B1473" s="35"/>
      <c r="C1473" s="31"/>
      <c r="D1473" s="32"/>
      <c r="E1473" s="34"/>
      <c r="F1473" s="34"/>
      <c r="G1473" s="39"/>
      <c r="H1473" s="39"/>
      <c r="I1473" s="35"/>
    </row>
    <row r="1474">
      <c r="A1474" s="37"/>
      <c r="B1474" s="35"/>
      <c r="C1474" s="31"/>
      <c r="D1474" s="32"/>
      <c r="E1474" s="34"/>
      <c r="F1474" s="34"/>
      <c r="G1474" s="39"/>
      <c r="H1474" s="39"/>
      <c r="I1474" s="35"/>
    </row>
    <row r="1475">
      <c r="A1475" s="37"/>
      <c r="B1475" s="35"/>
      <c r="C1475" s="31"/>
      <c r="D1475" s="32"/>
      <c r="E1475" s="34"/>
      <c r="F1475" s="34"/>
      <c r="G1475" s="39"/>
      <c r="H1475" s="39"/>
      <c r="I1475" s="35"/>
    </row>
    <row r="1476">
      <c r="A1476" s="37"/>
      <c r="B1476" s="35"/>
      <c r="C1476" s="31"/>
      <c r="D1476" s="32"/>
      <c r="E1476" s="34"/>
      <c r="F1476" s="34"/>
      <c r="G1476" s="39"/>
      <c r="H1476" s="39"/>
      <c r="I1476" s="35"/>
    </row>
    <row r="1477">
      <c r="A1477" s="37"/>
      <c r="B1477" s="35"/>
      <c r="C1477" s="31"/>
      <c r="D1477" s="32"/>
      <c r="E1477" s="34"/>
      <c r="F1477" s="34"/>
      <c r="G1477" s="39"/>
      <c r="H1477" s="39"/>
      <c r="I1477" s="35"/>
    </row>
    <row r="1478">
      <c r="A1478" s="37"/>
      <c r="B1478" s="35"/>
      <c r="C1478" s="31"/>
      <c r="D1478" s="32"/>
      <c r="E1478" s="34"/>
      <c r="F1478" s="34"/>
      <c r="G1478" s="39"/>
      <c r="H1478" s="39"/>
      <c r="I1478" s="35"/>
    </row>
    <row r="1479">
      <c r="A1479" s="37"/>
      <c r="B1479" s="35"/>
      <c r="C1479" s="31"/>
      <c r="D1479" s="32"/>
      <c r="E1479" s="34"/>
      <c r="F1479" s="34"/>
      <c r="G1479" s="39"/>
      <c r="H1479" s="39"/>
      <c r="I1479" s="35"/>
    </row>
    <row r="1480">
      <c r="A1480" s="37"/>
      <c r="B1480" s="35"/>
      <c r="C1480" s="31"/>
      <c r="D1480" s="32"/>
      <c r="E1480" s="34"/>
      <c r="F1480" s="34"/>
      <c r="G1480" s="39"/>
      <c r="H1480" s="39"/>
      <c r="I1480" s="35"/>
    </row>
    <row r="1481">
      <c r="A1481" s="37"/>
      <c r="B1481" s="35"/>
      <c r="C1481" s="31"/>
      <c r="D1481" s="32"/>
      <c r="E1481" s="34"/>
      <c r="F1481" s="34"/>
      <c r="G1481" s="39"/>
      <c r="H1481" s="39"/>
      <c r="I1481" s="35"/>
    </row>
    <row r="1482">
      <c r="A1482" s="37"/>
      <c r="B1482" s="35"/>
      <c r="C1482" s="31"/>
      <c r="D1482" s="32"/>
      <c r="E1482" s="34"/>
      <c r="F1482" s="34"/>
      <c r="G1482" s="39"/>
      <c r="H1482" s="39"/>
      <c r="I1482" s="35"/>
    </row>
    <row r="1483">
      <c r="A1483" s="37"/>
      <c r="B1483" s="35"/>
      <c r="C1483" s="31"/>
      <c r="D1483" s="32"/>
      <c r="E1483" s="34"/>
      <c r="F1483" s="34"/>
      <c r="G1483" s="39"/>
      <c r="H1483" s="39"/>
      <c r="I1483" s="35"/>
    </row>
    <row r="1484">
      <c r="A1484" s="37"/>
      <c r="B1484" s="35"/>
      <c r="C1484" s="31"/>
      <c r="D1484" s="32"/>
      <c r="E1484" s="34"/>
      <c r="F1484" s="34"/>
      <c r="G1484" s="39"/>
      <c r="H1484" s="39"/>
      <c r="I1484" s="35"/>
    </row>
    <row r="1485">
      <c r="A1485" s="37"/>
      <c r="B1485" s="35"/>
      <c r="C1485" s="31"/>
      <c r="D1485" s="32"/>
      <c r="E1485" s="34"/>
      <c r="F1485" s="34"/>
      <c r="G1485" s="39"/>
      <c r="H1485" s="39"/>
      <c r="I1485" s="35"/>
    </row>
    <row r="1486">
      <c r="A1486" s="37"/>
      <c r="B1486" s="35"/>
      <c r="C1486" s="31"/>
      <c r="D1486" s="32"/>
      <c r="E1486" s="34"/>
      <c r="F1486" s="34"/>
      <c r="G1486" s="39"/>
      <c r="H1486" s="39"/>
      <c r="I1486" s="35"/>
    </row>
    <row r="1487">
      <c r="A1487" s="37"/>
      <c r="B1487" s="35"/>
      <c r="C1487" s="31"/>
      <c r="D1487" s="32"/>
      <c r="E1487" s="34"/>
      <c r="F1487" s="34"/>
      <c r="G1487" s="39"/>
      <c r="H1487" s="39"/>
      <c r="I1487" s="35"/>
    </row>
    <row r="1488">
      <c r="A1488" s="37"/>
      <c r="B1488" s="35"/>
      <c r="C1488" s="31"/>
      <c r="D1488" s="32"/>
      <c r="E1488" s="34"/>
      <c r="F1488" s="34"/>
      <c r="G1488" s="39"/>
      <c r="H1488" s="39"/>
      <c r="I1488" s="35"/>
    </row>
    <row r="1489">
      <c r="A1489" s="37"/>
      <c r="B1489" s="35"/>
      <c r="C1489" s="31"/>
      <c r="D1489" s="32"/>
      <c r="E1489" s="34"/>
      <c r="F1489" s="34"/>
      <c r="G1489" s="39"/>
      <c r="H1489" s="39"/>
      <c r="I1489" s="35"/>
    </row>
    <row r="1490">
      <c r="A1490" s="37"/>
      <c r="B1490" s="35"/>
      <c r="C1490" s="31"/>
      <c r="D1490" s="32"/>
      <c r="E1490" s="34"/>
      <c r="F1490" s="34"/>
      <c r="G1490" s="39"/>
      <c r="H1490" s="39"/>
      <c r="I1490" s="35"/>
    </row>
    <row r="1491">
      <c r="A1491" s="37"/>
      <c r="B1491" s="35"/>
      <c r="C1491" s="31"/>
      <c r="D1491" s="32"/>
      <c r="E1491" s="34"/>
      <c r="F1491" s="34"/>
      <c r="G1491" s="39"/>
      <c r="H1491" s="39"/>
      <c r="I1491" s="35"/>
    </row>
    <row r="1492">
      <c r="A1492" s="37"/>
      <c r="B1492" s="35"/>
      <c r="C1492" s="31"/>
      <c r="D1492" s="32"/>
      <c r="E1492" s="34"/>
      <c r="F1492" s="34"/>
      <c r="G1492" s="39"/>
      <c r="H1492" s="39"/>
      <c r="I1492" s="35"/>
    </row>
    <row r="1493">
      <c r="A1493" s="37"/>
      <c r="B1493" s="35"/>
      <c r="C1493" s="31"/>
      <c r="D1493" s="32"/>
      <c r="E1493" s="34"/>
      <c r="F1493" s="34"/>
      <c r="G1493" s="39"/>
      <c r="H1493" s="39"/>
      <c r="I1493" s="35"/>
    </row>
    <row r="1494">
      <c r="A1494" s="37"/>
      <c r="B1494" s="35"/>
      <c r="C1494" s="31"/>
      <c r="D1494" s="32"/>
      <c r="E1494" s="34"/>
      <c r="F1494" s="34"/>
      <c r="G1494" s="39"/>
      <c r="H1494" s="39"/>
      <c r="I1494" s="35"/>
    </row>
    <row r="1495">
      <c r="A1495" s="37"/>
      <c r="B1495" s="35"/>
      <c r="C1495" s="31"/>
      <c r="D1495" s="32"/>
      <c r="E1495" s="34"/>
      <c r="F1495" s="34"/>
      <c r="G1495" s="39"/>
      <c r="H1495" s="39"/>
      <c r="I1495" s="35"/>
    </row>
    <row r="1496">
      <c r="A1496" s="37"/>
      <c r="B1496" s="35"/>
      <c r="C1496" s="31"/>
      <c r="D1496" s="32"/>
      <c r="E1496" s="34"/>
      <c r="F1496" s="34"/>
      <c r="G1496" s="39"/>
      <c r="H1496" s="39"/>
      <c r="I1496" s="35"/>
    </row>
    <row r="1497">
      <c r="A1497" s="37"/>
      <c r="B1497" s="35"/>
      <c r="C1497" s="31"/>
      <c r="D1497" s="32"/>
      <c r="E1497" s="34"/>
      <c r="F1497" s="34"/>
      <c r="G1497" s="39"/>
      <c r="H1497" s="39"/>
      <c r="I1497" s="35"/>
    </row>
    <row r="1498">
      <c r="A1498" s="37"/>
      <c r="B1498" s="35"/>
      <c r="C1498" s="31"/>
      <c r="D1498" s="32"/>
      <c r="E1498" s="34"/>
      <c r="F1498" s="34"/>
      <c r="G1498" s="39"/>
      <c r="H1498" s="39"/>
      <c r="I1498" s="35"/>
    </row>
    <row r="1499">
      <c r="A1499" s="37"/>
      <c r="B1499" s="35"/>
      <c r="C1499" s="31"/>
      <c r="D1499" s="32"/>
      <c r="E1499" s="34"/>
      <c r="F1499" s="34"/>
      <c r="G1499" s="39"/>
      <c r="H1499" s="39"/>
      <c r="I1499" s="35"/>
    </row>
    <row r="1500">
      <c r="A1500" s="37"/>
      <c r="B1500" s="35"/>
      <c r="C1500" s="31"/>
      <c r="D1500" s="32"/>
      <c r="E1500" s="34"/>
      <c r="F1500" s="34"/>
      <c r="G1500" s="39"/>
      <c r="H1500" s="39"/>
      <c r="I1500" s="35"/>
    </row>
    <row r="1501">
      <c r="A1501" s="37"/>
      <c r="B1501" s="35"/>
      <c r="C1501" s="31"/>
      <c r="D1501" s="32"/>
      <c r="E1501" s="34"/>
      <c r="F1501" s="34"/>
      <c r="G1501" s="39"/>
      <c r="H1501" s="39"/>
      <c r="I1501" s="35"/>
    </row>
    <row r="1502">
      <c r="A1502" s="37"/>
      <c r="B1502" s="35"/>
      <c r="C1502" s="31"/>
      <c r="D1502" s="32"/>
      <c r="E1502" s="34"/>
      <c r="F1502" s="34"/>
      <c r="G1502" s="39"/>
      <c r="H1502" s="39"/>
      <c r="I1502" s="35"/>
    </row>
    <row r="1503">
      <c r="A1503" s="37"/>
      <c r="B1503" s="35"/>
      <c r="C1503" s="31"/>
      <c r="D1503" s="32"/>
      <c r="E1503" s="34"/>
      <c r="F1503" s="34"/>
      <c r="G1503" s="39"/>
      <c r="H1503" s="39"/>
      <c r="I1503" s="35"/>
    </row>
    <row r="1504">
      <c r="A1504" s="37"/>
      <c r="B1504" s="35"/>
      <c r="C1504" s="31"/>
      <c r="D1504" s="32"/>
      <c r="E1504" s="34"/>
      <c r="F1504" s="34"/>
      <c r="G1504" s="39"/>
      <c r="H1504" s="39"/>
      <c r="I1504" s="35"/>
    </row>
    <row r="1505">
      <c r="A1505" s="37"/>
      <c r="B1505" s="35"/>
      <c r="C1505" s="31"/>
      <c r="D1505" s="32"/>
      <c r="E1505" s="34"/>
      <c r="F1505" s="34"/>
      <c r="G1505" s="39"/>
      <c r="H1505" s="39"/>
      <c r="I1505" s="35"/>
    </row>
    <row r="1506">
      <c r="A1506" s="37"/>
      <c r="B1506" s="35"/>
      <c r="C1506" s="31"/>
      <c r="D1506" s="32"/>
      <c r="E1506" s="34"/>
      <c r="F1506" s="34"/>
      <c r="G1506" s="39"/>
      <c r="H1506" s="39"/>
      <c r="I1506" s="35"/>
    </row>
    <row r="1507">
      <c r="A1507" s="37"/>
      <c r="B1507" s="35"/>
      <c r="C1507" s="31"/>
      <c r="D1507" s="32"/>
      <c r="E1507" s="34"/>
      <c r="F1507" s="34"/>
      <c r="G1507" s="39"/>
      <c r="H1507" s="39"/>
      <c r="I1507" s="35"/>
    </row>
    <row r="1508">
      <c r="A1508" s="37"/>
      <c r="B1508" s="35"/>
      <c r="C1508" s="31"/>
      <c r="D1508" s="32"/>
      <c r="E1508" s="34"/>
      <c r="F1508" s="34"/>
      <c r="G1508" s="39"/>
      <c r="H1508" s="39"/>
      <c r="I1508" s="35"/>
    </row>
    <row r="1509">
      <c r="A1509" s="37"/>
      <c r="B1509" s="35"/>
      <c r="C1509" s="31"/>
      <c r="D1509" s="32"/>
      <c r="E1509" s="34"/>
      <c r="F1509" s="34"/>
      <c r="G1509" s="39"/>
      <c r="H1509" s="39"/>
      <c r="I1509" s="35"/>
    </row>
    <row r="1510">
      <c r="A1510" s="37"/>
      <c r="B1510" s="35"/>
      <c r="C1510" s="31"/>
      <c r="D1510" s="32"/>
      <c r="E1510" s="34"/>
      <c r="F1510" s="34"/>
      <c r="G1510" s="39"/>
      <c r="H1510" s="39"/>
      <c r="I1510" s="35"/>
    </row>
    <row r="1511">
      <c r="A1511" s="37"/>
      <c r="B1511" s="35"/>
      <c r="C1511" s="31"/>
      <c r="D1511" s="32"/>
      <c r="E1511" s="34"/>
      <c r="F1511" s="34"/>
      <c r="G1511" s="39"/>
      <c r="H1511" s="39"/>
      <c r="I1511" s="35"/>
    </row>
    <row r="1512">
      <c r="A1512" s="37"/>
      <c r="B1512" s="35"/>
      <c r="C1512" s="31"/>
      <c r="D1512" s="32"/>
      <c r="E1512" s="34"/>
      <c r="F1512" s="34"/>
      <c r="G1512" s="39"/>
      <c r="H1512" s="39"/>
      <c r="I1512" s="35"/>
    </row>
    <row r="1513">
      <c r="A1513" s="37"/>
      <c r="B1513" s="35"/>
      <c r="C1513" s="31"/>
      <c r="D1513" s="32"/>
      <c r="E1513" s="34"/>
      <c r="F1513" s="34"/>
      <c r="G1513" s="39"/>
      <c r="H1513" s="39"/>
      <c r="I1513" s="35"/>
    </row>
    <row r="1514">
      <c r="A1514" s="37"/>
      <c r="B1514" s="35"/>
      <c r="C1514" s="31"/>
      <c r="D1514" s="32"/>
      <c r="E1514" s="34"/>
      <c r="F1514" s="34"/>
      <c r="G1514" s="39"/>
      <c r="H1514" s="39"/>
      <c r="I1514" s="35"/>
    </row>
    <row r="1515">
      <c r="A1515" s="37"/>
      <c r="B1515" s="35"/>
      <c r="C1515" s="31"/>
      <c r="D1515" s="32"/>
      <c r="E1515" s="34"/>
      <c r="F1515" s="34"/>
      <c r="G1515" s="39"/>
      <c r="H1515" s="39"/>
      <c r="I1515" s="35"/>
    </row>
    <row r="1516">
      <c r="A1516" s="37"/>
      <c r="B1516" s="35"/>
      <c r="C1516" s="31"/>
      <c r="D1516" s="32"/>
      <c r="E1516" s="34"/>
      <c r="F1516" s="34"/>
      <c r="G1516" s="39"/>
      <c r="H1516" s="39"/>
      <c r="I1516" s="35"/>
    </row>
    <row r="1517">
      <c r="A1517" s="37"/>
      <c r="B1517" s="35"/>
      <c r="C1517" s="31"/>
      <c r="D1517" s="32"/>
      <c r="E1517" s="34"/>
      <c r="F1517" s="34"/>
      <c r="G1517" s="39"/>
      <c r="H1517" s="39"/>
      <c r="I1517" s="35"/>
    </row>
    <row r="1518">
      <c r="A1518" s="37"/>
      <c r="B1518" s="35"/>
      <c r="C1518" s="31"/>
      <c r="D1518" s="32"/>
      <c r="E1518" s="34"/>
      <c r="F1518" s="34"/>
      <c r="G1518" s="39"/>
      <c r="H1518" s="39"/>
      <c r="I1518" s="35"/>
    </row>
    <row r="1519">
      <c r="A1519" s="37"/>
      <c r="B1519" s="35"/>
      <c r="C1519" s="31"/>
      <c r="D1519" s="32"/>
      <c r="E1519" s="34"/>
      <c r="F1519" s="34"/>
      <c r="G1519" s="39"/>
      <c r="H1519" s="39"/>
      <c r="I1519" s="35"/>
    </row>
    <row r="1520">
      <c r="A1520" s="37"/>
      <c r="B1520" s="35"/>
      <c r="C1520" s="31"/>
      <c r="D1520" s="32"/>
      <c r="E1520" s="34"/>
      <c r="F1520" s="34"/>
      <c r="G1520" s="39"/>
      <c r="H1520" s="39"/>
      <c r="I1520" s="35"/>
    </row>
    <row r="1521">
      <c r="A1521" s="37"/>
      <c r="B1521" s="35"/>
      <c r="C1521" s="31"/>
      <c r="D1521" s="32"/>
      <c r="E1521" s="34"/>
      <c r="F1521" s="34"/>
      <c r="G1521" s="39"/>
      <c r="H1521" s="39"/>
      <c r="I1521" s="35"/>
    </row>
    <row r="1522">
      <c r="A1522" s="37"/>
      <c r="B1522" s="35"/>
      <c r="C1522" s="31"/>
      <c r="D1522" s="32"/>
      <c r="E1522" s="34"/>
      <c r="F1522" s="34"/>
      <c r="G1522" s="39"/>
      <c r="H1522" s="39"/>
      <c r="I1522" s="35"/>
    </row>
    <row r="1523">
      <c r="A1523" s="37"/>
      <c r="B1523" s="35"/>
      <c r="C1523" s="31"/>
      <c r="D1523" s="32"/>
      <c r="E1523" s="34"/>
      <c r="F1523" s="34"/>
      <c r="G1523" s="39"/>
      <c r="H1523" s="39"/>
      <c r="I1523" s="35"/>
    </row>
    <row r="1524">
      <c r="A1524" s="37"/>
      <c r="B1524" s="35"/>
      <c r="C1524" s="31"/>
      <c r="D1524" s="32"/>
      <c r="E1524" s="34"/>
      <c r="F1524" s="34"/>
      <c r="G1524" s="39"/>
      <c r="H1524" s="39"/>
      <c r="I1524" s="35"/>
    </row>
    <row r="1525">
      <c r="A1525" s="37"/>
      <c r="B1525" s="35"/>
      <c r="C1525" s="31"/>
      <c r="D1525" s="32"/>
      <c r="E1525" s="34"/>
      <c r="F1525" s="34"/>
      <c r="G1525" s="39"/>
      <c r="H1525" s="39"/>
      <c r="I1525" s="35"/>
    </row>
    <row r="1526">
      <c r="A1526" s="37"/>
      <c r="B1526" s="35"/>
      <c r="C1526" s="31"/>
      <c r="D1526" s="32"/>
      <c r="E1526" s="34"/>
      <c r="F1526" s="34"/>
      <c r="G1526" s="39"/>
      <c r="H1526" s="39"/>
      <c r="I1526" s="35"/>
    </row>
    <row r="1527">
      <c r="A1527" s="37"/>
      <c r="B1527" s="35"/>
      <c r="C1527" s="31"/>
      <c r="D1527" s="32"/>
      <c r="E1527" s="34"/>
      <c r="F1527" s="34"/>
      <c r="G1527" s="39"/>
      <c r="H1527" s="39"/>
      <c r="I1527" s="35"/>
    </row>
    <row r="1528">
      <c r="A1528" s="37"/>
      <c r="B1528" s="35"/>
      <c r="C1528" s="31"/>
      <c r="D1528" s="32"/>
      <c r="E1528" s="34"/>
      <c r="F1528" s="34"/>
      <c r="G1528" s="39"/>
      <c r="H1528" s="39"/>
      <c r="I1528" s="35"/>
    </row>
    <row r="1529">
      <c r="A1529" s="37"/>
      <c r="B1529" s="35"/>
      <c r="C1529" s="31"/>
      <c r="D1529" s="32"/>
      <c r="E1529" s="34"/>
      <c r="F1529" s="34"/>
      <c r="G1529" s="39"/>
      <c r="H1529" s="39"/>
      <c r="I1529" s="35"/>
    </row>
    <row r="1530">
      <c r="A1530" s="37"/>
      <c r="B1530" s="35"/>
      <c r="C1530" s="31"/>
      <c r="D1530" s="32"/>
      <c r="E1530" s="34"/>
      <c r="F1530" s="34"/>
      <c r="G1530" s="39"/>
      <c r="H1530" s="39"/>
      <c r="I1530" s="35"/>
    </row>
    <row r="1531">
      <c r="A1531" s="37"/>
      <c r="B1531" s="35"/>
      <c r="C1531" s="31"/>
      <c r="D1531" s="32"/>
      <c r="E1531" s="34"/>
      <c r="F1531" s="34"/>
      <c r="G1531" s="39"/>
      <c r="H1531" s="39"/>
      <c r="I1531" s="35"/>
    </row>
    <row r="1532">
      <c r="A1532" s="37"/>
      <c r="B1532" s="35"/>
      <c r="C1532" s="31"/>
      <c r="D1532" s="32"/>
      <c r="E1532" s="34"/>
      <c r="F1532" s="34"/>
      <c r="G1532" s="39"/>
      <c r="H1532" s="39"/>
      <c r="I1532" s="35"/>
    </row>
    <row r="1533">
      <c r="A1533" s="37"/>
      <c r="B1533" s="35"/>
      <c r="C1533" s="31"/>
      <c r="D1533" s="32"/>
      <c r="E1533" s="34"/>
      <c r="F1533" s="34"/>
      <c r="G1533" s="39"/>
      <c r="H1533" s="39"/>
      <c r="I1533" s="35"/>
    </row>
    <row r="1534">
      <c r="A1534" s="37"/>
      <c r="B1534" s="35"/>
      <c r="C1534" s="31"/>
      <c r="D1534" s="32"/>
      <c r="E1534" s="34"/>
      <c r="F1534" s="34"/>
      <c r="G1534" s="39"/>
      <c r="H1534" s="39"/>
      <c r="I1534" s="35"/>
    </row>
    <row r="1535">
      <c r="A1535" s="37"/>
      <c r="B1535" s="35"/>
      <c r="C1535" s="31"/>
      <c r="D1535" s="32"/>
      <c r="E1535" s="34"/>
      <c r="F1535" s="34"/>
      <c r="G1535" s="39"/>
      <c r="H1535" s="39"/>
      <c r="I1535" s="35"/>
    </row>
    <row r="1536">
      <c r="A1536" s="37"/>
      <c r="B1536" s="35"/>
      <c r="C1536" s="31"/>
      <c r="D1536" s="32"/>
      <c r="E1536" s="34"/>
      <c r="F1536" s="34"/>
      <c r="G1536" s="39"/>
      <c r="H1536" s="39"/>
      <c r="I1536" s="35"/>
    </row>
    <row r="1537">
      <c r="A1537" s="37"/>
      <c r="B1537" s="35"/>
      <c r="C1537" s="31"/>
      <c r="D1537" s="32"/>
      <c r="E1537" s="34"/>
      <c r="F1537" s="34"/>
      <c r="G1537" s="39"/>
      <c r="H1537" s="39"/>
      <c r="I1537" s="35"/>
    </row>
    <row r="1538">
      <c r="A1538" s="37"/>
      <c r="B1538" s="35"/>
      <c r="C1538" s="31"/>
      <c r="D1538" s="32"/>
      <c r="E1538" s="34"/>
      <c r="F1538" s="34"/>
      <c r="G1538" s="39"/>
      <c r="H1538" s="39"/>
      <c r="I1538" s="35"/>
    </row>
    <row r="1539">
      <c r="A1539" s="37"/>
      <c r="B1539" s="35"/>
      <c r="C1539" s="31"/>
      <c r="D1539" s="32"/>
      <c r="E1539" s="34"/>
      <c r="F1539" s="34"/>
      <c r="G1539" s="39"/>
      <c r="H1539" s="39"/>
      <c r="I1539" s="35"/>
    </row>
    <row r="1540">
      <c r="A1540" s="37"/>
      <c r="B1540" s="35"/>
      <c r="C1540" s="31"/>
      <c r="D1540" s="32"/>
      <c r="E1540" s="34"/>
      <c r="F1540" s="34"/>
      <c r="G1540" s="39"/>
      <c r="H1540" s="39"/>
      <c r="I1540" s="35"/>
    </row>
    <row r="1541">
      <c r="A1541" s="37"/>
      <c r="B1541" s="35"/>
      <c r="C1541" s="31"/>
      <c r="D1541" s="32"/>
      <c r="E1541" s="34"/>
      <c r="F1541" s="34"/>
      <c r="G1541" s="39"/>
      <c r="H1541" s="39"/>
      <c r="I1541" s="35"/>
    </row>
    <row r="1542">
      <c r="A1542" s="37"/>
      <c r="B1542" s="35"/>
      <c r="C1542" s="31"/>
      <c r="D1542" s="32"/>
      <c r="E1542" s="34"/>
      <c r="F1542" s="34"/>
      <c r="G1542" s="39"/>
      <c r="H1542" s="39"/>
      <c r="I1542" s="35"/>
    </row>
    <row r="1543">
      <c r="A1543" s="37"/>
      <c r="B1543" s="35"/>
      <c r="C1543" s="31"/>
      <c r="D1543" s="32"/>
      <c r="E1543" s="34"/>
      <c r="F1543" s="34"/>
      <c r="G1543" s="39"/>
      <c r="H1543" s="39"/>
      <c r="I1543" s="35"/>
    </row>
    <row r="1544">
      <c r="A1544" s="37"/>
      <c r="B1544" s="35"/>
      <c r="C1544" s="31"/>
      <c r="D1544" s="32"/>
      <c r="E1544" s="34"/>
      <c r="F1544" s="34"/>
      <c r="G1544" s="39"/>
      <c r="H1544" s="39"/>
      <c r="I1544" s="35"/>
    </row>
    <row r="1545">
      <c r="A1545" s="37"/>
      <c r="B1545" s="35"/>
      <c r="C1545" s="31"/>
      <c r="D1545" s="32"/>
      <c r="E1545" s="34"/>
      <c r="F1545" s="34"/>
      <c r="G1545" s="39"/>
      <c r="H1545" s="39"/>
      <c r="I1545" s="35"/>
    </row>
    <row r="1546">
      <c r="A1546" s="37"/>
      <c r="B1546" s="35"/>
      <c r="C1546" s="31"/>
      <c r="D1546" s="32"/>
      <c r="E1546" s="34"/>
      <c r="F1546" s="34"/>
      <c r="G1546" s="39"/>
      <c r="H1546" s="39"/>
      <c r="I1546" s="35"/>
    </row>
    <row r="1547">
      <c r="A1547" s="37"/>
      <c r="B1547" s="35"/>
      <c r="C1547" s="31"/>
      <c r="D1547" s="32"/>
      <c r="E1547" s="34"/>
      <c r="F1547" s="34"/>
      <c r="G1547" s="39"/>
      <c r="H1547" s="39"/>
      <c r="I1547" s="35"/>
    </row>
    <row r="1548">
      <c r="A1548" s="37"/>
      <c r="B1548" s="35"/>
      <c r="C1548" s="31"/>
      <c r="D1548" s="32"/>
      <c r="E1548" s="34"/>
      <c r="F1548" s="34"/>
      <c r="G1548" s="39"/>
      <c r="H1548" s="39"/>
      <c r="I1548" s="35"/>
    </row>
    <row r="1549">
      <c r="A1549" s="37"/>
      <c r="B1549" s="35"/>
      <c r="C1549" s="31"/>
      <c r="D1549" s="32"/>
      <c r="E1549" s="34"/>
      <c r="F1549" s="34"/>
      <c r="G1549" s="39"/>
      <c r="H1549" s="39"/>
      <c r="I1549" s="35"/>
    </row>
    <row r="1550">
      <c r="A1550" s="37"/>
      <c r="B1550" s="35"/>
      <c r="C1550" s="31"/>
      <c r="D1550" s="32"/>
      <c r="E1550" s="34"/>
      <c r="F1550" s="34"/>
      <c r="G1550" s="39"/>
      <c r="H1550" s="39"/>
      <c r="I1550" s="35"/>
    </row>
    <row r="1551">
      <c r="A1551" s="37"/>
      <c r="B1551" s="35"/>
      <c r="C1551" s="31"/>
      <c r="D1551" s="32"/>
      <c r="E1551" s="34"/>
      <c r="F1551" s="34"/>
      <c r="G1551" s="39"/>
      <c r="H1551" s="39"/>
      <c r="I1551" s="35"/>
    </row>
    <row r="1552">
      <c r="A1552" s="37"/>
      <c r="B1552" s="35"/>
      <c r="C1552" s="31"/>
      <c r="D1552" s="32"/>
      <c r="E1552" s="34"/>
      <c r="F1552" s="34"/>
      <c r="G1552" s="39"/>
      <c r="H1552" s="39"/>
      <c r="I1552" s="35"/>
    </row>
    <row r="1553">
      <c r="A1553" s="37"/>
      <c r="B1553" s="35"/>
      <c r="C1553" s="31"/>
      <c r="D1553" s="32"/>
      <c r="E1553" s="34"/>
      <c r="F1553" s="34"/>
      <c r="G1553" s="39"/>
      <c r="H1553" s="39"/>
      <c r="I1553" s="35"/>
    </row>
    <row r="1554">
      <c r="A1554" s="37"/>
      <c r="B1554" s="35"/>
      <c r="C1554" s="31"/>
      <c r="D1554" s="32"/>
      <c r="E1554" s="34"/>
      <c r="F1554" s="34"/>
      <c r="G1554" s="39"/>
      <c r="H1554" s="39"/>
      <c r="I1554" s="35"/>
    </row>
    <row r="1555">
      <c r="A1555" s="37"/>
      <c r="B1555" s="35"/>
      <c r="C1555" s="31"/>
      <c r="D1555" s="32"/>
      <c r="E1555" s="34"/>
      <c r="F1555" s="34"/>
      <c r="G1555" s="39"/>
      <c r="H1555" s="39"/>
      <c r="I1555" s="35"/>
    </row>
    <row r="1556">
      <c r="A1556" s="37"/>
      <c r="B1556" s="35"/>
      <c r="C1556" s="31"/>
      <c r="D1556" s="32"/>
      <c r="E1556" s="34"/>
      <c r="F1556" s="34"/>
      <c r="G1556" s="39"/>
      <c r="H1556" s="39"/>
      <c r="I1556" s="35"/>
    </row>
    <row r="1557">
      <c r="A1557" s="37"/>
      <c r="B1557" s="35"/>
      <c r="C1557" s="31"/>
      <c r="D1557" s="32"/>
      <c r="E1557" s="34"/>
      <c r="F1557" s="34"/>
      <c r="G1557" s="39"/>
      <c r="H1557" s="39"/>
      <c r="I1557" s="35"/>
    </row>
    <row r="1558">
      <c r="A1558" s="37"/>
      <c r="B1558" s="35"/>
      <c r="C1558" s="31"/>
      <c r="D1558" s="32"/>
      <c r="E1558" s="34"/>
      <c r="F1558" s="34"/>
      <c r="G1558" s="39"/>
      <c r="H1558" s="39"/>
      <c r="I1558" s="35"/>
    </row>
    <row r="1559">
      <c r="A1559" s="37"/>
      <c r="B1559" s="35"/>
      <c r="C1559" s="31"/>
      <c r="D1559" s="32"/>
      <c r="E1559" s="34"/>
      <c r="F1559" s="34"/>
      <c r="G1559" s="39"/>
      <c r="H1559" s="39"/>
      <c r="I1559" s="35"/>
    </row>
    <row r="1560">
      <c r="A1560" s="37"/>
      <c r="B1560" s="35"/>
      <c r="C1560" s="31"/>
      <c r="D1560" s="32"/>
      <c r="E1560" s="34"/>
      <c r="F1560" s="34"/>
      <c r="G1560" s="39"/>
      <c r="H1560" s="39"/>
      <c r="I1560" s="35"/>
    </row>
    <row r="1561">
      <c r="A1561" s="37"/>
      <c r="B1561" s="35"/>
      <c r="C1561" s="31"/>
      <c r="D1561" s="32"/>
      <c r="E1561" s="34"/>
      <c r="F1561" s="34"/>
      <c r="G1561" s="39"/>
      <c r="H1561" s="39"/>
      <c r="I1561" s="35"/>
    </row>
    <row r="1562">
      <c r="A1562" s="37"/>
      <c r="B1562" s="35"/>
      <c r="C1562" s="31"/>
      <c r="D1562" s="32"/>
      <c r="E1562" s="34"/>
      <c r="F1562" s="34"/>
      <c r="G1562" s="39"/>
      <c r="H1562" s="39"/>
      <c r="I1562" s="35"/>
    </row>
    <row r="1563">
      <c r="A1563" s="37"/>
      <c r="B1563" s="35"/>
      <c r="C1563" s="31"/>
      <c r="D1563" s="32"/>
      <c r="E1563" s="34"/>
      <c r="F1563" s="34"/>
      <c r="G1563" s="39"/>
      <c r="H1563" s="39"/>
      <c r="I1563" s="35"/>
    </row>
    <row r="1564">
      <c r="A1564" s="37"/>
      <c r="B1564" s="35"/>
      <c r="C1564" s="31"/>
      <c r="D1564" s="32"/>
      <c r="E1564" s="34"/>
      <c r="F1564" s="34"/>
      <c r="G1564" s="39"/>
      <c r="H1564" s="39"/>
      <c r="I1564" s="35"/>
    </row>
    <row r="1565">
      <c r="A1565" s="37"/>
      <c r="B1565" s="35"/>
      <c r="C1565" s="31"/>
      <c r="D1565" s="32"/>
      <c r="E1565" s="34"/>
      <c r="F1565" s="34"/>
      <c r="G1565" s="39"/>
      <c r="H1565" s="39"/>
      <c r="I1565" s="35"/>
    </row>
    <row r="1566">
      <c r="A1566" s="37"/>
      <c r="B1566" s="35"/>
      <c r="C1566" s="31"/>
      <c r="D1566" s="32"/>
      <c r="E1566" s="34"/>
      <c r="F1566" s="34"/>
      <c r="G1566" s="39"/>
      <c r="H1566" s="39"/>
      <c r="I1566" s="35"/>
    </row>
    <row r="1567">
      <c r="A1567" s="37"/>
      <c r="B1567" s="35"/>
      <c r="C1567" s="31"/>
      <c r="D1567" s="32"/>
      <c r="E1567" s="34"/>
      <c r="F1567" s="34"/>
      <c r="G1567" s="39"/>
      <c r="H1567" s="39"/>
      <c r="I1567" s="35"/>
    </row>
    <row r="1568">
      <c r="A1568" s="37"/>
      <c r="B1568" s="35"/>
      <c r="C1568" s="31"/>
      <c r="D1568" s="32"/>
      <c r="E1568" s="34"/>
      <c r="F1568" s="34"/>
      <c r="G1568" s="39"/>
      <c r="H1568" s="39"/>
      <c r="I1568" s="35"/>
    </row>
    <row r="1569">
      <c r="A1569" s="37"/>
      <c r="B1569" s="35"/>
      <c r="C1569" s="31"/>
      <c r="D1569" s="32"/>
      <c r="E1569" s="34"/>
      <c r="F1569" s="34"/>
      <c r="G1569" s="39"/>
      <c r="H1569" s="39"/>
      <c r="I1569" s="35"/>
    </row>
    <row r="1570">
      <c r="A1570" s="37"/>
      <c r="B1570" s="35"/>
      <c r="C1570" s="31"/>
      <c r="D1570" s="32"/>
      <c r="E1570" s="34"/>
      <c r="F1570" s="34"/>
      <c r="G1570" s="39"/>
      <c r="H1570" s="39"/>
      <c r="I1570" s="35"/>
    </row>
    <row r="1571">
      <c r="A1571" s="37"/>
      <c r="B1571" s="35"/>
      <c r="C1571" s="31"/>
      <c r="D1571" s="32"/>
      <c r="E1571" s="34"/>
      <c r="F1571" s="34"/>
      <c r="G1571" s="39"/>
      <c r="H1571" s="39"/>
      <c r="I1571" s="35"/>
    </row>
    <row r="1572">
      <c r="A1572" s="37"/>
      <c r="B1572" s="35"/>
      <c r="C1572" s="31"/>
      <c r="D1572" s="32"/>
      <c r="E1572" s="34"/>
      <c r="F1572" s="34"/>
      <c r="G1572" s="39"/>
      <c r="H1572" s="39"/>
      <c r="I1572" s="35"/>
    </row>
    <row r="1573">
      <c r="A1573" s="37"/>
      <c r="B1573" s="35"/>
      <c r="C1573" s="31"/>
      <c r="D1573" s="32"/>
      <c r="E1573" s="34"/>
      <c r="F1573" s="34"/>
      <c r="G1573" s="39"/>
      <c r="H1573" s="39"/>
      <c r="I1573" s="35"/>
    </row>
    <row r="1574">
      <c r="A1574" s="37"/>
      <c r="B1574" s="35"/>
      <c r="C1574" s="31"/>
      <c r="D1574" s="32"/>
      <c r="E1574" s="34"/>
      <c r="F1574" s="34"/>
      <c r="G1574" s="39"/>
      <c r="H1574" s="39"/>
      <c r="I1574" s="35"/>
    </row>
    <row r="1575">
      <c r="A1575" s="37"/>
      <c r="B1575" s="35"/>
      <c r="C1575" s="31"/>
      <c r="D1575" s="32"/>
      <c r="E1575" s="34"/>
      <c r="F1575" s="34"/>
      <c r="G1575" s="39"/>
      <c r="H1575" s="39"/>
      <c r="I1575" s="35"/>
    </row>
    <row r="1576">
      <c r="A1576" s="37"/>
      <c r="B1576" s="35"/>
      <c r="C1576" s="31"/>
      <c r="D1576" s="32"/>
      <c r="E1576" s="34"/>
      <c r="F1576" s="34"/>
      <c r="G1576" s="39"/>
      <c r="H1576" s="39"/>
      <c r="I1576" s="35"/>
    </row>
    <row r="1577">
      <c r="A1577" s="37"/>
      <c r="B1577" s="35"/>
      <c r="C1577" s="31"/>
      <c r="D1577" s="32"/>
      <c r="E1577" s="34"/>
      <c r="F1577" s="34"/>
      <c r="G1577" s="39"/>
      <c r="H1577" s="39"/>
      <c r="I1577" s="35"/>
    </row>
    <row r="1578">
      <c r="A1578" s="37"/>
      <c r="B1578" s="35"/>
      <c r="C1578" s="31"/>
      <c r="D1578" s="32"/>
      <c r="E1578" s="34"/>
      <c r="F1578" s="34"/>
      <c r="G1578" s="39"/>
      <c r="H1578" s="39"/>
      <c r="I1578" s="35"/>
    </row>
    <row r="1579">
      <c r="A1579" s="37"/>
      <c r="B1579" s="35"/>
      <c r="C1579" s="31"/>
      <c r="D1579" s="32"/>
      <c r="E1579" s="34"/>
      <c r="F1579" s="34"/>
      <c r="G1579" s="39"/>
      <c r="H1579" s="39"/>
      <c r="I1579" s="35"/>
    </row>
    <row r="1580">
      <c r="A1580" s="37"/>
      <c r="B1580" s="35"/>
      <c r="C1580" s="31"/>
      <c r="D1580" s="32"/>
      <c r="E1580" s="34"/>
      <c r="F1580" s="34"/>
      <c r="G1580" s="39"/>
      <c r="H1580" s="39"/>
      <c r="I1580" s="35"/>
    </row>
    <row r="1581">
      <c r="A1581" s="37"/>
      <c r="B1581" s="35"/>
      <c r="C1581" s="31"/>
      <c r="D1581" s="32"/>
      <c r="E1581" s="34"/>
      <c r="F1581" s="34"/>
      <c r="G1581" s="39"/>
      <c r="H1581" s="39"/>
      <c r="I1581" s="35"/>
    </row>
    <row r="1582">
      <c r="A1582" s="37"/>
      <c r="B1582" s="35"/>
      <c r="C1582" s="31"/>
      <c r="D1582" s="32"/>
      <c r="E1582" s="34"/>
      <c r="F1582" s="34"/>
      <c r="G1582" s="39"/>
      <c r="H1582" s="39"/>
      <c r="I1582" s="35"/>
    </row>
    <row r="1583">
      <c r="A1583" s="37"/>
      <c r="B1583" s="35"/>
      <c r="C1583" s="31"/>
      <c r="D1583" s="32"/>
      <c r="E1583" s="34"/>
      <c r="F1583" s="34"/>
      <c r="G1583" s="39"/>
      <c r="H1583" s="39"/>
      <c r="I1583" s="35"/>
    </row>
    <row r="1584">
      <c r="A1584" s="37"/>
      <c r="B1584" s="35"/>
      <c r="C1584" s="31"/>
      <c r="D1584" s="32"/>
      <c r="E1584" s="34"/>
      <c r="F1584" s="34"/>
      <c r="G1584" s="39"/>
      <c r="H1584" s="39"/>
      <c r="I1584" s="35"/>
    </row>
    <row r="1585">
      <c r="A1585" s="37"/>
      <c r="B1585" s="35"/>
      <c r="C1585" s="31"/>
      <c r="D1585" s="32"/>
      <c r="E1585" s="34"/>
      <c r="F1585" s="34"/>
      <c r="G1585" s="39"/>
      <c r="H1585" s="39"/>
      <c r="I1585" s="35"/>
    </row>
    <row r="1586">
      <c r="A1586" s="37"/>
      <c r="B1586" s="35"/>
      <c r="C1586" s="31"/>
      <c r="D1586" s="32"/>
      <c r="E1586" s="34"/>
      <c r="F1586" s="34"/>
      <c r="G1586" s="39"/>
      <c r="H1586" s="39"/>
      <c r="I1586" s="35"/>
    </row>
    <row r="1587">
      <c r="A1587" s="37"/>
      <c r="B1587" s="35"/>
      <c r="C1587" s="31"/>
      <c r="D1587" s="32"/>
      <c r="E1587" s="34"/>
      <c r="F1587" s="34"/>
      <c r="G1587" s="39"/>
      <c r="H1587" s="39"/>
      <c r="I1587" s="35"/>
    </row>
    <row r="1588">
      <c r="A1588" s="37"/>
      <c r="B1588" s="35"/>
      <c r="C1588" s="31"/>
      <c r="D1588" s="32"/>
      <c r="E1588" s="34"/>
      <c r="F1588" s="34"/>
      <c r="G1588" s="39"/>
      <c r="H1588" s="39"/>
      <c r="I1588" s="35"/>
    </row>
    <row r="1589">
      <c r="A1589" s="37"/>
      <c r="B1589" s="35"/>
      <c r="C1589" s="31"/>
      <c r="D1589" s="32"/>
      <c r="E1589" s="34"/>
      <c r="F1589" s="34"/>
      <c r="G1589" s="39"/>
      <c r="H1589" s="39"/>
      <c r="I1589" s="35"/>
    </row>
    <row r="1590">
      <c r="A1590" s="37"/>
      <c r="B1590" s="35"/>
      <c r="C1590" s="31"/>
      <c r="D1590" s="32"/>
      <c r="E1590" s="34"/>
      <c r="F1590" s="34"/>
      <c r="G1590" s="39"/>
      <c r="H1590" s="39"/>
      <c r="I1590" s="35"/>
    </row>
    <row r="1591">
      <c r="A1591" s="37"/>
      <c r="B1591" s="35"/>
      <c r="C1591" s="31"/>
      <c r="D1591" s="32"/>
      <c r="E1591" s="34"/>
      <c r="F1591" s="34"/>
      <c r="G1591" s="39"/>
      <c r="H1591" s="39"/>
      <c r="I1591" s="35"/>
    </row>
    <row r="1592">
      <c r="A1592" s="37"/>
      <c r="B1592" s="35"/>
      <c r="C1592" s="31"/>
      <c r="D1592" s="32"/>
      <c r="E1592" s="34"/>
      <c r="F1592" s="34"/>
      <c r="G1592" s="39"/>
      <c r="H1592" s="39"/>
      <c r="I1592" s="35"/>
    </row>
    <row r="1593">
      <c r="A1593" s="37"/>
      <c r="B1593" s="35"/>
      <c r="C1593" s="31"/>
      <c r="D1593" s="32"/>
      <c r="E1593" s="34"/>
      <c r="F1593" s="34"/>
      <c r="G1593" s="39"/>
      <c r="H1593" s="39"/>
      <c r="I1593" s="35"/>
    </row>
    <row r="1594">
      <c r="A1594" s="37"/>
      <c r="B1594" s="35"/>
      <c r="C1594" s="31"/>
      <c r="D1594" s="32"/>
      <c r="E1594" s="34"/>
      <c r="F1594" s="34"/>
      <c r="G1594" s="39"/>
      <c r="H1594" s="39"/>
      <c r="I1594" s="35"/>
    </row>
    <row r="1595">
      <c r="A1595" s="37"/>
      <c r="B1595" s="35"/>
      <c r="C1595" s="31"/>
      <c r="D1595" s="32"/>
      <c r="E1595" s="34"/>
      <c r="F1595" s="34"/>
      <c r="G1595" s="39"/>
      <c r="H1595" s="39"/>
      <c r="I1595" s="35"/>
    </row>
    <row r="1596">
      <c r="A1596" s="37"/>
      <c r="B1596" s="35"/>
      <c r="C1596" s="31"/>
      <c r="D1596" s="32"/>
      <c r="E1596" s="34"/>
      <c r="F1596" s="34"/>
      <c r="G1596" s="39"/>
      <c r="H1596" s="39"/>
      <c r="I1596" s="35"/>
    </row>
    <row r="1597">
      <c r="A1597" s="37"/>
      <c r="B1597" s="35"/>
      <c r="C1597" s="31"/>
      <c r="D1597" s="32"/>
      <c r="E1597" s="34"/>
      <c r="F1597" s="34"/>
      <c r="G1597" s="39"/>
      <c r="H1597" s="39"/>
      <c r="I1597" s="35"/>
    </row>
    <row r="1598">
      <c r="A1598" s="37"/>
      <c r="B1598" s="35"/>
      <c r="C1598" s="31"/>
      <c r="D1598" s="32"/>
      <c r="E1598" s="34"/>
      <c r="F1598" s="34"/>
      <c r="G1598" s="39"/>
      <c r="H1598" s="39"/>
      <c r="I1598" s="35"/>
    </row>
    <row r="1599">
      <c r="A1599" s="37"/>
      <c r="B1599" s="35"/>
      <c r="C1599" s="31"/>
      <c r="D1599" s="32"/>
      <c r="E1599" s="34"/>
      <c r="F1599" s="34"/>
      <c r="G1599" s="39"/>
      <c r="H1599" s="39"/>
      <c r="I1599" s="35"/>
    </row>
    <row r="1600">
      <c r="A1600" s="37"/>
      <c r="B1600" s="35"/>
      <c r="C1600" s="31"/>
      <c r="D1600" s="32"/>
      <c r="E1600" s="34"/>
      <c r="F1600" s="34"/>
      <c r="G1600" s="39"/>
      <c r="H1600" s="39"/>
      <c r="I1600" s="35"/>
    </row>
    <row r="1601">
      <c r="A1601" s="37"/>
      <c r="B1601" s="35"/>
      <c r="C1601" s="31"/>
      <c r="D1601" s="32"/>
      <c r="E1601" s="34"/>
      <c r="F1601" s="34"/>
      <c r="G1601" s="39"/>
      <c r="H1601" s="39"/>
      <c r="I1601" s="35"/>
    </row>
    <row r="1602">
      <c r="A1602" s="37"/>
      <c r="B1602" s="35"/>
      <c r="C1602" s="31"/>
      <c r="D1602" s="32"/>
      <c r="E1602" s="34"/>
      <c r="F1602" s="34"/>
      <c r="G1602" s="39"/>
      <c r="H1602" s="39"/>
      <c r="I1602" s="35"/>
    </row>
    <row r="1603">
      <c r="A1603" s="37"/>
      <c r="B1603" s="35"/>
      <c r="C1603" s="31"/>
      <c r="D1603" s="32"/>
      <c r="E1603" s="34"/>
      <c r="F1603" s="34"/>
      <c r="G1603" s="39"/>
      <c r="H1603" s="39"/>
      <c r="I1603" s="35"/>
    </row>
    <row r="1604">
      <c r="A1604" s="37"/>
      <c r="B1604" s="35"/>
      <c r="C1604" s="31"/>
      <c r="D1604" s="32"/>
      <c r="E1604" s="34"/>
      <c r="F1604" s="34"/>
      <c r="G1604" s="39"/>
      <c r="H1604" s="39"/>
      <c r="I1604" s="35"/>
    </row>
    <row r="1605">
      <c r="A1605" s="37"/>
      <c r="B1605" s="35"/>
      <c r="C1605" s="31"/>
      <c r="D1605" s="32"/>
      <c r="E1605" s="34"/>
      <c r="F1605" s="34"/>
      <c r="G1605" s="39"/>
      <c r="H1605" s="39"/>
      <c r="I1605" s="35"/>
    </row>
    <row r="1606">
      <c r="A1606" s="37"/>
      <c r="B1606" s="35"/>
      <c r="C1606" s="31"/>
      <c r="D1606" s="32"/>
      <c r="E1606" s="34"/>
      <c r="F1606" s="34"/>
      <c r="G1606" s="39"/>
      <c r="H1606" s="39"/>
      <c r="I1606" s="35"/>
    </row>
    <row r="1607">
      <c r="A1607" s="37"/>
      <c r="B1607" s="35"/>
      <c r="C1607" s="31"/>
      <c r="D1607" s="32"/>
      <c r="E1607" s="34"/>
      <c r="F1607" s="34"/>
      <c r="G1607" s="39"/>
      <c r="H1607" s="39"/>
      <c r="I1607" s="35"/>
    </row>
    <row r="1608">
      <c r="A1608" s="37"/>
      <c r="B1608" s="35"/>
      <c r="C1608" s="31"/>
      <c r="D1608" s="32"/>
      <c r="E1608" s="34"/>
      <c r="F1608" s="34"/>
      <c r="G1608" s="39"/>
      <c r="H1608" s="39"/>
      <c r="I1608" s="35"/>
    </row>
    <row r="1609">
      <c r="A1609" s="37"/>
      <c r="B1609" s="35"/>
      <c r="C1609" s="31"/>
      <c r="D1609" s="32"/>
      <c r="E1609" s="34"/>
      <c r="F1609" s="34"/>
      <c r="G1609" s="39"/>
      <c r="H1609" s="39"/>
      <c r="I1609" s="35"/>
    </row>
    <row r="1610">
      <c r="A1610" s="37"/>
      <c r="B1610" s="35"/>
      <c r="C1610" s="31"/>
      <c r="D1610" s="32"/>
      <c r="E1610" s="34"/>
      <c r="F1610" s="34"/>
      <c r="G1610" s="39"/>
      <c r="H1610" s="39"/>
      <c r="I1610" s="35"/>
    </row>
    <row r="1611">
      <c r="A1611" s="37"/>
      <c r="B1611" s="35"/>
      <c r="C1611" s="31"/>
      <c r="D1611" s="32"/>
      <c r="E1611" s="34"/>
      <c r="F1611" s="34"/>
      <c r="G1611" s="39"/>
      <c r="H1611" s="39"/>
      <c r="I1611" s="35"/>
    </row>
    <row r="1612">
      <c r="A1612" s="37"/>
      <c r="B1612" s="35"/>
      <c r="C1612" s="31"/>
      <c r="D1612" s="32"/>
      <c r="E1612" s="34"/>
      <c r="F1612" s="34"/>
      <c r="G1612" s="39"/>
      <c r="H1612" s="39"/>
      <c r="I1612" s="35"/>
    </row>
    <row r="1613">
      <c r="A1613" s="37"/>
      <c r="B1613" s="35"/>
      <c r="C1613" s="31"/>
      <c r="D1613" s="32"/>
      <c r="E1613" s="34"/>
      <c r="F1613" s="34"/>
      <c r="G1613" s="39"/>
      <c r="H1613" s="39"/>
      <c r="I1613" s="35"/>
    </row>
    <row r="1614">
      <c r="A1614" s="37"/>
      <c r="B1614" s="35"/>
      <c r="C1614" s="31"/>
      <c r="D1614" s="32"/>
      <c r="E1614" s="34"/>
      <c r="F1614" s="34"/>
      <c r="G1614" s="39"/>
      <c r="H1614" s="39"/>
      <c r="I1614" s="35"/>
    </row>
    <row r="1615">
      <c r="A1615" s="37"/>
      <c r="B1615" s="35"/>
      <c r="C1615" s="31"/>
      <c r="D1615" s="32"/>
      <c r="E1615" s="34"/>
      <c r="F1615" s="34"/>
      <c r="G1615" s="39"/>
      <c r="H1615" s="39"/>
      <c r="I1615" s="35"/>
    </row>
    <row r="1616">
      <c r="A1616" s="37"/>
      <c r="B1616" s="35"/>
      <c r="C1616" s="31"/>
      <c r="D1616" s="32"/>
      <c r="E1616" s="34"/>
      <c r="F1616" s="34"/>
      <c r="G1616" s="39"/>
      <c r="H1616" s="39"/>
      <c r="I1616" s="35"/>
    </row>
    <row r="1617">
      <c r="A1617" s="37"/>
      <c r="B1617" s="35"/>
      <c r="C1617" s="31"/>
      <c r="D1617" s="32"/>
      <c r="E1617" s="34"/>
      <c r="F1617" s="34"/>
      <c r="G1617" s="39"/>
      <c r="H1617" s="39"/>
      <c r="I1617" s="35"/>
    </row>
    <row r="1618">
      <c r="A1618" s="37"/>
      <c r="B1618" s="35"/>
      <c r="C1618" s="31"/>
      <c r="D1618" s="32"/>
      <c r="E1618" s="34"/>
      <c r="F1618" s="34"/>
      <c r="G1618" s="39"/>
      <c r="H1618" s="39"/>
      <c r="I1618" s="35"/>
    </row>
    <row r="1619">
      <c r="A1619" s="37"/>
      <c r="B1619" s="35"/>
      <c r="C1619" s="31"/>
      <c r="D1619" s="32"/>
      <c r="E1619" s="34"/>
      <c r="F1619" s="34"/>
      <c r="G1619" s="39"/>
      <c r="H1619" s="39"/>
      <c r="I1619" s="35"/>
    </row>
    <row r="1620">
      <c r="A1620" s="37"/>
      <c r="B1620" s="35"/>
      <c r="C1620" s="31"/>
      <c r="D1620" s="32"/>
      <c r="E1620" s="34"/>
      <c r="F1620" s="34"/>
      <c r="G1620" s="39"/>
      <c r="H1620" s="39"/>
      <c r="I1620" s="35"/>
    </row>
    <row r="1621">
      <c r="A1621" s="37"/>
      <c r="B1621" s="35"/>
      <c r="C1621" s="31"/>
      <c r="D1621" s="32"/>
      <c r="E1621" s="34"/>
      <c r="F1621" s="34"/>
      <c r="G1621" s="39"/>
      <c r="H1621" s="39"/>
      <c r="I1621" s="35"/>
    </row>
    <row r="1622">
      <c r="A1622" s="37"/>
      <c r="B1622" s="35"/>
      <c r="C1622" s="31"/>
      <c r="D1622" s="32"/>
      <c r="E1622" s="34"/>
      <c r="F1622" s="34"/>
      <c r="G1622" s="39"/>
      <c r="H1622" s="39"/>
      <c r="I1622" s="35"/>
    </row>
    <row r="1623">
      <c r="A1623" s="37"/>
      <c r="B1623" s="35"/>
      <c r="C1623" s="31"/>
      <c r="D1623" s="32"/>
      <c r="E1623" s="34"/>
      <c r="F1623" s="34"/>
      <c r="G1623" s="39"/>
      <c r="H1623" s="39"/>
      <c r="I1623" s="35"/>
    </row>
    <row r="1624">
      <c r="A1624" s="37"/>
      <c r="B1624" s="35"/>
      <c r="C1624" s="31"/>
      <c r="D1624" s="32"/>
      <c r="E1624" s="34"/>
      <c r="F1624" s="34"/>
      <c r="G1624" s="39"/>
      <c r="H1624" s="39"/>
      <c r="I1624" s="35"/>
    </row>
    <row r="1625">
      <c r="A1625" s="37"/>
      <c r="B1625" s="35"/>
      <c r="C1625" s="31"/>
      <c r="D1625" s="32"/>
      <c r="E1625" s="34"/>
      <c r="F1625" s="34"/>
      <c r="G1625" s="39"/>
      <c r="H1625" s="39"/>
      <c r="I1625" s="35"/>
    </row>
    <row r="1626">
      <c r="A1626" s="37"/>
      <c r="B1626" s="35"/>
      <c r="C1626" s="31"/>
      <c r="D1626" s="32"/>
      <c r="E1626" s="34"/>
      <c r="F1626" s="34"/>
      <c r="G1626" s="39"/>
      <c r="H1626" s="39"/>
      <c r="I1626" s="35"/>
    </row>
    <row r="1627">
      <c r="A1627" s="37"/>
      <c r="B1627" s="35"/>
      <c r="C1627" s="31"/>
      <c r="D1627" s="32"/>
      <c r="E1627" s="34"/>
      <c r="F1627" s="34"/>
      <c r="G1627" s="39"/>
      <c r="H1627" s="39"/>
      <c r="I1627" s="35"/>
    </row>
    <row r="1628">
      <c r="A1628" s="37"/>
      <c r="B1628" s="35"/>
      <c r="C1628" s="31"/>
      <c r="D1628" s="32"/>
      <c r="E1628" s="34"/>
      <c r="F1628" s="34"/>
      <c r="G1628" s="39"/>
      <c r="H1628" s="39"/>
      <c r="I1628" s="35"/>
    </row>
    <row r="1629">
      <c r="A1629" s="37"/>
      <c r="B1629" s="35"/>
      <c r="C1629" s="31"/>
      <c r="D1629" s="32"/>
      <c r="E1629" s="34"/>
      <c r="F1629" s="34"/>
      <c r="G1629" s="39"/>
      <c r="H1629" s="39"/>
      <c r="I1629" s="35"/>
    </row>
    <row r="1630">
      <c r="A1630" s="37"/>
      <c r="B1630" s="35"/>
      <c r="C1630" s="31"/>
      <c r="D1630" s="32"/>
      <c r="E1630" s="34"/>
      <c r="F1630" s="34"/>
      <c r="G1630" s="39"/>
      <c r="H1630" s="39"/>
      <c r="I1630" s="35"/>
    </row>
    <row r="1631">
      <c r="A1631" s="37"/>
      <c r="B1631" s="35"/>
      <c r="C1631" s="31"/>
      <c r="D1631" s="32"/>
      <c r="E1631" s="34"/>
      <c r="F1631" s="34"/>
      <c r="G1631" s="39"/>
      <c r="H1631" s="39"/>
      <c r="I1631" s="35"/>
    </row>
    <row r="1632">
      <c r="A1632" s="37"/>
      <c r="B1632" s="35"/>
      <c r="C1632" s="31"/>
      <c r="D1632" s="32"/>
      <c r="E1632" s="34"/>
      <c r="F1632" s="34"/>
      <c r="G1632" s="39"/>
      <c r="H1632" s="39"/>
      <c r="I1632" s="35"/>
    </row>
    <row r="1633">
      <c r="A1633" s="37"/>
      <c r="B1633" s="35"/>
      <c r="C1633" s="31"/>
      <c r="D1633" s="32"/>
      <c r="E1633" s="34"/>
      <c r="F1633" s="34"/>
      <c r="G1633" s="39"/>
      <c r="H1633" s="39"/>
      <c r="I1633" s="35"/>
    </row>
    <row r="1634">
      <c r="A1634" s="37"/>
      <c r="B1634" s="35"/>
      <c r="C1634" s="31"/>
      <c r="D1634" s="32"/>
      <c r="E1634" s="34"/>
      <c r="F1634" s="34"/>
      <c r="G1634" s="39"/>
      <c r="H1634" s="39"/>
      <c r="I1634" s="35"/>
    </row>
    <row r="1635">
      <c r="A1635" s="37"/>
      <c r="B1635" s="35"/>
      <c r="C1635" s="31"/>
      <c r="D1635" s="32"/>
      <c r="E1635" s="34"/>
      <c r="F1635" s="34"/>
      <c r="G1635" s="39"/>
      <c r="H1635" s="39"/>
      <c r="I1635" s="35"/>
    </row>
    <row r="1636">
      <c r="A1636" s="37"/>
      <c r="B1636" s="35"/>
      <c r="C1636" s="31"/>
      <c r="D1636" s="32"/>
      <c r="E1636" s="34"/>
      <c r="F1636" s="34"/>
      <c r="G1636" s="39"/>
      <c r="H1636" s="39"/>
      <c r="I1636" s="35"/>
    </row>
    <row r="1637">
      <c r="A1637" s="37"/>
      <c r="B1637" s="35"/>
      <c r="C1637" s="31"/>
      <c r="D1637" s="32"/>
      <c r="E1637" s="34"/>
      <c r="F1637" s="34"/>
      <c r="G1637" s="39"/>
      <c r="H1637" s="39"/>
      <c r="I1637" s="35"/>
    </row>
    <row r="1638">
      <c r="A1638" s="37"/>
      <c r="B1638" s="35"/>
      <c r="C1638" s="31"/>
      <c r="D1638" s="32"/>
      <c r="E1638" s="34"/>
      <c r="F1638" s="34"/>
      <c r="G1638" s="39"/>
      <c r="H1638" s="39"/>
      <c r="I1638" s="35"/>
    </row>
    <row r="1639">
      <c r="A1639" s="37"/>
      <c r="B1639" s="35"/>
      <c r="C1639" s="31"/>
      <c r="D1639" s="32"/>
      <c r="E1639" s="34"/>
      <c r="F1639" s="34"/>
      <c r="G1639" s="39"/>
      <c r="H1639" s="39"/>
      <c r="I1639" s="35"/>
    </row>
    <row r="1640">
      <c r="A1640" s="37"/>
      <c r="B1640" s="35"/>
      <c r="C1640" s="31"/>
      <c r="D1640" s="32"/>
      <c r="E1640" s="34"/>
      <c r="F1640" s="34"/>
      <c r="G1640" s="39"/>
      <c r="H1640" s="39"/>
      <c r="I1640" s="35"/>
    </row>
    <row r="1641">
      <c r="A1641" s="37"/>
      <c r="B1641" s="35"/>
      <c r="C1641" s="31"/>
      <c r="D1641" s="32"/>
      <c r="E1641" s="34"/>
      <c r="F1641" s="34"/>
      <c r="G1641" s="39"/>
      <c r="H1641" s="39"/>
      <c r="I1641" s="35"/>
    </row>
    <row r="1642">
      <c r="A1642" s="37"/>
      <c r="B1642" s="35"/>
      <c r="C1642" s="31"/>
      <c r="D1642" s="32"/>
      <c r="E1642" s="34"/>
      <c r="F1642" s="34"/>
      <c r="G1642" s="39"/>
      <c r="H1642" s="39"/>
      <c r="I1642" s="35"/>
    </row>
    <row r="1643">
      <c r="A1643" s="37"/>
      <c r="B1643" s="35"/>
      <c r="C1643" s="31"/>
      <c r="D1643" s="32"/>
      <c r="E1643" s="34"/>
      <c r="F1643" s="34"/>
      <c r="G1643" s="39"/>
      <c r="H1643" s="39"/>
      <c r="I1643" s="35"/>
    </row>
    <row r="1644">
      <c r="A1644" s="37"/>
      <c r="B1644" s="35"/>
      <c r="C1644" s="31"/>
      <c r="D1644" s="32"/>
      <c r="E1644" s="34"/>
      <c r="F1644" s="34"/>
      <c r="G1644" s="39"/>
      <c r="H1644" s="39"/>
      <c r="I1644" s="35"/>
    </row>
    <row r="1645">
      <c r="A1645" s="37"/>
      <c r="B1645" s="35"/>
      <c r="C1645" s="31"/>
      <c r="D1645" s="32"/>
      <c r="E1645" s="34"/>
      <c r="F1645" s="34"/>
      <c r="G1645" s="39"/>
      <c r="H1645" s="39"/>
      <c r="I1645" s="35"/>
    </row>
    <row r="1646">
      <c r="A1646" s="37"/>
      <c r="B1646" s="35"/>
      <c r="C1646" s="31"/>
      <c r="D1646" s="32"/>
      <c r="E1646" s="34"/>
      <c r="F1646" s="34"/>
      <c r="G1646" s="39"/>
      <c r="H1646" s="39"/>
      <c r="I1646" s="35"/>
    </row>
    <row r="1647">
      <c r="A1647" s="37"/>
      <c r="B1647" s="35"/>
      <c r="C1647" s="31"/>
      <c r="D1647" s="32"/>
      <c r="E1647" s="34"/>
      <c r="F1647" s="34"/>
      <c r="G1647" s="39"/>
      <c r="H1647" s="39"/>
      <c r="I1647" s="35"/>
    </row>
    <row r="1648">
      <c r="A1648" s="37"/>
      <c r="B1648" s="35"/>
      <c r="C1648" s="31"/>
      <c r="D1648" s="32"/>
      <c r="E1648" s="34"/>
      <c r="F1648" s="34"/>
      <c r="G1648" s="39"/>
      <c r="H1648" s="39"/>
      <c r="I1648" s="35"/>
    </row>
    <row r="1649">
      <c r="A1649" s="37"/>
      <c r="B1649" s="35"/>
      <c r="C1649" s="31"/>
      <c r="D1649" s="32"/>
      <c r="E1649" s="34"/>
      <c r="F1649" s="34"/>
      <c r="G1649" s="39"/>
      <c r="H1649" s="39"/>
      <c r="I1649" s="35"/>
    </row>
    <row r="1650">
      <c r="A1650" s="37"/>
      <c r="B1650" s="35"/>
      <c r="C1650" s="31"/>
      <c r="D1650" s="32"/>
      <c r="E1650" s="34"/>
      <c r="F1650" s="34"/>
      <c r="G1650" s="39"/>
      <c r="H1650" s="39"/>
      <c r="I1650" s="35"/>
    </row>
    <row r="1651">
      <c r="A1651" s="37"/>
      <c r="B1651" s="35"/>
      <c r="C1651" s="31"/>
      <c r="D1651" s="32"/>
      <c r="E1651" s="34"/>
      <c r="F1651" s="34"/>
      <c r="G1651" s="39"/>
      <c r="H1651" s="39"/>
      <c r="I1651" s="35"/>
    </row>
    <row r="1652">
      <c r="A1652" s="37"/>
      <c r="B1652" s="35"/>
      <c r="C1652" s="31"/>
      <c r="D1652" s="32"/>
      <c r="E1652" s="34"/>
      <c r="F1652" s="34"/>
      <c r="G1652" s="39"/>
      <c r="H1652" s="39"/>
      <c r="I1652" s="35"/>
    </row>
    <row r="1653">
      <c r="A1653" s="37"/>
      <c r="B1653" s="35"/>
      <c r="C1653" s="31"/>
      <c r="D1653" s="32"/>
      <c r="E1653" s="34"/>
      <c r="F1653" s="34"/>
      <c r="G1653" s="39"/>
      <c r="H1653" s="39"/>
      <c r="I1653" s="35"/>
    </row>
    <row r="1654">
      <c r="A1654" s="37"/>
      <c r="B1654" s="35"/>
      <c r="C1654" s="31"/>
      <c r="D1654" s="32"/>
      <c r="E1654" s="34"/>
      <c r="F1654" s="34"/>
      <c r="G1654" s="39"/>
      <c r="H1654" s="39"/>
      <c r="I1654" s="35"/>
    </row>
    <row r="1655">
      <c r="A1655" s="37"/>
      <c r="B1655" s="35"/>
      <c r="C1655" s="31"/>
      <c r="D1655" s="32"/>
      <c r="E1655" s="34"/>
      <c r="F1655" s="34"/>
      <c r="G1655" s="39"/>
      <c r="H1655" s="39"/>
      <c r="I1655" s="35"/>
    </row>
    <row r="1656">
      <c r="A1656" s="37"/>
      <c r="B1656" s="35"/>
      <c r="C1656" s="31"/>
      <c r="D1656" s="32"/>
      <c r="E1656" s="34"/>
      <c r="F1656" s="34"/>
      <c r="G1656" s="39"/>
      <c r="H1656" s="39"/>
      <c r="I1656" s="35"/>
    </row>
    <row r="1657">
      <c r="A1657" s="37"/>
      <c r="B1657" s="35"/>
      <c r="C1657" s="31"/>
      <c r="D1657" s="32"/>
      <c r="E1657" s="34"/>
      <c r="F1657" s="34"/>
      <c r="G1657" s="39"/>
      <c r="H1657" s="39"/>
      <c r="I1657" s="35"/>
    </row>
    <row r="1658">
      <c r="A1658" s="37"/>
      <c r="B1658" s="35"/>
      <c r="C1658" s="31"/>
      <c r="D1658" s="32"/>
      <c r="E1658" s="34"/>
      <c r="F1658" s="34"/>
      <c r="G1658" s="39"/>
      <c r="H1658" s="39"/>
      <c r="I1658" s="35"/>
    </row>
    <row r="1659">
      <c r="A1659" s="37"/>
      <c r="B1659" s="35"/>
      <c r="C1659" s="31"/>
      <c r="D1659" s="32"/>
      <c r="E1659" s="34"/>
      <c r="F1659" s="34"/>
      <c r="G1659" s="39"/>
      <c r="H1659" s="39"/>
      <c r="I1659" s="35"/>
    </row>
    <row r="1660">
      <c r="A1660" s="37"/>
      <c r="B1660" s="35"/>
      <c r="C1660" s="31"/>
      <c r="D1660" s="32"/>
      <c r="E1660" s="34"/>
      <c r="F1660" s="34"/>
      <c r="G1660" s="39"/>
      <c r="H1660" s="39"/>
      <c r="I1660" s="35"/>
    </row>
    <row r="1661">
      <c r="A1661" s="37"/>
      <c r="B1661" s="35"/>
      <c r="C1661" s="31"/>
      <c r="D1661" s="32"/>
      <c r="E1661" s="34"/>
      <c r="F1661" s="34"/>
      <c r="G1661" s="39"/>
      <c r="H1661" s="39"/>
      <c r="I1661" s="35"/>
    </row>
    <row r="1662">
      <c r="A1662" s="37"/>
      <c r="B1662" s="35"/>
      <c r="C1662" s="31"/>
      <c r="D1662" s="32"/>
      <c r="E1662" s="34"/>
      <c r="F1662" s="34"/>
      <c r="G1662" s="39"/>
      <c r="H1662" s="39"/>
      <c r="I1662" s="35"/>
    </row>
    <row r="1663">
      <c r="A1663" s="37"/>
      <c r="B1663" s="35"/>
      <c r="C1663" s="31"/>
      <c r="D1663" s="32"/>
      <c r="E1663" s="34"/>
      <c r="F1663" s="34"/>
      <c r="G1663" s="39"/>
      <c r="H1663" s="39"/>
      <c r="I1663" s="35"/>
    </row>
    <row r="1664">
      <c r="A1664" s="37"/>
      <c r="B1664" s="35"/>
      <c r="C1664" s="31"/>
      <c r="D1664" s="32"/>
      <c r="E1664" s="34"/>
      <c r="F1664" s="34"/>
      <c r="G1664" s="39"/>
      <c r="H1664" s="39"/>
      <c r="I1664" s="35"/>
    </row>
    <row r="1665">
      <c r="A1665" s="37"/>
      <c r="B1665" s="35"/>
      <c r="C1665" s="31"/>
      <c r="D1665" s="32"/>
      <c r="E1665" s="34"/>
      <c r="F1665" s="34"/>
      <c r="G1665" s="39"/>
      <c r="H1665" s="39"/>
      <c r="I1665" s="35"/>
    </row>
    <row r="1666">
      <c r="A1666" s="37"/>
      <c r="B1666" s="35"/>
      <c r="C1666" s="31"/>
      <c r="D1666" s="32"/>
      <c r="E1666" s="34"/>
      <c r="F1666" s="34"/>
      <c r="G1666" s="39"/>
      <c r="H1666" s="39"/>
      <c r="I1666" s="35"/>
    </row>
    <row r="1667">
      <c r="A1667" s="37"/>
      <c r="B1667" s="35"/>
      <c r="C1667" s="31"/>
      <c r="D1667" s="32"/>
      <c r="E1667" s="34"/>
      <c r="F1667" s="34"/>
      <c r="G1667" s="39"/>
      <c r="H1667" s="39"/>
      <c r="I1667" s="35"/>
    </row>
    <row r="1668">
      <c r="A1668" s="37"/>
      <c r="B1668" s="35"/>
      <c r="C1668" s="31"/>
      <c r="D1668" s="32"/>
      <c r="E1668" s="34"/>
      <c r="F1668" s="34"/>
      <c r="G1668" s="39"/>
      <c r="H1668" s="39"/>
      <c r="I1668" s="35"/>
    </row>
    <row r="1669">
      <c r="A1669" s="37"/>
      <c r="B1669" s="35"/>
      <c r="C1669" s="31"/>
      <c r="D1669" s="32"/>
      <c r="E1669" s="34"/>
      <c r="F1669" s="34"/>
      <c r="G1669" s="39"/>
      <c r="H1669" s="39"/>
      <c r="I1669" s="35"/>
    </row>
    <row r="1670">
      <c r="A1670" s="37"/>
      <c r="B1670" s="35"/>
      <c r="C1670" s="31"/>
      <c r="D1670" s="32"/>
      <c r="E1670" s="34"/>
      <c r="F1670" s="34"/>
      <c r="G1670" s="39"/>
      <c r="H1670" s="39"/>
      <c r="I1670" s="35"/>
    </row>
    <row r="1671">
      <c r="A1671" s="37"/>
      <c r="B1671" s="35"/>
      <c r="C1671" s="31"/>
      <c r="D1671" s="32"/>
      <c r="E1671" s="34"/>
      <c r="F1671" s="34"/>
      <c r="G1671" s="39"/>
      <c r="H1671" s="39"/>
      <c r="I1671" s="35"/>
    </row>
    <row r="1672">
      <c r="A1672" s="37"/>
      <c r="B1672" s="35"/>
      <c r="C1672" s="31"/>
      <c r="D1672" s="32"/>
      <c r="E1672" s="34"/>
      <c r="F1672" s="34"/>
      <c r="G1672" s="39"/>
      <c r="H1672" s="39"/>
      <c r="I1672" s="35"/>
    </row>
    <row r="1673">
      <c r="A1673" s="37"/>
      <c r="B1673" s="35"/>
      <c r="C1673" s="31"/>
      <c r="D1673" s="32"/>
      <c r="E1673" s="34"/>
      <c r="F1673" s="34"/>
      <c r="G1673" s="39"/>
      <c r="H1673" s="39"/>
      <c r="I1673" s="35"/>
    </row>
    <row r="1674">
      <c r="A1674" s="37"/>
      <c r="B1674" s="35"/>
      <c r="C1674" s="31"/>
      <c r="D1674" s="32"/>
      <c r="E1674" s="34"/>
      <c r="F1674" s="34"/>
      <c r="G1674" s="39"/>
      <c r="H1674" s="39"/>
      <c r="I1674" s="35"/>
    </row>
    <row r="1675">
      <c r="A1675" s="37"/>
      <c r="B1675" s="35"/>
      <c r="C1675" s="31"/>
      <c r="D1675" s="32"/>
      <c r="E1675" s="34"/>
      <c r="F1675" s="34"/>
      <c r="G1675" s="39"/>
      <c r="H1675" s="39"/>
      <c r="I1675" s="35"/>
    </row>
    <row r="1676">
      <c r="A1676" s="37"/>
      <c r="B1676" s="35"/>
      <c r="C1676" s="31"/>
      <c r="D1676" s="32"/>
      <c r="E1676" s="34"/>
      <c r="F1676" s="34"/>
      <c r="G1676" s="39"/>
      <c r="H1676" s="39"/>
      <c r="I1676" s="35"/>
    </row>
    <row r="1677">
      <c r="A1677" s="37"/>
      <c r="B1677" s="35"/>
      <c r="C1677" s="31"/>
      <c r="D1677" s="32"/>
      <c r="E1677" s="34"/>
      <c r="F1677" s="34"/>
      <c r="G1677" s="39"/>
      <c r="H1677" s="39"/>
      <c r="I1677" s="35"/>
    </row>
    <row r="1678">
      <c r="A1678" s="37"/>
      <c r="B1678" s="35"/>
      <c r="C1678" s="31"/>
      <c r="D1678" s="32"/>
      <c r="E1678" s="34"/>
      <c r="F1678" s="34"/>
      <c r="G1678" s="39"/>
      <c r="H1678" s="39"/>
      <c r="I1678" s="35"/>
    </row>
    <row r="1679">
      <c r="A1679" s="37"/>
      <c r="B1679" s="35"/>
      <c r="C1679" s="31"/>
      <c r="D1679" s="32"/>
      <c r="E1679" s="34"/>
      <c r="F1679" s="34"/>
      <c r="G1679" s="39"/>
      <c r="H1679" s="39"/>
      <c r="I1679" s="35"/>
    </row>
    <row r="1680">
      <c r="A1680" s="37"/>
      <c r="B1680" s="35"/>
      <c r="C1680" s="31"/>
      <c r="D1680" s="32"/>
      <c r="E1680" s="34"/>
      <c r="F1680" s="34"/>
      <c r="G1680" s="39"/>
      <c r="H1680" s="39"/>
      <c r="I1680" s="35"/>
    </row>
    <row r="1681">
      <c r="A1681" s="37"/>
      <c r="B1681" s="35"/>
      <c r="C1681" s="31"/>
      <c r="D1681" s="32"/>
      <c r="E1681" s="34"/>
      <c r="F1681" s="34"/>
      <c r="G1681" s="39"/>
      <c r="H1681" s="39"/>
      <c r="I1681" s="35"/>
    </row>
    <row r="1682">
      <c r="A1682" s="37"/>
      <c r="B1682" s="35"/>
      <c r="C1682" s="31"/>
      <c r="D1682" s="32"/>
      <c r="E1682" s="34"/>
      <c r="F1682" s="34"/>
      <c r="G1682" s="39"/>
      <c r="H1682" s="39"/>
      <c r="I1682" s="35"/>
    </row>
    <row r="1683">
      <c r="A1683" s="37"/>
      <c r="B1683" s="35"/>
      <c r="C1683" s="31"/>
      <c r="D1683" s="32"/>
      <c r="E1683" s="34"/>
      <c r="F1683" s="34"/>
      <c r="G1683" s="39"/>
      <c r="H1683" s="39"/>
      <c r="I1683" s="35"/>
    </row>
    <row r="1684">
      <c r="A1684" s="37"/>
      <c r="B1684" s="35"/>
      <c r="C1684" s="31"/>
      <c r="D1684" s="32"/>
      <c r="E1684" s="34"/>
      <c r="F1684" s="34"/>
      <c r="G1684" s="39"/>
      <c r="H1684" s="39"/>
      <c r="I1684" s="35"/>
    </row>
    <row r="1685">
      <c r="A1685" s="37"/>
      <c r="B1685" s="35"/>
      <c r="C1685" s="31"/>
      <c r="D1685" s="32"/>
      <c r="E1685" s="34"/>
      <c r="F1685" s="34"/>
      <c r="G1685" s="39"/>
      <c r="H1685" s="39"/>
      <c r="I1685" s="35"/>
    </row>
    <row r="1686">
      <c r="A1686" s="37"/>
      <c r="B1686" s="35"/>
      <c r="C1686" s="31"/>
      <c r="D1686" s="32"/>
      <c r="E1686" s="34"/>
      <c r="F1686" s="34"/>
      <c r="G1686" s="39"/>
      <c r="H1686" s="39"/>
      <c r="I1686" s="35"/>
    </row>
    <row r="1687">
      <c r="A1687" s="37"/>
      <c r="B1687" s="35"/>
      <c r="C1687" s="31"/>
      <c r="D1687" s="32"/>
      <c r="E1687" s="34"/>
      <c r="F1687" s="34"/>
      <c r="G1687" s="39"/>
      <c r="H1687" s="39"/>
      <c r="I1687" s="35"/>
    </row>
    <row r="1688">
      <c r="A1688" s="37"/>
      <c r="B1688" s="35"/>
      <c r="C1688" s="31"/>
      <c r="D1688" s="32"/>
      <c r="E1688" s="34"/>
      <c r="F1688" s="34"/>
      <c r="G1688" s="39"/>
      <c r="H1688" s="39"/>
      <c r="I1688" s="35"/>
    </row>
    <row r="1689">
      <c r="A1689" s="37"/>
      <c r="B1689" s="35"/>
      <c r="C1689" s="31"/>
      <c r="D1689" s="32"/>
      <c r="E1689" s="34"/>
      <c r="F1689" s="34"/>
      <c r="G1689" s="39"/>
      <c r="H1689" s="39"/>
      <c r="I1689" s="35"/>
    </row>
    <row r="1690">
      <c r="A1690" s="37"/>
      <c r="B1690" s="35"/>
      <c r="C1690" s="31"/>
      <c r="D1690" s="32"/>
      <c r="E1690" s="34"/>
      <c r="F1690" s="34"/>
      <c r="G1690" s="39"/>
      <c r="H1690" s="39"/>
      <c r="I1690" s="35"/>
    </row>
    <row r="1691">
      <c r="A1691" s="37"/>
      <c r="B1691" s="35"/>
      <c r="C1691" s="31"/>
      <c r="D1691" s="32"/>
      <c r="E1691" s="34"/>
      <c r="F1691" s="34"/>
      <c r="G1691" s="39"/>
      <c r="H1691" s="39"/>
      <c r="I1691" s="35"/>
    </row>
    <row r="1692">
      <c r="A1692" s="37"/>
      <c r="B1692" s="35"/>
      <c r="C1692" s="31"/>
      <c r="D1692" s="32"/>
      <c r="E1692" s="34"/>
      <c r="F1692" s="34"/>
      <c r="G1692" s="39"/>
      <c r="H1692" s="39"/>
      <c r="I1692" s="35"/>
    </row>
    <row r="1693">
      <c r="A1693" s="37"/>
      <c r="B1693" s="35"/>
      <c r="C1693" s="31"/>
      <c r="D1693" s="32"/>
      <c r="E1693" s="34"/>
      <c r="F1693" s="34"/>
      <c r="G1693" s="39"/>
      <c r="H1693" s="39"/>
      <c r="I1693" s="35"/>
    </row>
    <row r="1694">
      <c r="A1694" s="37"/>
      <c r="B1694" s="35"/>
      <c r="C1694" s="31"/>
      <c r="D1694" s="32"/>
      <c r="E1694" s="34"/>
      <c r="F1694" s="34"/>
      <c r="G1694" s="39"/>
      <c r="H1694" s="39"/>
      <c r="I1694" s="35"/>
    </row>
    <row r="1695">
      <c r="A1695" s="37"/>
      <c r="B1695" s="35"/>
      <c r="C1695" s="31"/>
      <c r="D1695" s="32"/>
      <c r="E1695" s="34"/>
      <c r="F1695" s="34"/>
      <c r="G1695" s="39"/>
      <c r="H1695" s="39"/>
      <c r="I1695" s="35"/>
    </row>
    <row r="1696">
      <c r="A1696" s="37"/>
      <c r="B1696" s="35"/>
      <c r="C1696" s="31"/>
      <c r="D1696" s="32"/>
      <c r="E1696" s="34"/>
      <c r="F1696" s="34"/>
      <c r="G1696" s="39"/>
      <c r="H1696" s="39"/>
      <c r="I1696" s="35"/>
    </row>
    <row r="1697">
      <c r="A1697" s="37"/>
      <c r="B1697" s="35"/>
      <c r="C1697" s="31"/>
      <c r="D1697" s="32"/>
      <c r="E1697" s="34"/>
      <c r="F1697" s="34"/>
      <c r="G1697" s="39"/>
      <c r="H1697" s="39"/>
      <c r="I1697" s="35"/>
    </row>
    <row r="1698">
      <c r="A1698" s="37"/>
      <c r="B1698" s="35"/>
      <c r="C1698" s="31"/>
      <c r="D1698" s="32"/>
      <c r="E1698" s="34"/>
      <c r="F1698" s="34"/>
      <c r="G1698" s="39"/>
      <c r="H1698" s="39"/>
      <c r="I1698" s="35"/>
    </row>
    <row r="1699">
      <c r="A1699" s="37"/>
      <c r="B1699" s="35"/>
      <c r="C1699" s="31"/>
      <c r="D1699" s="32"/>
      <c r="E1699" s="34"/>
      <c r="F1699" s="34"/>
      <c r="G1699" s="39"/>
      <c r="H1699" s="39"/>
      <c r="I1699" s="35"/>
    </row>
    <row r="1700">
      <c r="A1700" s="37"/>
      <c r="B1700" s="35"/>
      <c r="C1700" s="31"/>
      <c r="D1700" s="32"/>
      <c r="E1700" s="34"/>
      <c r="F1700" s="34"/>
      <c r="G1700" s="39"/>
      <c r="H1700" s="39"/>
      <c r="I1700" s="35"/>
    </row>
    <row r="1701">
      <c r="A1701" s="37"/>
      <c r="B1701" s="35"/>
      <c r="C1701" s="31"/>
      <c r="D1701" s="32"/>
      <c r="E1701" s="34"/>
      <c r="F1701" s="34"/>
      <c r="G1701" s="39"/>
      <c r="H1701" s="39"/>
      <c r="I1701" s="35"/>
    </row>
    <row r="1702">
      <c r="A1702" s="37"/>
      <c r="B1702" s="35"/>
      <c r="C1702" s="31"/>
      <c r="D1702" s="32"/>
      <c r="E1702" s="34"/>
      <c r="F1702" s="34"/>
      <c r="G1702" s="39"/>
      <c r="H1702" s="39"/>
      <c r="I1702" s="35"/>
    </row>
    <row r="1703">
      <c r="A1703" s="37"/>
      <c r="B1703" s="35"/>
      <c r="C1703" s="31"/>
      <c r="D1703" s="32"/>
      <c r="E1703" s="34"/>
      <c r="F1703" s="34"/>
      <c r="G1703" s="39"/>
      <c r="H1703" s="39"/>
      <c r="I1703" s="35"/>
    </row>
    <row r="1704">
      <c r="A1704" s="37"/>
      <c r="B1704" s="35"/>
      <c r="C1704" s="31"/>
      <c r="D1704" s="32"/>
      <c r="E1704" s="34"/>
      <c r="F1704" s="34"/>
      <c r="G1704" s="39"/>
      <c r="H1704" s="39"/>
      <c r="I1704" s="35"/>
    </row>
    <row r="1705">
      <c r="A1705" s="37"/>
      <c r="B1705" s="35"/>
      <c r="C1705" s="31"/>
      <c r="D1705" s="32"/>
      <c r="E1705" s="34"/>
      <c r="F1705" s="34"/>
      <c r="G1705" s="39"/>
      <c r="H1705" s="39"/>
      <c r="I1705" s="35"/>
    </row>
    <row r="1706">
      <c r="A1706" s="37"/>
      <c r="B1706" s="35"/>
      <c r="C1706" s="31"/>
      <c r="D1706" s="32"/>
      <c r="E1706" s="34"/>
      <c r="F1706" s="34"/>
      <c r="G1706" s="39"/>
      <c r="H1706" s="39"/>
      <c r="I1706" s="35"/>
    </row>
    <row r="1707">
      <c r="A1707" s="37"/>
      <c r="B1707" s="35"/>
      <c r="C1707" s="31"/>
      <c r="D1707" s="32"/>
      <c r="E1707" s="34"/>
      <c r="F1707" s="34"/>
      <c r="G1707" s="39"/>
      <c r="H1707" s="39"/>
      <c r="I1707" s="35"/>
    </row>
    <row r="1708">
      <c r="A1708" s="37"/>
      <c r="B1708" s="35"/>
      <c r="C1708" s="31"/>
      <c r="D1708" s="32"/>
      <c r="E1708" s="34"/>
      <c r="F1708" s="34"/>
      <c r="G1708" s="39"/>
      <c r="H1708" s="39"/>
      <c r="I1708" s="35"/>
    </row>
    <row r="1709">
      <c r="A1709" s="37"/>
      <c r="B1709" s="35"/>
      <c r="C1709" s="31"/>
      <c r="D1709" s="32"/>
      <c r="E1709" s="34"/>
      <c r="F1709" s="34"/>
      <c r="G1709" s="39"/>
      <c r="H1709" s="39"/>
      <c r="I1709" s="35"/>
    </row>
    <row r="1710">
      <c r="A1710" s="37"/>
      <c r="B1710" s="35"/>
      <c r="C1710" s="31"/>
      <c r="D1710" s="32"/>
      <c r="E1710" s="34"/>
      <c r="F1710" s="34"/>
      <c r="G1710" s="39"/>
      <c r="H1710" s="39"/>
      <c r="I1710" s="35"/>
    </row>
    <row r="1711">
      <c r="A1711" s="37"/>
      <c r="B1711" s="35"/>
      <c r="C1711" s="31"/>
      <c r="D1711" s="32"/>
      <c r="E1711" s="34"/>
      <c r="F1711" s="34"/>
      <c r="G1711" s="39"/>
      <c r="H1711" s="39"/>
      <c r="I1711" s="35"/>
    </row>
    <row r="1712">
      <c r="A1712" s="37"/>
      <c r="B1712" s="35"/>
      <c r="C1712" s="31"/>
      <c r="D1712" s="32"/>
      <c r="E1712" s="34"/>
      <c r="F1712" s="34"/>
      <c r="G1712" s="39"/>
      <c r="H1712" s="39"/>
      <c r="I1712" s="35"/>
    </row>
    <row r="1713">
      <c r="A1713" s="37"/>
      <c r="B1713" s="35"/>
      <c r="C1713" s="31"/>
      <c r="D1713" s="32"/>
      <c r="E1713" s="34"/>
      <c r="F1713" s="34"/>
      <c r="G1713" s="39"/>
      <c r="H1713" s="39"/>
      <c r="I1713" s="35"/>
    </row>
    <row r="1714">
      <c r="A1714" s="37"/>
      <c r="B1714" s="35"/>
      <c r="C1714" s="31"/>
      <c r="D1714" s="32"/>
      <c r="E1714" s="34"/>
      <c r="F1714" s="34"/>
      <c r="G1714" s="39"/>
      <c r="H1714" s="39"/>
      <c r="I1714" s="35"/>
    </row>
    <row r="1715">
      <c r="A1715" s="37"/>
      <c r="B1715" s="35"/>
      <c r="C1715" s="31"/>
      <c r="D1715" s="32"/>
      <c r="E1715" s="34"/>
      <c r="F1715" s="34"/>
      <c r="G1715" s="39"/>
      <c r="H1715" s="39"/>
      <c r="I1715" s="35"/>
    </row>
    <row r="1716">
      <c r="A1716" s="37"/>
      <c r="B1716" s="35"/>
      <c r="C1716" s="31"/>
      <c r="D1716" s="32"/>
      <c r="E1716" s="34"/>
      <c r="F1716" s="34"/>
      <c r="G1716" s="39"/>
      <c r="H1716" s="39"/>
      <c r="I1716" s="35"/>
    </row>
    <row r="1717">
      <c r="A1717" s="37"/>
      <c r="B1717" s="35"/>
      <c r="C1717" s="31"/>
      <c r="D1717" s="32"/>
      <c r="E1717" s="34"/>
      <c r="F1717" s="34"/>
      <c r="G1717" s="39"/>
      <c r="H1717" s="39"/>
      <c r="I1717" s="35"/>
    </row>
    <row r="1718">
      <c r="A1718" s="37"/>
      <c r="B1718" s="35"/>
      <c r="C1718" s="31"/>
      <c r="D1718" s="32"/>
      <c r="E1718" s="34"/>
      <c r="F1718" s="34"/>
      <c r="G1718" s="39"/>
      <c r="H1718" s="39"/>
      <c r="I1718" s="35"/>
    </row>
    <row r="1719">
      <c r="A1719" s="37"/>
      <c r="B1719" s="35"/>
      <c r="C1719" s="31"/>
      <c r="D1719" s="32"/>
      <c r="E1719" s="34"/>
      <c r="F1719" s="34"/>
      <c r="G1719" s="39"/>
      <c r="H1719" s="39"/>
      <c r="I1719" s="35"/>
    </row>
    <row r="1720">
      <c r="A1720" s="37"/>
      <c r="B1720" s="35"/>
      <c r="C1720" s="31"/>
      <c r="D1720" s="32"/>
      <c r="E1720" s="34"/>
      <c r="F1720" s="34"/>
      <c r="G1720" s="39"/>
      <c r="H1720" s="39"/>
      <c r="I1720" s="35"/>
    </row>
    <row r="1721">
      <c r="A1721" s="37"/>
      <c r="B1721" s="35"/>
      <c r="C1721" s="31"/>
      <c r="D1721" s="32"/>
      <c r="E1721" s="34"/>
      <c r="F1721" s="34"/>
      <c r="G1721" s="39"/>
      <c r="H1721" s="39"/>
      <c r="I1721" s="35"/>
    </row>
    <row r="1722">
      <c r="A1722" s="37"/>
      <c r="B1722" s="35"/>
      <c r="C1722" s="31"/>
      <c r="D1722" s="32"/>
      <c r="E1722" s="34"/>
      <c r="F1722" s="34"/>
      <c r="G1722" s="39"/>
      <c r="H1722" s="39"/>
      <c r="I1722" s="35"/>
    </row>
    <row r="1723">
      <c r="A1723" s="37"/>
      <c r="B1723" s="35"/>
      <c r="C1723" s="31"/>
      <c r="D1723" s="32"/>
      <c r="E1723" s="34"/>
      <c r="F1723" s="34"/>
      <c r="G1723" s="39"/>
      <c r="H1723" s="39"/>
      <c r="I1723" s="35"/>
    </row>
    <row r="1724">
      <c r="A1724" s="37"/>
      <c r="B1724" s="35"/>
      <c r="C1724" s="31"/>
      <c r="D1724" s="32"/>
      <c r="E1724" s="34"/>
      <c r="F1724" s="34"/>
      <c r="G1724" s="39"/>
      <c r="H1724" s="39"/>
      <c r="I1724" s="35"/>
    </row>
    <row r="1725">
      <c r="A1725" s="37"/>
      <c r="B1725" s="35"/>
      <c r="C1725" s="31"/>
      <c r="D1725" s="32"/>
      <c r="E1725" s="34"/>
      <c r="F1725" s="34"/>
      <c r="G1725" s="39"/>
      <c r="H1725" s="39"/>
      <c r="I1725" s="35"/>
    </row>
    <row r="1726">
      <c r="A1726" s="37"/>
      <c r="B1726" s="35"/>
      <c r="C1726" s="31"/>
      <c r="D1726" s="32"/>
      <c r="E1726" s="34"/>
      <c r="F1726" s="34"/>
      <c r="G1726" s="39"/>
      <c r="H1726" s="39"/>
      <c r="I1726" s="35"/>
    </row>
    <row r="1727">
      <c r="A1727" s="37"/>
      <c r="B1727" s="35"/>
      <c r="C1727" s="31"/>
      <c r="D1727" s="32"/>
      <c r="E1727" s="34"/>
      <c r="F1727" s="34"/>
      <c r="G1727" s="39"/>
      <c r="H1727" s="39"/>
      <c r="I1727" s="35"/>
    </row>
    <row r="1728">
      <c r="A1728" s="37"/>
      <c r="B1728" s="35"/>
      <c r="C1728" s="31"/>
      <c r="D1728" s="32"/>
      <c r="E1728" s="34"/>
      <c r="F1728" s="34"/>
      <c r="G1728" s="39"/>
      <c r="H1728" s="39"/>
      <c r="I1728" s="35"/>
    </row>
    <row r="1729">
      <c r="A1729" s="37"/>
      <c r="B1729" s="35"/>
      <c r="C1729" s="31"/>
      <c r="D1729" s="32"/>
      <c r="E1729" s="34"/>
      <c r="F1729" s="34"/>
      <c r="G1729" s="39"/>
      <c r="H1729" s="39"/>
      <c r="I1729" s="35"/>
    </row>
    <row r="1730">
      <c r="A1730" s="37"/>
      <c r="B1730" s="35"/>
      <c r="C1730" s="31"/>
      <c r="D1730" s="32"/>
      <c r="E1730" s="34"/>
      <c r="F1730" s="34"/>
      <c r="G1730" s="39"/>
      <c r="H1730" s="39"/>
      <c r="I1730" s="35"/>
    </row>
    <row r="1731">
      <c r="A1731" s="37"/>
      <c r="B1731" s="35"/>
      <c r="C1731" s="31"/>
      <c r="D1731" s="32"/>
      <c r="E1731" s="34"/>
      <c r="F1731" s="34"/>
      <c r="G1731" s="39"/>
      <c r="H1731" s="39"/>
      <c r="I1731" s="35"/>
    </row>
    <row r="1732">
      <c r="A1732" s="37"/>
      <c r="B1732" s="35"/>
      <c r="C1732" s="31"/>
      <c r="D1732" s="32"/>
      <c r="E1732" s="34"/>
      <c r="F1732" s="34"/>
      <c r="G1732" s="39"/>
      <c r="H1732" s="39"/>
      <c r="I1732" s="35"/>
    </row>
    <row r="1733">
      <c r="A1733" s="37"/>
      <c r="B1733" s="35"/>
      <c r="C1733" s="31"/>
      <c r="D1733" s="32"/>
      <c r="E1733" s="34"/>
      <c r="F1733" s="34"/>
      <c r="G1733" s="39"/>
      <c r="H1733" s="39"/>
      <c r="I1733" s="35"/>
    </row>
    <row r="1734">
      <c r="A1734" s="37"/>
      <c r="B1734" s="35"/>
      <c r="C1734" s="31"/>
      <c r="D1734" s="32"/>
      <c r="E1734" s="34"/>
      <c r="F1734" s="34"/>
      <c r="G1734" s="39"/>
      <c r="H1734" s="39"/>
      <c r="I1734" s="35"/>
    </row>
    <row r="1735">
      <c r="A1735" s="37"/>
      <c r="B1735" s="35"/>
      <c r="C1735" s="31"/>
      <c r="D1735" s="32"/>
      <c r="E1735" s="34"/>
      <c r="F1735" s="34"/>
      <c r="G1735" s="39"/>
      <c r="H1735" s="39"/>
      <c r="I1735" s="35"/>
    </row>
    <row r="1736">
      <c r="A1736" s="37"/>
      <c r="B1736" s="35"/>
      <c r="C1736" s="31"/>
      <c r="D1736" s="32"/>
      <c r="E1736" s="34"/>
      <c r="F1736" s="34"/>
      <c r="G1736" s="39"/>
      <c r="H1736" s="39"/>
      <c r="I1736" s="35"/>
    </row>
    <row r="1737">
      <c r="A1737" s="37"/>
      <c r="B1737" s="35"/>
      <c r="C1737" s="31"/>
      <c r="D1737" s="32"/>
      <c r="E1737" s="34"/>
      <c r="F1737" s="34"/>
      <c r="G1737" s="39"/>
      <c r="H1737" s="39"/>
      <c r="I1737" s="35"/>
    </row>
    <row r="1738">
      <c r="A1738" s="37"/>
      <c r="B1738" s="35"/>
      <c r="C1738" s="31"/>
      <c r="D1738" s="32"/>
      <c r="E1738" s="34"/>
      <c r="F1738" s="34"/>
      <c r="G1738" s="39"/>
      <c r="H1738" s="39"/>
      <c r="I1738" s="35"/>
    </row>
    <row r="1739">
      <c r="A1739" s="37"/>
      <c r="B1739" s="35"/>
      <c r="C1739" s="31"/>
      <c r="D1739" s="32"/>
      <c r="E1739" s="34"/>
      <c r="F1739" s="34"/>
      <c r="G1739" s="39"/>
      <c r="H1739" s="39"/>
      <c r="I1739" s="35"/>
    </row>
    <row r="1740">
      <c r="A1740" s="37"/>
      <c r="B1740" s="35"/>
      <c r="C1740" s="31"/>
      <c r="D1740" s="32"/>
      <c r="E1740" s="34"/>
      <c r="F1740" s="34"/>
      <c r="G1740" s="39"/>
      <c r="H1740" s="39"/>
      <c r="I1740" s="35"/>
    </row>
    <row r="1741">
      <c r="A1741" s="37"/>
      <c r="B1741" s="35"/>
      <c r="C1741" s="31"/>
      <c r="D1741" s="32"/>
      <c r="E1741" s="34"/>
      <c r="F1741" s="34"/>
      <c r="G1741" s="39"/>
      <c r="H1741" s="39"/>
      <c r="I1741" s="35"/>
    </row>
    <row r="1742">
      <c r="A1742" s="37"/>
      <c r="B1742" s="35"/>
      <c r="C1742" s="31"/>
      <c r="D1742" s="32"/>
      <c r="E1742" s="34"/>
      <c r="F1742" s="34"/>
      <c r="G1742" s="39"/>
      <c r="H1742" s="39"/>
      <c r="I1742" s="35"/>
    </row>
    <row r="1743">
      <c r="A1743" s="37"/>
      <c r="B1743" s="35"/>
      <c r="C1743" s="31"/>
      <c r="D1743" s="32"/>
      <c r="E1743" s="34"/>
      <c r="F1743" s="34"/>
      <c r="G1743" s="39"/>
      <c r="H1743" s="39"/>
      <c r="I1743" s="35"/>
    </row>
    <row r="1744">
      <c r="A1744" s="37"/>
      <c r="B1744" s="35"/>
      <c r="C1744" s="31"/>
      <c r="D1744" s="32"/>
      <c r="E1744" s="34"/>
      <c r="F1744" s="34"/>
      <c r="G1744" s="39"/>
      <c r="H1744" s="39"/>
      <c r="I1744" s="35"/>
    </row>
    <row r="1745">
      <c r="A1745" s="37"/>
      <c r="B1745" s="35"/>
      <c r="C1745" s="31"/>
      <c r="D1745" s="32"/>
      <c r="E1745" s="34"/>
      <c r="F1745" s="34"/>
      <c r="G1745" s="39"/>
      <c r="H1745" s="39"/>
      <c r="I1745" s="35"/>
    </row>
    <row r="1746">
      <c r="A1746" s="37"/>
      <c r="B1746" s="35"/>
      <c r="C1746" s="31"/>
      <c r="D1746" s="32"/>
      <c r="E1746" s="34"/>
      <c r="F1746" s="34"/>
      <c r="G1746" s="39"/>
      <c r="H1746" s="39"/>
      <c r="I1746" s="35"/>
    </row>
    <row r="1747">
      <c r="A1747" s="37"/>
      <c r="B1747" s="35"/>
      <c r="C1747" s="31"/>
      <c r="D1747" s="32"/>
      <c r="E1747" s="34"/>
      <c r="F1747" s="34"/>
      <c r="G1747" s="39"/>
      <c r="H1747" s="39"/>
      <c r="I1747" s="35"/>
    </row>
    <row r="1748">
      <c r="A1748" s="37"/>
      <c r="B1748" s="35"/>
      <c r="C1748" s="31"/>
      <c r="D1748" s="32"/>
      <c r="E1748" s="34"/>
      <c r="F1748" s="34"/>
      <c r="G1748" s="39"/>
      <c r="H1748" s="39"/>
      <c r="I1748" s="35"/>
    </row>
    <row r="1749">
      <c r="A1749" s="37"/>
      <c r="B1749" s="35"/>
      <c r="C1749" s="31"/>
      <c r="D1749" s="32"/>
      <c r="E1749" s="34"/>
      <c r="F1749" s="34"/>
      <c r="G1749" s="39"/>
      <c r="H1749" s="39"/>
      <c r="I1749" s="35"/>
    </row>
    <row r="1750">
      <c r="A1750" s="37"/>
      <c r="B1750" s="35"/>
      <c r="C1750" s="31"/>
      <c r="D1750" s="32"/>
      <c r="E1750" s="34"/>
      <c r="F1750" s="34"/>
      <c r="G1750" s="39"/>
      <c r="H1750" s="39"/>
      <c r="I1750" s="35"/>
    </row>
    <row r="1751">
      <c r="A1751" s="37"/>
      <c r="B1751" s="35"/>
      <c r="C1751" s="31"/>
      <c r="D1751" s="32"/>
      <c r="E1751" s="34"/>
      <c r="F1751" s="34"/>
      <c r="G1751" s="39"/>
      <c r="H1751" s="39"/>
      <c r="I1751" s="35"/>
    </row>
    <row r="1752">
      <c r="A1752" s="37"/>
      <c r="B1752" s="35"/>
      <c r="C1752" s="31"/>
      <c r="D1752" s="32"/>
      <c r="E1752" s="34"/>
      <c r="F1752" s="34"/>
      <c r="G1752" s="39"/>
      <c r="H1752" s="39"/>
      <c r="I1752" s="35"/>
    </row>
    <row r="1753">
      <c r="A1753" s="37"/>
      <c r="B1753" s="35"/>
      <c r="C1753" s="31"/>
      <c r="D1753" s="32"/>
      <c r="E1753" s="34"/>
      <c r="F1753" s="34"/>
      <c r="G1753" s="39"/>
      <c r="H1753" s="39"/>
      <c r="I1753" s="35"/>
    </row>
    <row r="1754">
      <c r="A1754" s="37"/>
      <c r="B1754" s="35"/>
      <c r="C1754" s="31"/>
      <c r="D1754" s="32"/>
      <c r="E1754" s="34"/>
      <c r="F1754" s="34"/>
      <c r="G1754" s="39"/>
      <c r="H1754" s="39"/>
      <c r="I1754" s="35"/>
    </row>
    <row r="1755">
      <c r="A1755" s="37"/>
      <c r="B1755" s="35"/>
      <c r="C1755" s="31"/>
      <c r="D1755" s="32"/>
      <c r="E1755" s="34"/>
      <c r="F1755" s="34"/>
      <c r="G1755" s="39"/>
      <c r="H1755" s="39"/>
      <c r="I1755" s="35"/>
    </row>
    <row r="1756">
      <c r="A1756" s="37"/>
      <c r="B1756" s="35"/>
      <c r="C1756" s="31"/>
      <c r="D1756" s="32"/>
      <c r="E1756" s="34"/>
      <c r="F1756" s="34"/>
      <c r="G1756" s="39"/>
      <c r="H1756" s="39"/>
      <c r="I1756" s="35"/>
    </row>
    <row r="1757">
      <c r="A1757" s="37"/>
      <c r="B1757" s="35"/>
      <c r="C1757" s="31"/>
      <c r="D1757" s="32"/>
      <c r="E1757" s="34"/>
      <c r="F1757" s="34"/>
      <c r="G1757" s="39"/>
      <c r="H1757" s="39"/>
      <c r="I1757" s="35"/>
    </row>
    <row r="1758">
      <c r="A1758" s="37"/>
      <c r="B1758" s="35"/>
      <c r="C1758" s="31"/>
      <c r="D1758" s="32"/>
      <c r="E1758" s="34"/>
      <c r="F1758" s="34"/>
      <c r="G1758" s="39"/>
      <c r="H1758" s="39"/>
      <c r="I1758" s="35"/>
    </row>
    <row r="1759">
      <c r="A1759" s="37"/>
      <c r="B1759" s="35"/>
      <c r="C1759" s="31"/>
      <c r="D1759" s="32"/>
      <c r="E1759" s="34"/>
      <c r="F1759" s="34"/>
      <c r="G1759" s="39"/>
      <c r="H1759" s="39"/>
      <c r="I1759" s="35"/>
    </row>
    <row r="1760">
      <c r="A1760" s="37"/>
      <c r="B1760" s="35"/>
      <c r="C1760" s="31"/>
      <c r="D1760" s="32"/>
      <c r="E1760" s="34"/>
      <c r="F1760" s="34"/>
      <c r="G1760" s="39"/>
      <c r="H1760" s="39"/>
      <c r="I1760" s="35"/>
    </row>
    <row r="1761">
      <c r="A1761" s="37"/>
      <c r="B1761" s="35"/>
      <c r="C1761" s="31"/>
      <c r="D1761" s="32"/>
      <c r="E1761" s="34"/>
      <c r="F1761" s="34"/>
      <c r="G1761" s="39"/>
      <c r="H1761" s="39"/>
      <c r="I1761" s="35"/>
    </row>
    <row r="1762">
      <c r="A1762" s="37"/>
      <c r="B1762" s="35"/>
      <c r="C1762" s="31"/>
      <c r="D1762" s="32"/>
      <c r="E1762" s="34"/>
      <c r="F1762" s="34"/>
      <c r="G1762" s="39"/>
      <c r="H1762" s="39"/>
      <c r="I1762" s="35"/>
    </row>
    <row r="1763">
      <c r="A1763" s="37"/>
      <c r="B1763" s="35"/>
      <c r="C1763" s="31"/>
      <c r="D1763" s="32"/>
      <c r="E1763" s="34"/>
      <c r="F1763" s="34"/>
      <c r="G1763" s="39"/>
      <c r="H1763" s="39"/>
      <c r="I1763" s="35"/>
    </row>
    <row r="1764">
      <c r="A1764" s="37"/>
      <c r="B1764" s="35"/>
      <c r="C1764" s="31"/>
      <c r="D1764" s="32"/>
      <c r="E1764" s="34"/>
      <c r="F1764" s="34"/>
      <c r="G1764" s="39"/>
      <c r="H1764" s="39"/>
      <c r="I1764" s="35"/>
    </row>
    <row r="1765">
      <c r="A1765" s="37"/>
      <c r="B1765" s="35"/>
      <c r="C1765" s="31"/>
      <c r="D1765" s="32"/>
      <c r="E1765" s="34"/>
      <c r="F1765" s="34"/>
      <c r="G1765" s="39"/>
      <c r="H1765" s="39"/>
      <c r="I1765" s="35"/>
    </row>
    <row r="1766">
      <c r="A1766" s="37"/>
      <c r="B1766" s="35"/>
      <c r="C1766" s="31"/>
      <c r="D1766" s="32"/>
      <c r="E1766" s="34"/>
      <c r="F1766" s="34"/>
      <c r="G1766" s="39"/>
      <c r="H1766" s="39"/>
      <c r="I1766" s="35"/>
    </row>
    <row r="1767">
      <c r="A1767" s="37"/>
      <c r="B1767" s="35"/>
      <c r="C1767" s="31"/>
      <c r="D1767" s="32"/>
      <c r="E1767" s="34"/>
      <c r="F1767" s="34"/>
      <c r="G1767" s="39"/>
      <c r="H1767" s="39"/>
      <c r="I1767" s="35"/>
    </row>
    <row r="1768">
      <c r="A1768" s="37"/>
      <c r="B1768" s="35"/>
      <c r="C1768" s="31"/>
      <c r="D1768" s="32"/>
      <c r="E1768" s="34"/>
      <c r="F1768" s="34"/>
      <c r="G1768" s="39"/>
      <c r="H1768" s="39"/>
      <c r="I1768" s="35"/>
    </row>
    <row r="1769">
      <c r="A1769" s="37"/>
      <c r="B1769" s="35"/>
      <c r="C1769" s="31"/>
      <c r="D1769" s="32"/>
      <c r="E1769" s="34"/>
      <c r="F1769" s="34"/>
      <c r="G1769" s="39"/>
      <c r="H1769" s="39"/>
      <c r="I1769" s="35"/>
    </row>
    <row r="1770">
      <c r="A1770" s="37"/>
      <c r="B1770" s="35"/>
      <c r="C1770" s="31"/>
      <c r="D1770" s="32"/>
      <c r="E1770" s="34"/>
      <c r="F1770" s="34"/>
      <c r="G1770" s="39"/>
      <c r="H1770" s="39"/>
      <c r="I1770" s="35"/>
    </row>
    <row r="1771">
      <c r="A1771" s="37"/>
      <c r="B1771" s="35"/>
      <c r="C1771" s="31"/>
      <c r="D1771" s="32"/>
      <c r="E1771" s="34"/>
      <c r="F1771" s="34"/>
      <c r="G1771" s="39"/>
      <c r="H1771" s="39"/>
      <c r="I1771" s="35"/>
    </row>
    <row r="1772">
      <c r="A1772" s="37"/>
      <c r="B1772" s="35"/>
      <c r="C1772" s="31"/>
      <c r="D1772" s="32"/>
      <c r="E1772" s="34"/>
      <c r="F1772" s="34"/>
      <c r="G1772" s="39"/>
      <c r="H1772" s="39"/>
      <c r="I1772" s="35"/>
    </row>
    <row r="1773">
      <c r="A1773" s="37"/>
      <c r="B1773" s="35"/>
      <c r="C1773" s="31"/>
      <c r="D1773" s="32"/>
      <c r="E1773" s="34"/>
      <c r="F1773" s="34"/>
      <c r="G1773" s="39"/>
      <c r="H1773" s="39"/>
      <c r="I1773" s="35"/>
    </row>
    <row r="1774">
      <c r="A1774" s="37"/>
      <c r="B1774" s="35"/>
      <c r="C1774" s="31"/>
      <c r="D1774" s="32"/>
      <c r="E1774" s="34"/>
      <c r="F1774" s="34"/>
      <c r="G1774" s="39"/>
      <c r="H1774" s="39"/>
      <c r="I1774" s="35"/>
    </row>
    <row r="1775">
      <c r="A1775" s="37"/>
      <c r="B1775" s="35"/>
      <c r="C1775" s="31"/>
      <c r="D1775" s="32"/>
      <c r="E1775" s="34"/>
      <c r="F1775" s="34"/>
      <c r="G1775" s="39"/>
      <c r="H1775" s="39"/>
      <c r="I1775" s="35"/>
    </row>
    <row r="1776">
      <c r="A1776" s="37"/>
      <c r="B1776" s="35"/>
      <c r="C1776" s="31"/>
      <c r="D1776" s="32"/>
      <c r="E1776" s="34"/>
      <c r="F1776" s="34"/>
      <c r="G1776" s="39"/>
      <c r="H1776" s="39"/>
      <c r="I1776" s="35"/>
    </row>
    <row r="1777">
      <c r="A1777" s="37"/>
      <c r="B1777" s="35"/>
      <c r="C1777" s="31"/>
      <c r="D1777" s="32"/>
      <c r="E1777" s="34"/>
      <c r="F1777" s="34"/>
      <c r="G1777" s="39"/>
      <c r="H1777" s="39"/>
      <c r="I1777" s="35"/>
    </row>
    <row r="1778">
      <c r="A1778" s="37"/>
      <c r="B1778" s="35"/>
      <c r="C1778" s="31"/>
      <c r="D1778" s="32"/>
      <c r="E1778" s="34"/>
      <c r="F1778" s="34"/>
      <c r="G1778" s="39"/>
      <c r="H1778" s="39"/>
      <c r="I1778" s="35"/>
    </row>
    <row r="1779">
      <c r="A1779" s="37"/>
      <c r="B1779" s="35"/>
      <c r="C1779" s="31"/>
      <c r="D1779" s="32"/>
      <c r="E1779" s="34"/>
      <c r="F1779" s="34"/>
      <c r="G1779" s="39"/>
      <c r="H1779" s="39"/>
      <c r="I1779" s="35"/>
    </row>
    <row r="1780">
      <c r="A1780" s="37"/>
      <c r="B1780" s="35"/>
      <c r="C1780" s="31"/>
      <c r="D1780" s="32"/>
      <c r="E1780" s="34"/>
      <c r="F1780" s="34"/>
      <c r="G1780" s="39"/>
      <c r="H1780" s="39"/>
      <c r="I1780" s="35"/>
    </row>
    <row r="1781">
      <c r="A1781" s="37"/>
      <c r="B1781" s="35"/>
      <c r="C1781" s="31"/>
      <c r="D1781" s="32"/>
      <c r="E1781" s="34"/>
      <c r="F1781" s="34"/>
      <c r="G1781" s="39"/>
      <c r="H1781" s="39"/>
      <c r="I1781" s="35"/>
    </row>
    <row r="1782">
      <c r="A1782" s="37"/>
      <c r="B1782" s="35"/>
      <c r="C1782" s="31"/>
      <c r="D1782" s="32"/>
      <c r="E1782" s="34"/>
      <c r="F1782" s="34"/>
      <c r="G1782" s="39"/>
      <c r="H1782" s="39"/>
      <c r="I1782" s="35"/>
    </row>
    <row r="1783">
      <c r="A1783" s="37"/>
      <c r="B1783" s="35"/>
      <c r="C1783" s="31"/>
      <c r="D1783" s="32"/>
      <c r="E1783" s="34"/>
      <c r="F1783" s="34"/>
      <c r="G1783" s="39"/>
      <c r="H1783" s="39"/>
      <c r="I1783" s="35"/>
    </row>
    <row r="1784">
      <c r="A1784" s="37"/>
      <c r="B1784" s="35"/>
      <c r="C1784" s="31"/>
      <c r="D1784" s="32"/>
      <c r="E1784" s="34"/>
      <c r="F1784" s="34"/>
      <c r="G1784" s="39"/>
      <c r="H1784" s="39"/>
      <c r="I1784" s="35"/>
    </row>
    <row r="1785">
      <c r="A1785" s="37"/>
      <c r="B1785" s="35"/>
      <c r="C1785" s="31"/>
      <c r="D1785" s="32"/>
      <c r="E1785" s="34"/>
      <c r="F1785" s="34"/>
      <c r="G1785" s="39"/>
      <c r="H1785" s="39"/>
      <c r="I1785" s="35"/>
    </row>
    <row r="1786">
      <c r="A1786" s="37"/>
      <c r="B1786" s="35"/>
      <c r="C1786" s="31"/>
      <c r="D1786" s="32"/>
      <c r="E1786" s="34"/>
      <c r="F1786" s="34"/>
      <c r="G1786" s="39"/>
      <c r="H1786" s="39"/>
      <c r="I1786" s="35"/>
    </row>
    <row r="1787">
      <c r="A1787" s="37"/>
      <c r="B1787" s="35"/>
      <c r="C1787" s="31"/>
      <c r="D1787" s="32"/>
      <c r="E1787" s="34"/>
      <c r="F1787" s="34"/>
      <c r="G1787" s="39"/>
      <c r="H1787" s="39"/>
      <c r="I1787" s="35"/>
    </row>
    <row r="1788">
      <c r="A1788" s="37"/>
      <c r="B1788" s="35"/>
      <c r="C1788" s="31"/>
      <c r="D1788" s="32"/>
      <c r="E1788" s="34"/>
      <c r="F1788" s="34"/>
      <c r="G1788" s="39"/>
      <c r="H1788" s="39"/>
      <c r="I1788" s="35"/>
    </row>
    <row r="1789">
      <c r="A1789" s="37"/>
      <c r="B1789" s="35"/>
      <c r="C1789" s="31"/>
      <c r="D1789" s="32"/>
      <c r="E1789" s="34"/>
      <c r="F1789" s="34"/>
      <c r="G1789" s="39"/>
      <c r="H1789" s="39"/>
      <c r="I1789" s="35"/>
    </row>
    <row r="1790">
      <c r="A1790" s="37"/>
      <c r="B1790" s="35"/>
      <c r="C1790" s="31"/>
      <c r="D1790" s="32"/>
      <c r="E1790" s="34"/>
      <c r="F1790" s="34"/>
      <c r="G1790" s="39"/>
      <c r="H1790" s="39"/>
      <c r="I1790" s="35"/>
    </row>
    <row r="1791">
      <c r="A1791" s="37"/>
      <c r="B1791" s="35"/>
      <c r="C1791" s="31"/>
      <c r="D1791" s="32"/>
      <c r="E1791" s="34"/>
      <c r="F1791" s="34"/>
      <c r="G1791" s="39"/>
      <c r="H1791" s="39"/>
      <c r="I1791" s="35"/>
    </row>
    <row r="1792">
      <c r="A1792" s="37"/>
      <c r="B1792" s="35"/>
      <c r="C1792" s="31"/>
      <c r="D1792" s="32"/>
      <c r="E1792" s="34"/>
      <c r="F1792" s="34"/>
      <c r="G1792" s="39"/>
      <c r="H1792" s="39"/>
      <c r="I1792" s="35"/>
    </row>
    <row r="1793">
      <c r="A1793" s="37"/>
      <c r="B1793" s="35"/>
      <c r="C1793" s="31"/>
      <c r="D1793" s="32"/>
      <c r="E1793" s="34"/>
      <c r="F1793" s="34"/>
      <c r="G1793" s="39"/>
      <c r="H1793" s="39"/>
      <c r="I1793" s="35"/>
    </row>
    <row r="1794">
      <c r="A1794" s="37"/>
      <c r="B1794" s="35"/>
      <c r="C1794" s="31"/>
      <c r="D1794" s="32"/>
      <c r="E1794" s="34"/>
      <c r="F1794" s="34"/>
      <c r="G1794" s="39"/>
      <c r="H1794" s="39"/>
      <c r="I1794" s="35"/>
    </row>
    <row r="1795">
      <c r="A1795" s="37"/>
      <c r="B1795" s="35"/>
      <c r="C1795" s="31"/>
      <c r="D1795" s="32"/>
      <c r="E1795" s="34"/>
      <c r="F1795" s="34"/>
      <c r="G1795" s="39"/>
      <c r="H1795" s="39"/>
      <c r="I1795" s="35"/>
    </row>
    <row r="1796">
      <c r="A1796" s="37"/>
      <c r="B1796" s="35"/>
      <c r="C1796" s="31"/>
      <c r="D1796" s="32"/>
      <c r="E1796" s="34"/>
      <c r="F1796" s="34"/>
      <c r="G1796" s="39"/>
      <c r="H1796" s="39"/>
      <c r="I1796" s="35"/>
    </row>
    <row r="1797">
      <c r="A1797" s="37"/>
      <c r="B1797" s="35"/>
      <c r="C1797" s="31"/>
      <c r="D1797" s="32"/>
      <c r="E1797" s="34"/>
      <c r="F1797" s="34"/>
      <c r="G1797" s="39"/>
      <c r="H1797" s="39"/>
      <c r="I1797" s="35"/>
    </row>
    <row r="1798">
      <c r="A1798" s="37"/>
      <c r="B1798" s="35"/>
      <c r="C1798" s="31"/>
      <c r="D1798" s="32"/>
      <c r="E1798" s="34"/>
      <c r="F1798" s="34"/>
      <c r="G1798" s="39"/>
      <c r="H1798" s="39"/>
      <c r="I1798" s="35"/>
    </row>
    <row r="1799">
      <c r="A1799" s="37"/>
      <c r="B1799" s="35"/>
      <c r="C1799" s="31"/>
      <c r="D1799" s="32"/>
      <c r="E1799" s="34"/>
      <c r="F1799" s="34"/>
      <c r="G1799" s="39"/>
      <c r="H1799" s="39"/>
      <c r="I1799" s="35"/>
    </row>
    <row r="1800">
      <c r="A1800" s="37"/>
      <c r="B1800" s="35"/>
      <c r="C1800" s="31"/>
      <c r="D1800" s="32"/>
      <c r="E1800" s="34"/>
      <c r="F1800" s="34"/>
      <c r="G1800" s="39"/>
      <c r="H1800" s="39"/>
      <c r="I1800" s="35"/>
    </row>
    <row r="1801">
      <c r="A1801" s="37"/>
      <c r="B1801" s="35"/>
      <c r="C1801" s="31"/>
      <c r="D1801" s="32"/>
      <c r="E1801" s="34"/>
      <c r="F1801" s="34"/>
      <c r="G1801" s="39"/>
      <c r="H1801" s="39"/>
      <c r="I1801" s="35"/>
    </row>
    <row r="1802">
      <c r="A1802" s="37"/>
      <c r="B1802" s="35"/>
      <c r="C1802" s="31"/>
      <c r="D1802" s="32"/>
      <c r="E1802" s="34"/>
      <c r="F1802" s="34"/>
      <c r="G1802" s="39"/>
      <c r="H1802" s="39"/>
      <c r="I1802" s="35"/>
    </row>
    <row r="1803">
      <c r="A1803" s="37"/>
      <c r="B1803" s="35"/>
      <c r="C1803" s="31"/>
      <c r="D1803" s="32"/>
      <c r="E1803" s="34"/>
      <c r="F1803" s="34"/>
      <c r="G1803" s="39"/>
      <c r="H1803" s="39"/>
      <c r="I1803" s="35"/>
    </row>
    <row r="1804">
      <c r="A1804" s="37"/>
      <c r="B1804" s="35"/>
      <c r="C1804" s="31"/>
      <c r="D1804" s="32"/>
      <c r="E1804" s="34"/>
      <c r="F1804" s="34"/>
      <c r="G1804" s="39"/>
      <c r="H1804" s="39"/>
      <c r="I1804" s="35"/>
    </row>
    <row r="1805">
      <c r="A1805" s="37"/>
      <c r="B1805" s="35"/>
      <c r="C1805" s="31"/>
      <c r="D1805" s="32"/>
      <c r="E1805" s="34"/>
      <c r="F1805" s="34"/>
      <c r="G1805" s="39"/>
      <c r="H1805" s="39"/>
      <c r="I1805" s="35"/>
    </row>
    <row r="1806">
      <c r="A1806" s="37"/>
      <c r="B1806" s="35"/>
      <c r="C1806" s="31"/>
      <c r="D1806" s="32"/>
      <c r="E1806" s="34"/>
      <c r="F1806" s="34"/>
      <c r="G1806" s="39"/>
      <c r="H1806" s="39"/>
      <c r="I1806" s="35"/>
    </row>
    <row r="1807">
      <c r="A1807" s="37"/>
      <c r="B1807" s="35"/>
      <c r="C1807" s="31"/>
      <c r="D1807" s="32"/>
      <c r="E1807" s="34"/>
      <c r="F1807" s="34"/>
      <c r="G1807" s="39"/>
      <c r="H1807" s="39"/>
      <c r="I1807" s="35"/>
    </row>
    <row r="1808">
      <c r="A1808" s="37"/>
      <c r="B1808" s="35"/>
      <c r="C1808" s="31"/>
      <c r="D1808" s="32"/>
      <c r="E1808" s="34"/>
      <c r="F1808" s="34"/>
      <c r="G1808" s="39"/>
      <c r="H1808" s="39"/>
      <c r="I1808" s="35"/>
    </row>
    <row r="1809">
      <c r="A1809" s="37"/>
      <c r="B1809" s="35"/>
      <c r="C1809" s="31"/>
      <c r="D1809" s="32"/>
      <c r="E1809" s="34"/>
      <c r="F1809" s="34"/>
      <c r="G1809" s="39"/>
      <c r="H1809" s="39"/>
      <c r="I1809" s="35"/>
    </row>
    <row r="1810">
      <c r="A1810" s="37"/>
      <c r="B1810" s="35"/>
      <c r="C1810" s="31"/>
      <c r="D1810" s="32"/>
      <c r="E1810" s="34"/>
      <c r="F1810" s="34"/>
      <c r="G1810" s="39"/>
      <c r="H1810" s="39"/>
      <c r="I1810" s="35"/>
    </row>
    <row r="1811">
      <c r="A1811" s="37"/>
      <c r="B1811" s="35"/>
      <c r="C1811" s="31"/>
      <c r="D1811" s="32"/>
      <c r="E1811" s="34"/>
      <c r="F1811" s="34"/>
      <c r="G1811" s="39"/>
      <c r="H1811" s="39"/>
      <c r="I1811" s="35"/>
    </row>
    <row r="1812">
      <c r="A1812" s="37"/>
      <c r="B1812" s="35"/>
      <c r="C1812" s="31"/>
      <c r="D1812" s="32"/>
      <c r="E1812" s="34"/>
      <c r="F1812" s="34"/>
      <c r="G1812" s="39"/>
      <c r="H1812" s="39"/>
      <c r="I1812" s="35"/>
    </row>
    <row r="1813">
      <c r="A1813" s="37"/>
      <c r="B1813" s="35"/>
      <c r="C1813" s="31"/>
      <c r="D1813" s="32"/>
      <c r="E1813" s="34"/>
      <c r="F1813" s="34"/>
      <c r="G1813" s="39"/>
      <c r="H1813" s="39"/>
      <c r="I1813" s="35"/>
    </row>
    <row r="1814">
      <c r="A1814" s="37"/>
      <c r="B1814" s="35"/>
      <c r="C1814" s="31"/>
      <c r="D1814" s="32"/>
      <c r="E1814" s="34"/>
      <c r="F1814" s="34"/>
      <c r="G1814" s="39"/>
      <c r="H1814" s="39"/>
      <c r="I1814" s="35"/>
    </row>
    <row r="1815">
      <c r="A1815" s="37"/>
      <c r="B1815" s="35"/>
      <c r="C1815" s="31"/>
      <c r="D1815" s="32"/>
      <c r="E1815" s="34"/>
      <c r="F1815" s="34"/>
      <c r="G1815" s="39"/>
      <c r="H1815" s="39"/>
      <c r="I1815" s="35"/>
    </row>
    <row r="1816">
      <c r="A1816" s="37"/>
      <c r="B1816" s="35"/>
      <c r="C1816" s="31"/>
      <c r="D1816" s="32"/>
      <c r="E1816" s="34"/>
      <c r="F1816" s="34"/>
      <c r="G1816" s="39"/>
      <c r="H1816" s="39"/>
      <c r="I1816" s="35"/>
    </row>
    <row r="1817">
      <c r="A1817" s="37"/>
      <c r="B1817" s="35"/>
      <c r="C1817" s="31"/>
      <c r="D1817" s="32"/>
      <c r="E1817" s="34"/>
      <c r="F1817" s="34"/>
      <c r="G1817" s="39"/>
      <c r="H1817" s="39"/>
      <c r="I1817" s="35"/>
    </row>
    <row r="1818">
      <c r="A1818" s="37"/>
      <c r="B1818" s="35"/>
      <c r="C1818" s="31"/>
      <c r="D1818" s="32"/>
      <c r="E1818" s="34"/>
      <c r="F1818" s="34"/>
      <c r="G1818" s="39"/>
      <c r="H1818" s="39"/>
      <c r="I1818" s="35"/>
    </row>
    <row r="1819">
      <c r="A1819" s="37"/>
      <c r="B1819" s="35"/>
      <c r="C1819" s="31"/>
      <c r="D1819" s="32"/>
      <c r="E1819" s="34"/>
      <c r="F1819" s="34"/>
      <c r="G1819" s="39"/>
      <c r="H1819" s="39"/>
      <c r="I1819" s="35"/>
    </row>
    <row r="1820">
      <c r="A1820" s="37"/>
      <c r="B1820" s="35"/>
      <c r="C1820" s="31"/>
      <c r="D1820" s="32"/>
      <c r="E1820" s="34"/>
      <c r="F1820" s="34"/>
      <c r="G1820" s="39"/>
      <c r="H1820" s="39"/>
      <c r="I1820" s="35"/>
    </row>
    <row r="1821">
      <c r="A1821" s="37"/>
      <c r="B1821" s="35"/>
      <c r="C1821" s="31"/>
      <c r="D1821" s="32"/>
      <c r="E1821" s="34"/>
      <c r="F1821" s="34"/>
      <c r="G1821" s="39"/>
      <c r="H1821" s="39"/>
      <c r="I1821" s="35"/>
    </row>
    <row r="1822">
      <c r="A1822" s="37"/>
      <c r="B1822" s="35"/>
      <c r="C1822" s="31"/>
      <c r="D1822" s="32"/>
      <c r="E1822" s="34"/>
      <c r="F1822" s="34"/>
      <c r="G1822" s="39"/>
      <c r="H1822" s="39"/>
      <c r="I1822" s="35"/>
    </row>
    <row r="1823">
      <c r="A1823" s="37"/>
      <c r="B1823" s="35"/>
      <c r="C1823" s="31"/>
      <c r="D1823" s="32"/>
      <c r="E1823" s="34"/>
      <c r="F1823" s="34"/>
      <c r="G1823" s="39"/>
      <c r="H1823" s="39"/>
      <c r="I1823" s="35"/>
    </row>
    <row r="1824">
      <c r="A1824" s="37"/>
      <c r="B1824" s="35"/>
      <c r="C1824" s="31"/>
      <c r="D1824" s="32"/>
      <c r="E1824" s="34"/>
      <c r="F1824" s="34"/>
      <c r="G1824" s="39"/>
      <c r="H1824" s="39"/>
      <c r="I1824" s="35"/>
    </row>
    <row r="1825">
      <c r="A1825" s="37"/>
      <c r="B1825" s="35"/>
      <c r="C1825" s="31"/>
      <c r="D1825" s="32"/>
      <c r="E1825" s="34"/>
      <c r="F1825" s="34"/>
      <c r="G1825" s="39"/>
      <c r="H1825" s="39"/>
      <c r="I1825" s="35"/>
    </row>
    <row r="1826">
      <c r="A1826" s="37"/>
      <c r="B1826" s="35"/>
      <c r="C1826" s="31"/>
      <c r="D1826" s="32"/>
      <c r="E1826" s="34"/>
      <c r="F1826" s="34"/>
      <c r="G1826" s="39"/>
      <c r="H1826" s="39"/>
      <c r="I1826" s="35"/>
    </row>
    <row r="1827">
      <c r="A1827" s="37"/>
      <c r="B1827" s="35"/>
      <c r="C1827" s="31"/>
      <c r="D1827" s="32"/>
      <c r="E1827" s="34"/>
      <c r="F1827" s="34"/>
      <c r="G1827" s="39"/>
      <c r="H1827" s="39"/>
      <c r="I1827" s="35"/>
    </row>
    <row r="1828">
      <c r="A1828" s="37"/>
      <c r="B1828" s="35"/>
      <c r="C1828" s="31"/>
      <c r="D1828" s="32"/>
      <c r="E1828" s="34"/>
      <c r="F1828" s="34"/>
      <c r="G1828" s="39"/>
      <c r="H1828" s="39"/>
      <c r="I1828" s="35"/>
    </row>
    <row r="1829">
      <c r="A1829" s="37"/>
      <c r="B1829" s="35"/>
      <c r="C1829" s="31"/>
      <c r="D1829" s="32"/>
      <c r="E1829" s="34"/>
      <c r="F1829" s="34"/>
      <c r="G1829" s="39"/>
      <c r="H1829" s="39"/>
      <c r="I1829" s="35"/>
    </row>
    <row r="1830">
      <c r="A1830" s="37"/>
      <c r="B1830" s="35"/>
      <c r="C1830" s="31"/>
      <c r="D1830" s="32"/>
      <c r="E1830" s="34"/>
      <c r="F1830" s="34"/>
      <c r="G1830" s="39"/>
      <c r="H1830" s="39"/>
      <c r="I1830" s="35"/>
    </row>
    <row r="1831">
      <c r="A1831" s="37"/>
      <c r="B1831" s="35"/>
      <c r="C1831" s="31"/>
      <c r="D1831" s="32"/>
      <c r="E1831" s="34"/>
      <c r="F1831" s="34"/>
      <c r="G1831" s="39"/>
      <c r="H1831" s="39"/>
      <c r="I1831" s="35"/>
    </row>
    <row r="1832">
      <c r="A1832" s="37"/>
      <c r="B1832" s="35"/>
      <c r="C1832" s="31"/>
      <c r="D1832" s="32"/>
      <c r="E1832" s="34"/>
      <c r="F1832" s="34"/>
      <c r="G1832" s="39"/>
      <c r="H1832" s="39"/>
      <c r="I1832" s="35"/>
    </row>
    <row r="1833">
      <c r="A1833" s="37"/>
      <c r="B1833" s="35"/>
      <c r="C1833" s="31"/>
      <c r="D1833" s="32"/>
      <c r="E1833" s="34"/>
      <c r="F1833" s="34"/>
      <c r="G1833" s="39"/>
      <c r="H1833" s="39"/>
      <c r="I1833" s="35"/>
    </row>
    <row r="1834">
      <c r="A1834" s="37"/>
      <c r="B1834" s="35"/>
      <c r="C1834" s="31"/>
      <c r="D1834" s="32"/>
      <c r="E1834" s="34"/>
      <c r="F1834" s="34"/>
      <c r="G1834" s="39"/>
      <c r="H1834" s="39"/>
      <c r="I1834" s="35"/>
    </row>
    <row r="1835">
      <c r="A1835" s="37"/>
      <c r="B1835" s="35"/>
      <c r="C1835" s="31"/>
      <c r="D1835" s="32"/>
      <c r="E1835" s="34"/>
      <c r="F1835" s="34"/>
      <c r="G1835" s="39"/>
      <c r="H1835" s="39"/>
      <c r="I1835" s="35"/>
    </row>
    <row r="1836">
      <c r="A1836" s="37"/>
      <c r="B1836" s="35"/>
      <c r="C1836" s="31"/>
      <c r="D1836" s="32"/>
      <c r="E1836" s="34"/>
      <c r="F1836" s="34"/>
      <c r="G1836" s="39"/>
      <c r="H1836" s="39"/>
      <c r="I1836" s="35"/>
    </row>
    <row r="1837">
      <c r="A1837" s="37"/>
      <c r="B1837" s="35"/>
      <c r="C1837" s="31"/>
      <c r="D1837" s="32"/>
      <c r="E1837" s="34"/>
      <c r="F1837" s="34"/>
      <c r="G1837" s="39"/>
      <c r="H1837" s="39"/>
      <c r="I1837" s="35"/>
    </row>
    <row r="1838">
      <c r="A1838" s="37"/>
      <c r="B1838" s="35"/>
      <c r="C1838" s="31"/>
      <c r="D1838" s="32"/>
      <c r="E1838" s="34"/>
      <c r="F1838" s="34"/>
      <c r="G1838" s="39"/>
      <c r="H1838" s="39"/>
      <c r="I1838" s="35"/>
    </row>
    <row r="1839">
      <c r="A1839" s="37"/>
      <c r="B1839" s="35"/>
      <c r="C1839" s="31"/>
      <c r="D1839" s="32"/>
      <c r="E1839" s="34"/>
      <c r="F1839" s="34"/>
      <c r="G1839" s="39"/>
      <c r="H1839" s="39"/>
      <c r="I1839" s="35"/>
    </row>
    <row r="1840">
      <c r="A1840" s="37"/>
      <c r="B1840" s="35"/>
      <c r="C1840" s="31"/>
      <c r="D1840" s="32"/>
      <c r="E1840" s="34"/>
      <c r="F1840" s="34"/>
      <c r="G1840" s="39"/>
      <c r="H1840" s="39"/>
      <c r="I1840" s="35"/>
    </row>
    <row r="1841">
      <c r="A1841" s="37"/>
      <c r="B1841" s="35"/>
      <c r="C1841" s="31"/>
      <c r="D1841" s="32"/>
      <c r="E1841" s="34"/>
      <c r="F1841" s="34"/>
      <c r="G1841" s="39"/>
      <c r="H1841" s="39"/>
      <c r="I1841" s="35"/>
    </row>
    <row r="1842">
      <c r="A1842" s="37"/>
      <c r="B1842" s="35"/>
      <c r="C1842" s="31"/>
      <c r="D1842" s="32"/>
      <c r="E1842" s="34"/>
      <c r="F1842" s="34"/>
      <c r="G1842" s="39"/>
      <c r="H1842" s="39"/>
      <c r="I1842" s="35"/>
    </row>
    <row r="1843">
      <c r="A1843" s="37"/>
      <c r="B1843" s="35"/>
      <c r="C1843" s="31"/>
      <c r="D1843" s="32"/>
      <c r="E1843" s="34"/>
      <c r="F1843" s="34"/>
      <c r="G1843" s="39"/>
      <c r="H1843" s="39"/>
      <c r="I1843" s="35"/>
    </row>
    <row r="1844">
      <c r="A1844" s="37"/>
      <c r="B1844" s="35"/>
      <c r="C1844" s="31"/>
      <c r="D1844" s="32"/>
      <c r="E1844" s="34"/>
      <c r="F1844" s="34"/>
      <c r="G1844" s="39"/>
      <c r="H1844" s="39"/>
      <c r="I1844" s="35"/>
    </row>
    <row r="1845">
      <c r="A1845" s="37"/>
      <c r="B1845" s="35"/>
      <c r="C1845" s="31"/>
      <c r="D1845" s="32"/>
      <c r="E1845" s="34"/>
      <c r="F1845" s="34"/>
      <c r="G1845" s="39"/>
      <c r="H1845" s="39"/>
      <c r="I1845" s="35"/>
    </row>
    <row r="1846">
      <c r="A1846" s="37"/>
      <c r="B1846" s="35"/>
      <c r="C1846" s="31"/>
      <c r="D1846" s="32"/>
      <c r="E1846" s="34"/>
      <c r="F1846" s="34"/>
      <c r="G1846" s="39"/>
      <c r="H1846" s="39"/>
      <c r="I1846" s="35"/>
    </row>
    <row r="1847">
      <c r="A1847" s="37"/>
      <c r="B1847" s="35"/>
      <c r="C1847" s="31"/>
      <c r="D1847" s="32"/>
      <c r="E1847" s="34"/>
      <c r="F1847" s="34"/>
      <c r="G1847" s="39"/>
      <c r="H1847" s="39"/>
      <c r="I1847" s="35"/>
    </row>
    <row r="1848">
      <c r="A1848" s="37"/>
      <c r="B1848" s="35"/>
      <c r="C1848" s="31"/>
      <c r="D1848" s="32"/>
      <c r="E1848" s="34"/>
      <c r="F1848" s="34"/>
      <c r="G1848" s="39"/>
      <c r="H1848" s="39"/>
      <c r="I1848" s="35"/>
    </row>
    <row r="1849">
      <c r="A1849" s="37"/>
      <c r="B1849" s="35"/>
      <c r="C1849" s="31"/>
      <c r="D1849" s="32"/>
      <c r="E1849" s="34"/>
      <c r="F1849" s="34"/>
      <c r="G1849" s="39"/>
      <c r="H1849" s="39"/>
      <c r="I1849" s="35"/>
    </row>
    <row r="1850">
      <c r="A1850" s="37"/>
      <c r="B1850" s="35"/>
      <c r="C1850" s="31"/>
      <c r="D1850" s="32"/>
      <c r="E1850" s="34"/>
      <c r="F1850" s="34"/>
      <c r="G1850" s="39"/>
      <c r="H1850" s="39"/>
      <c r="I1850" s="35"/>
    </row>
    <row r="1851">
      <c r="A1851" s="37"/>
      <c r="B1851" s="35"/>
      <c r="C1851" s="31"/>
      <c r="D1851" s="32"/>
      <c r="E1851" s="34"/>
      <c r="F1851" s="34"/>
      <c r="G1851" s="39"/>
      <c r="H1851" s="39"/>
      <c r="I1851" s="35"/>
    </row>
    <row r="1852">
      <c r="A1852" s="37"/>
      <c r="B1852" s="35"/>
      <c r="C1852" s="31"/>
      <c r="D1852" s="32"/>
      <c r="E1852" s="34"/>
      <c r="F1852" s="34"/>
      <c r="G1852" s="39"/>
      <c r="H1852" s="39"/>
      <c r="I1852" s="35"/>
    </row>
    <row r="1853">
      <c r="A1853" s="37"/>
      <c r="B1853" s="35"/>
      <c r="C1853" s="31"/>
      <c r="D1853" s="32"/>
      <c r="E1853" s="34"/>
      <c r="F1853" s="34"/>
      <c r="G1853" s="39"/>
      <c r="H1853" s="39"/>
      <c r="I1853" s="35"/>
    </row>
    <row r="1854">
      <c r="A1854" s="37"/>
      <c r="B1854" s="35"/>
      <c r="C1854" s="31"/>
      <c r="D1854" s="32"/>
      <c r="E1854" s="34"/>
      <c r="F1854" s="34"/>
      <c r="G1854" s="39"/>
      <c r="H1854" s="39"/>
      <c r="I1854" s="35"/>
    </row>
    <row r="1855">
      <c r="A1855" s="37"/>
      <c r="B1855" s="35"/>
      <c r="C1855" s="31"/>
      <c r="D1855" s="32"/>
      <c r="E1855" s="34"/>
      <c r="F1855" s="34"/>
      <c r="G1855" s="39"/>
      <c r="H1855" s="39"/>
      <c r="I1855" s="35"/>
    </row>
    <row r="1856">
      <c r="A1856" s="37"/>
      <c r="B1856" s="35"/>
      <c r="C1856" s="31"/>
      <c r="D1856" s="32"/>
      <c r="E1856" s="34"/>
      <c r="F1856" s="34"/>
      <c r="G1856" s="39"/>
      <c r="H1856" s="39"/>
      <c r="I1856" s="35"/>
    </row>
    <row r="1857">
      <c r="A1857" s="37"/>
      <c r="B1857" s="35"/>
      <c r="C1857" s="31"/>
      <c r="D1857" s="32"/>
      <c r="E1857" s="34"/>
      <c r="F1857" s="34"/>
      <c r="G1857" s="39"/>
      <c r="H1857" s="39"/>
      <c r="I1857" s="35"/>
    </row>
    <row r="1858">
      <c r="A1858" s="37"/>
      <c r="B1858" s="35"/>
      <c r="C1858" s="31"/>
      <c r="D1858" s="32"/>
      <c r="E1858" s="34"/>
      <c r="F1858" s="34"/>
      <c r="G1858" s="39"/>
      <c r="H1858" s="39"/>
      <c r="I1858" s="35"/>
    </row>
    <row r="1859">
      <c r="A1859" s="37"/>
      <c r="B1859" s="35"/>
      <c r="C1859" s="31"/>
      <c r="D1859" s="32"/>
      <c r="E1859" s="34"/>
      <c r="F1859" s="34"/>
      <c r="G1859" s="39"/>
      <c r="H1859" s="39"/>
      <c r="I1859" s="35"/>
    </row>
    <row r="1860">
      <c r="A1860" s="37"/>
      <c r="B1860" s="35"/>
      <c r="C1860" s="31"/>
      <c r="D1860" s="32"/>
      <c r="E1860" s="34"/>
      <c r="F1860" s="34"/>
      <c r="G1860" s="39"/>
      <c r="H1860" s="39"/>
      <c r="I1860" s="35"/>
    </row>
    <row r="1861">
      <c r="A1861" s="37"/>
      <c r="B1861" s="35"/>
      <c r="C1861" s="31"/>
      <c r="D1861" s="32"/>
      <c r="E1861" s="34"/>
      <c r="F1861" s="34"/>
      <c r="G1861" s="39"/>
      <c r="H1861" s="39"/>
      <c r="I1861" s="35"/>
    </row>
    <row r="1862">
      <c r="A1862" s="37"/>
      <c r="B1862" s="35"/>
      <c r="C1862" s="31"/>
      <c r="D1862" s="32"/>
      <c r="E1862" s="34"/>
      <c r="F1862" s="34"/>
      <c r="G1862" s="39"/>
      <c r="H1862" s="39"/>
      <c r="I1862" s="35"/>
    </row>
    <row r="1863">
      <c r="A1863" s="37"/>
      <c r="B1863" s="35"/>
      <c r="C1863" s="31"/>
      <c r="D1863" s="32"/>
      <c r="E1863" s="34"/>
      <c r="F1863" s="34"/>
      <c r="G1863" s="39"/>
      <c r="H1863" s="39"/>
      <c r="I1863" s="35"/>
    </row>
    <row r="1864">
      <c r="A1864" s="37"/>
      <c r="B1864" s="35"/>
      <c r="C1864" s="31"/>
      <c r="D1864" s="32"/>
      <c r="E1864" s="34"/>
      <c r="F1864" s="34"/>
      <c r="G1864" s="39"/>
      <c r="H1864" s="39"/>
      <c r="I1864" s="35"/>
    </row>
    <row r="1865">
      <c r="A1865" s="37"/>
      <c r="B1865" s="35"/>
      <c r="C1865" s="31"/>
      <c r="D1865" s="32"/>
      <c r="E1865" s="34"/>
      <c r="F1865" s="34"/>
      <c r="G1865" s="39"/>
      <c r="H1865" s="39"/>
      <c r="I1865" s="35"/>
    </row>
    <row r="1866">
      <c r="A1866" s="37"/>
      <c r="B1866" s="35"/>
      <c r="C1866" s="31"/>
      <c r="D1866" s="32"/>
      <c r="E1866" s="34"/>
      <c r="F1866" s="34"/>
      <c r="G1866" s="39"/>
      <c r="H1866" s="39"/>
      <c r="I1866" s="35"/>
    </row>
    <row r="1867">
      <c r="A1867" s="37"/>
      <c r="B1867" s="35"/>
      <c r="C1867" s="31"/>
      <c r="D1867" s="32"/>
      <c r="E1867" s="34"/>
      <c r="F1867" s="34"/>
      <c r="G1867" s="39"/>
      <c r="H1867" s="39"/>
      <c r="I1867" s="35"/>
    </row>
    <row r="1868">
      <c r="A1868" s="37"/>
      <c r="B1868" s="35"/>
      <c r="C1868" s="31"/>
      <c r="D1868" s="32"/>
      <c r="E1868" s="34"/>
      <c r="F1868" s="34"/>
      <c r="G1868" s="39"/>
      <c r="H1868" s="39"/>
      <c r="I1868" s="35"/>
    </row>
    <row r="1869">
      <c r="A1869" s="37"/>
      <c r="B1869" s="35"/>
      <c r="C1869" s="31"/>
      <c r="D1869" s="32"/>
      <c r="E1869" s="34"/>
      <c r="F1869" s="34"/>
      <c r="G1869" s="39"/>
      <c r="H1869" s="39"/>
      <c r="I1869" s="35"/>
    </row>
    <row r="1870">
      <c r="A1870" s="37"/>
      <c r="B1870" s="35"/>
      <c r="C1870" s="31"/>
      <c r="D1870" s="32"/>
      <c r="E1870" s="34"/>
      <c r="F1870" s="34"/>
      <c r="G1870" s="39"/>
      <c r="H1870" s="39"/>
      <c r="I1870" s="35"/>
    </row>
    <row r="1871">
      <c r="A1871" s="37"/>
      <c r="B1871" s="35"/>
      <c r="C1871" s="31"/>
      <c r="D1871" s="32"/>
      <c r="E1871" s="34"/>
      <c r="F1871" s="34"/>
      <c r="G1871" s="39"/>
      <c r="H1871" s="39"/>
      <c r="I1871" s="35"/>
    </row>
    <row r="1872">
      <c r="A1872" s="37"/>
      <c r="B1872" s="35"/>
      <c r="C1872" s="31"/>
      <c r="D1872" s="32"/>
      <c r="E1872" s="34"/>
      <c r="F1872" s="34"/>
      <c r="G1872" s="39"/>
      <c r="H1872" s="39"/>
      <c r="I1872" s="35"/>
    </row>
    <row r="1873">
      <c r="A1873" s="37"/>
      <c r="B1873" s="35"/>
      <c r="C1873" s="31"/>
      <c r="D1873" s="32"/>
      <c r="E1873" s="34"/>
      <c r="F1873" s="34"/>
      <c r="G1873" s="39"/>
      <c r="H1873" s="39"/>
      <c r="I1873" s="35"/>
    </row>
    <row r="1874">
      <c r="A1874" s="37"/>
      <c r="B1874" s="35"/>
      <c r="C1874" s="31"/>
      <c r="D1874" s="32"/>
      <c r="E1874" s="34"/>
      <c r="F1874" s="34"/>
      <c r="G1874" s="39"/>
      <c r="H1874" s="39"/>
      <c r="I1874" s="35"/>
    </row>
    <row r="1875">
      <c r="A1875" s="37"/>
      <c r="B1875" s="35"/>
      <c r="C1875" s="31"/>
      <c r="D1875" s="32"/>
      <c r="E1875" s="34"/>
      <c r="F1875" s="34"/>
      <c r="G1875" s="39"/>
      <c r="H1875" s="39"/>
      <c r="I1875" s="35"/>
    </row>
    <row r="1876">
      <c r="A1876" s="37"/>
      <c r="B1876" s="35"/>
      <c r="C1876" s="31"/>
      <c r="D1876" s="32"/>
      <c r="E1876" s="34"/>
      <c r="F1876" s="34"/>
      <c r="G1876" s="39"/>
      <c r="H1876" s="39"/>
      <c r="I1876" s="35"/>
    </row>
    <row r="1877">
      <c r="A1877" s="37"/>
      <c r="B1877" s="35"/>
      <c r="C1877" s="31"/>
      <c r="D1877" s="32"/>
      <c r="E1877" s="34"/>
      <c r="F1877" s="34"/>
      <c r="G1877" s="39"/>
      <c r="H1877" s="39"/>
      <c r="I1877" s="35"/>
    </row>
    <row r="1878">
      <c r="A1878" s="37"/>
      <c r="B1878" s="35"/>
      <c r="C1878" s="31"/>
      <c r="D1878" s="32"/>
      <c r="E1878" s="34"/>
      <c r="F1878" s="34"/>
      <c r="G1878" s="39"/>
      <c r="H1878" s="39"/>
      <c r="I1878" s="35"/>
    </row>
    <row r="1879">
      <c r="A1879" s="37"/>
      <c r="B1879" s="35"/>
      <c r="C1879" s="31"/>
      <c r="D1879" s="32"/>
      <c r="E1879" s="34"/>
      <c r="F1879" s="34"/>
      <c r="G1879" s="39"/>
      <c r="H1879" s="39"/>
      <c r="I1879" s="35"/>
    </row>
    <row r="1880">
      <c r="A1880" s="37"/>
      <c r="B1880" s="35"/>
      <c r="C1880" s="31"/>
      <c r="D1880" s="32"/>
      <c r="E1880" s="34"/>
      <c r="F1880" s="34"/>
      <c r="G1880" s="39"/>
      <c r="H1880" s="39"/>
      <c r="I1880" s="35"/>
    </row>
    <row r="1881">
      <c r="A1881" s="37"/>
      <c r="B1881" s="35"/>
      <c r="C1881" s="31"/>
      <c r="D1881" s="32"/>
      <c r="E1881" s="34"/>
      <c r="F1881" s="34"/>
      <c r="G1881" s="39"/>
      <c r="H1881" s="39"/>
      <c r="I1881" s="35"/>
    </row>
    <row r="1882">
      <c r="A1882" s="37"/>
      <c r="B1882" s="35"/>
      <c r="C1882" s="31"/>
      <c r="D1882" s="32"/>
      <c r="E1882" s="34"/>
      <c r="F1882" s="34"/>
      <c r="G1882" s="39"/>
      <c r="H1882" s="39"/>
      <c r="I1882" s="35"/>
    </row>
    <row r="1883">
      <c r="A1883" s="37"/>
      <c r="B1883" s="35"/>
      <c r="C1883" s="31"/>
      <c r="D1883" s="32"/>
      <c r="E1883" s="34"/>
      <c r="F1883" s="34"/>
      <c r="G1883" s="39"/>
      <c r="H1883" s="39"/>
      <c r="I1883" s="35"/>
    </row>
    <row r="1884">
      <c r="A1884" s="37"/>
      <c r="B1884" s="35"/>
      <c r="C1884" s="31"/>
      <c r="D1884" s="32"/>
      <c r="E1884" s="34"/>
      <c r="F1884" s="34"/>
      <c r="G1884" s="39"/>
      <c r="H1884" s="39"/>
      <c r="I1884" s="35"/>
    </row>
    <row r="1885">
      <c r="A1885" s="37"/>
      <c r="B1885" s="35"/>
      <c r="C1885" s="31"/>
      <c r="D1885" s="32"/>
      <c r="E1885" s="34"/>
      <c r="F1885" s="34"/>
      <c r="G1885" s="39"/>
      <c r="H1885" s="39"/>
      <c r="I1885" s="35"/>
    </row>
    <row r="1886">
      <c r="A1886" s="37"/>
      <c r="B1886" s="35"/>
      <c r="C1886" s="31"/>
      <c r="D1886" s="32"/>
      <c r="E1886" s="34"/>
      <c r="F1886" s="34"/>
      <c r="G1886" s="39"/>
      <c r="H1886" s="39"/>
      <c r="I1886" s="35"/>
    </row>
    <row r="1887">
      <c r="A1887" s="37"/>
      <c r="B1887" s="35"/>
      <c r="C1887" s="31"/>
      <c r="D1887" s="32"/>
      <c r="E1887" s="34"/>
      <c r="F1887" s="34"/>
      <c r="G1887" s="39"/>
      <c r="H1887" s="39"/>
      <c r="I1887" s="35"/>
    </row>
    <row r="1888">
      <c r="A1888" s="37"/>
      <c r="B1888" s="35"/>
      <c r="C1888" s="31"/>
      <c r="D1888" s="32"/>
      <c r="E1888" s="34"/>
      <c r="F1888" s="34"/>
      <c r="G1888" s="39"/>
      <c r="H1888" s="39"/>
      <c r="I1888" s="35"/>
    </row>
    <row r="1889">
      <c r="A1889" s="37"/>
      <c r="B1889" s="35"/>
      <c r="C1889" s="31"/>
      <c r="D1889" s="32"/>
      <c r="E1889" s="34"/>
      <c r="F1889" s="34"/>
      <c r="G1889" s="39"/>
      <c r="H1889" s="39"/>
      <c r="I1889" s="35"/>
    </row>
    <row r="1890">
      <c r="A1890" s="37"/>
      <c r="B1890" s="35"/>
      <c r="C1890" s="31"/>
      <c r="D1890" s="32"/>
      <c r="E1890" s="34"/>
      <c r="F1890" s="34"/>
      <c r="G1890" s="39"/>
      <c r="H1890" s="39"/>
      <c r="I1890" s="35"/>
    </row>
    <row r="1891">
      <c r="A1891" s="37"/>
      <c r="B1891" s="35"/>
      <c r="C1891" s="31"/>
      <c r="D1891" s="32"/>
      <c r="E1891" s="34"/>
      <c r="F1891" s="34"/>
      <c r="G1891" s="39"/>
      <c r="H1891" s="39"/>
      <c r="I1891" s="35"/>
    </row>
    <row r="1892">
      <c r="A1892" s="37"/>
      <c r="B1892" s="35"/>
      <c r="C1892" s="31"/>
      <c r="D1892" s="32"/>
      <c r="E1892" s="34"/>
      <c r="F1892" s="34"/>
      <c r="G1892" s="39"/>
      <c r="H1892" s="39"/>
      <c r="I1892" s="35"/>
    </row>
    <row r="1893">
      <c r="A1893" s="37"/>
      <c r="B1893" s="35"/>
      <c r="C1893" s="31"/>
      <c r="D1893" s="32"/>
      <c r="E1893" s="34"/>
      <c r="F1893" s="34"/>
      <c r="G1893" s="39"/>
      <c r="H1893" s="39"/>
      <c r="I1893" s="35"/>
    </row>
    <row r="1894">
      <c r="A1894" s="37"/>
      <c r="B1894" s="35"/>
      <c r="C1894" s="31"/>
      <c r="D1894" s="32"/>
      <c r="E1894" s="34"/>
      <c r="F1894" s="34"/>
      <c r="G1894" s="39"/>
      <c r="H1894" s="39"/>
      <c r="I1894" s="35"/>
    </row>
    <row r="1895">
      <c r="A1895" s="37"/>
      <c r="B1895" s="35"/>
      <c r="C1895" s="31"/>
      <c r="D1895" s="32"/>
      <c r="E1895" s="34"/>
      <c r="F1895" s="34"/>
      <c r="G1895" s="39"/>
      <c r="H1895" s="39"/>
      <c r="I1895" s="35"/>
    </row>
    <row r="1896">
      <c r="A1896" s="37"/>
      <c r="B1896" s="35"/>
      <c r="C1896" s="31"/>
      <c r="D1896" s="32"/>
      <c r="E1896" s="34"/>
      <c r="F1896" s="34"/>
      <c r="G1896" s="39"/>
      <c r="H1896" s="39"/>
      <c r="I1896" s="35"/>
    </row>
    <row r="1897">
      <c r="A1897" s="37"/>
      <c r="B1897" s="35"/>
      <c r="C1897" s="31"/>
      <c r="D1897" s="32"/>
      <c r="E1897" s="34"/>
      <c r="F1897" s="34"/>
      <c r="G1897" s="39"/>
      <c r="H1897" s="39"/>
      <c r="I1897" s="35"/>
    </row>
    <row r="1898">
      <c r="A1898" s="37"/>
      <c r="B1898" s="35"/>
      <c r="C1898" s="31"/>
      <c r="D1898" s="32"/>
      <c r="E1898" s="34"/>
      <c r="F1898" s="34"/>
      <c r="G1898" s="39"/>
      <c r="H1898" s="39"/>
      <c r="I1898" s="35"/>
    </row>
    <row r="1899">
      <c r="A1899" s="37"/>
      <c r="B1899" s="35"/>
      <c r="C1899" s="31"/>
      <c r="D1899" s="32"/>
      <c r="E1899" s="34"/>
      <c r="F1899" s="34"/>
      <c r="G1899" s="39"/>
      <c r="H1899" s="39"/>
      <c r="I1899" s="35"/>
    </row>
    <row r="1900">
      <c r="A1900" s="37"/>
      <c r="B1900" s="35"/>
      <c r="C1900" s="31"/>
      <c r="D1900" s="32"/>
      <c r="E1900" s="34"/>
      <c r="F1900" s="34"/>
      <c r="G1900" s="39"/>
      <c r="H1900" s="39"/>
      <c r="I1900" s="35"/>
    </row>
    <row r="1901">
      <c r="A1901" s="37"/>
      <c r="B1901" s="35"/>
      <c r="C1901" s="31"/>
      <c r="D1901" s="32"/>
      <c r="E1901" s="34"/>
      <c r="F1901" s="34"/>
      <c r="G1901" s="39"/>
      <c r="H1901" s="39"/>
      <c r="I1901" s="35"/>
    </row>
    <row r="1902">
      <c r="A1902" s="37"/>
      <c r="B1902" s="35"/>
      <c r="C1902" s="31"/>
      <c r="D1902" s="32"/>
      <c r="E1902" s="34"/>
      <c r="F1902" s="34"/>
      <c r="G1902" s="39"/>
      <c r="H1902" s="39"/>
      <c r="I1902" s="35"/>
    </row>
    <row r="1903">
      <c r="A1903" s="37"/>
      <c r="B1903" s="35"/>
      <c r="C1903" s="31"/>
      <c r="D1903" s="32"/>
      <c r="E1903" s="34"/>
      <c r="F1903" s="34"/>
      <c r="G1903" s="39"/>
      <c r="H1903" s="39"/>
      <c r="I1903" s="35"/>
    </row>
    <row r="1904">
      <c r="A1904" s="37"/>
      <c r="B1904" s="35"/>
      <c r="C1904" s="31"/>
      <c r="D1904" s="32"/>
      <c r="E1904" s="34"/>
      <c r="F1904" s="34"/>
      <c r="G1904" s="39"/>
      <c r="H1904" s="39"/>
      <c r="I1904" s="35"/>
    </row>
    <row r="1905">
      <c r="A1905" s="37"/>
      <c r="B1905" s="35"/>
      <c r="C1905" s="31"/>
      <c r="D1905" s="32"/>
      <c r="E1905" s="34"/>
      <c r="F1905" s="34"/>
      <c r="G1905" s="39"/>
      <c r="H1905" s="39"/>
      <c r="I1905" s="35"/>
    </row>
    <row r="1906">
      <c r="A1906" s="37"/>
      <c r="B1906" s="35"/>
      <c r="C1906" s="31"/>
      <c r="D1906" s="32"/>
      <c r="E1906" s="34"/>
      <c r="F1906" s="34"/>
      <c r="G1906" s="39"/>
      <c r="H1906" s="39"/>
      <c r="I1906" s="35"/>
    </row>
    <row r="1907">
      <c r="A1907" s="37"/>
      <c r="B1907" s="35"/>
      <c r="C1907" s="31"/>
      <c r="D1907" s="32"/>
      <c r="E1907" s="34"/>
      <c r="F1907" s="34"/>
      <c r="G1907" s="39"/>
      <c r="H1907" s="39"/>
      <c r="I1907" s="35"/>
    </row>
    <row r="1908">
      <c r="A1908" s="37"/>
      <c r="B1908" s="35"/>
      <c r="C1908" s="31"/>
      <c r="D1908" s="32"/>
      <c r="E1908" s="34"/>
      <c r="F1908" s="34"/>
      <c r="G1908" s="39"/>
      <c r="H1908" s="39"/>
      <c r="I1908" s="35"/>
    </row>
    <row r="1909">
      <c r="A1909" s="37"/>
      <c r="B1909" s="35"/>
      <c r="C1909" s="31"/>
      <c r="D1909" s="32"/>
      <c r="E1909" s="34"/>
      <c r="F1909" s="34"/>
      <c r="G1909" s="39"/>
      <c r="H1909" s="39"/>
      <c r="I1909" s="35"/>
    </row>
    <row r="1910">
      <c r="A1910" s="37"/>
      <c r="B1910" s="35"/>
      <c r="C1910" s="31"/>
      <c r="D1910" s="32"/>
      <c r="E1910" s="34"/>
      <c r="F1910" s="34"/>
      <c r="G1910" s="39"/>
      <c r="H1910" s="39"/>
      <c r="I1910" s="35"/>
    </row>
    <row r="1911">
      <c r="A1911" s="37"/>
      <c r="B1911" s="35"/>
      <c r="C1911" s="31"/>
      <c r="D1911" s="32"/>
      <c r="E1911" s="34"/>
      <c r="F1911" s="34"/>
      <c r="G1911" s="39"/>
      <c r="H1911" s="39"/>
      <c r="I1911" s="35"/>
    </row>
    <row r="1912">
      <c r="A1912" s="37"/>
      <c r="B1912" s="35"/>
      <c r="C1912" s="31"/>
      <c r="D1912" s="32"/>
      <c r="E1912" s="34"/>
      <c r="F1912" s="34"/>
      <c r="G1912" s="39"/>
      <c r="H1912" s="39"/>
      <c r="I1912" s="35"/>
    </row>
    <row r="1913">
      <c r="A1913" s="37"/>
      <c r="B1913" s="35"/>
      <c r="C1913" s="31"/>
      <c r="D1913" s="32"/>
      <c r="E1913" s="34"/>
      <c r="F1913" s="34"/>
      <c r="G1913" s="39"/>
      <c r="H1913" s="39"/>
      <c r="I1913" s="35"/>
    </row>
    <row r="1914">
      <c r="A1914" s="37"/>
      <c r="B1914" s="35"/>
      <c r="C1914" s="31"/>
      <c r="D1914" s="32"/>
      <c r="E1914" s="34"/>
      <c r="F1914" s="34"/>
      <c r="G1914" s="39"/>
      <c r="H1914" s="39"/>
      <c r="I1914" s="35"/>
    </row>
    <row r="1915">
      <c r="A1915" s="37"/>
      <c r="B1915" s="35"/>
      <c r="C1915" s="31"/>
      <c r="D1915" s="32"/>
      <c r="E1915" s="34"/>
      <c r="F1915" s="34"/>
      <c r="G1915" s="39"/>
      <c r="H1915" s="39"/>
      <c r="I1915" s="35"/>
    </row>
    <row r="1916">
      <c r="A1916" s="37"/>
      <c r="B1916" s="35"/>
      <c r="C1916" s="31"/>
      <c r="D1916" s="32"/>
      <c r="E1916" s="34"/>
      <c r="F1916" s="34"/>
      <c r="G1916" s="39"/>
      <c r="H1916" s="39"/>
      <c r="I1916" s="35"/>
    </row>
    <row r="1917">
      <c r="A1917" s="37"/>
      <c r="B1917" s="35"/>
      <c r="C1917" s="31"/>
      <c r="D1917" s="32"/>
      <c r="E1917" s="34"/>
      <c r="F1917" s="34"/>
      <c r="G1917" s="39"/>
      <c r="H1917" s="39"/>
      <c r="I1917" s="35"/>
    </row>
    <row r="1918">
      <c r="A1918" s="37"/>
      <c r="B1918" s="35"/>
      <c r="C1918" s="31"/>
      <c r="D1918" s="32"/>
      <c r="E1918" s="34"/>
      <c r="F1918" s="34"/>
      <c r="G1918" s="39"/>
      <c r="H1918" s="39"/>
      <c r="I1918" s="35"/>
    </row>
    <row r="1919">
      <c r="A1919" s="37"/>
      <c r="B1919" s="35"/>
      <c r="C1919" s="31"/>
      <c r="D1919" s="32"/>
      <c r="E1919" s="34"/>
      <c r="F1919" s="34"/>
      <c r="G1919" s="39"/>
      <c r="H1919" s="39"/>
      <c r="I1919" s="35"/>
    </row>
    <row r="1920">
      <c r="A1920" s="37"/>
      <c r="B1920" s="35"/>
      <c r="C1920" s="31"/>
      <c r="D1920" s="32"/>
      <c r="E1920" s="34"/>
      <c r="F1920" s="34"/>
      <c r="G1920" s="39"/>
      <c r="H1920" s="39"/>
      <c r="I1920" s="35"/>
    </row>
    <row r="1921">
      <c r="A1921" s="37"/>
      <c r="B1921" s="35"/>
      <c r="C1921" s="31"/>
      <c r="D1921" s="32"/>
      <c r="E1921" s="34"/>
      <c r="F1921" s="34"/>
      <c r="G1921" s="39"/>
      <c r="H1921" s="39"/>
      <c r="I1921" s="35"/>
    </row>
    <row r="1922">
      <c r="A1922" s="37"/>
      <c r="B1922" s="35"/>
      <c r="C1922" s="31"/>
      <c r="D1922" s="32"/>
      <c r="E1922" s="34"/>
      <c r="F1922" s="34"/>
      <c r="G1922" s="39"/>
      <c r="H1922" s="39"/>
      <c r="I1922" s="35"/>
    </row>
    <row r="1923">
      <c r="A1923" s="37"/>
      <c r="B1923" s="35"/>
      <c r="C1923" s="31"/>
      <c r="D1923" s="32"/>
      <c r="E1923" s="34"/>
      <c r="F1923" s="34"/>
      <c r="G1923" s="39"/>
      <c r="H1923" s="39"/>
      <c r="I1923" s="35"/>
    </row>
    <row r="1924">
      <c r="A1924" s="37"/>
      <c r="B1924" s="35"/>
      <c r="C1924" s="31"/>
      <c r="D1924" s="32"/>
      <c r="E1924" s="34"/>
      <c r="F1924" s="34"/>
      <c r="G1924" s="39"/>
      <c r="H1924" s="39"/>
      <c r="I1924" s="35"/>
    </row>
    <row r="1925">
      <c r="A1925" s="37"/>
      <c r="B1925" s="35"/>
      <c r="C1925" s="31"/>
      <c r="D1925" s="32"/>
      <c r="E1925" s="34"/>
      <c r="F1925" s="34"/>
      <c r="G1925" s="39"/>
      <c r="H1925" s="39"/>
      <c r="I1925" s="35"/>
    </row>
    <row r="1926">
      <c r="A1926" s="37"/>
      <c r="B1926" s="35"/>
      <c r="C1926" s="31"/>
      <c r="D1926" s="32"/>
      <c r="E1926" s="34"/>
      <c r="F1926" s="34"/>
      <c r="G1926" s="39"/>
      <c r="H1926" s="39"/>
      <c r="I1926" s="35"/>
    </row>
    <row r="1927">
      <c r="A1927" s="37"/>
      <c r="B1927" s="35"/>
      <c r="C1927" s="31"/>
      <c r="D1927" s="32"/>
      <c r="E1927" s="34"/>
      <c r="F1927" s="34"/>
      <c r="G1927" s="39"/>
      <c r="H1927" s="39"/>
      <c r="I1927" s="35"/>
    </row>
    <row r="1928">
      <c r="A1928" s="37"/>
      <c r="B1928" s="35"/>
      <c r="C1928" s="31"/>
      <c r="D1928" s="32"/>
      <c r="E1928" s="34"/>
      <c r="F1928" s="34"/>
      <c r="G1928" s="39"/>
      <c r="H1928" s="39"/>
      <c r="I1928" s="35"/>
    </row>
    <row r="1929">
      <c r="A1929" s="37"/>
      <c r="B1929" s="35"/>
      <c r="C1929" s="31"/>
      <c r="D1929" s="32"/>
      <c r="E1929" s="34"/>
      <c r="F1929" s="34"/>
      <c r="G1929" s="39"/>
      <c r="H1929" s="39"/>
      <c r="I1929" s="35"/>
    </row>
    <row r="1930">
      <c r="A1930" s="37"/>
      <c r="B1930" s="35"/>
      <c r="C1930" s="31"/>
      <c r="D1930" s="32"/>
      <c r="E1930" s="34"/>
      <c r="F1930" s="34"/>
      <c r="G1930" s="39"/>
      <c r="H1930" s="39"/>
      <c r="I1930" s="35"/>
    </row>
    <row r="1931">
      <c r="A1931" s="37"/>
      <c r="B1931" s="35"/>
      <c r="C1931" s="31"/>
      <c r="D1931" s="32"/>
      <c r="E1931" s="34"/>
      <c r="F1931" s="34"/>
      <c r="G1931" s="39"/>
      <c r="H1931" s="39"/>
      <c r="I1931" s="35"/>
    </row>
    <row r="1932">
      <c r="A1932" s="37"/>
      <c r="B1932" s="35"/>
      <c r="C1932" s="31"/>
      <c r="D1932" s="32"/>
      <c r="E1932" s="34"/>
      <c r="F1932" s="34"/>
      <c r="G1932" s="39"/>
      <c r="H1932" s="39"/>
      <c r="I1932" s="35"/>
    </row>
    <row r="1933">
      <c r="A1933" s="37"/>
      <c r="B1933" s="35"/>
      <c r="C1933" s="31"/>
      <c r="D1933" s="32"/>
      <c r="E1933" s="34"/>
      <c r="F1933" s="34"/>
      <c r="G1933" s="39"/>
      <c r="H1933" s="39"/>
      <c r="I1933" s="35"/>
    </row>
    <row r="1934">
      <c r="A1934" s="37"/>
      <c r="B1934" s="35"/>
      <c r="C1934" s="31"/>
      <c r="D1934" s="32"/>
      <c r="E1934" s="34"/>
      <c r="F1934" s="34"/>
      <c r="G1934" s="39"/>
      <c r="H1934" s="39"/>
      <c r="I1934" s="35"/>
    </row>
    <row r="1935">
      <c r="A1935" s="37"/>
      <c r="B1935" s="35"/>
      <c r="C1935" s="31"/>
      <c r="D1935" s="32"/>
      <c r="E1935" s="34"/>
      <c r="F1935" s="34"/>
      <c r="G1935" s="39"/>
      <c r="H1935" s="39"/>
      <c r="I1935" s="35"/>
    </row>
    <row r="1936">
      <c r="A1936" s="37"/>
      <c r="B1936" s="35"/>
      <c r="C1936" s="31"/>
      <c r="D1936" s="32"/>
      <c r="E1936" s="34"/>
      <c r="F1936" s="34"/>
      <c r="G1936" s="39"/>
      <c r="H1936" s="39"/>
      <c r="I1936" s="35"/>
    </row>
    <row r="1937">
      <c r="A1937" s="37"/>
      <c r="B1937" s="35"/>
      <c r="C1937" s="31"/>
      <c r="D1937" s="32"/>
      <c r="E1937" s="34"/>
      <c r="F1937" s="34"/>
      <c r="G1937" s="39"/>
      <c r="H1937" s="39"/>
      <c r="I1937" s="35"/>
    </row>
    <row r="1938">
      <c r="A1938" s="37"/>
      <c r="B1938" s="35"/>
      <c r="C1938" s="31"/>
      <c r="D1938" s="32"/>
      <c r="E1938" s="34"/>
      <c r="F1938" s="34"/>
      <c r="G1938" s="39"/>
      <c r="H1938" s="39"/>
      <c r="I1938" s="35"/>
    </row>
    <row r="1939">
      <c r="A1939" s="37"/>
      <c r="B1939" s="35"/>
      <c r="C1939" s="31"/>
      <c r="D1939" s="32"/>
      <c r="E1939" s="34"/>
      <c r="F1939" s="34"/>
      <c r="G1939" s="39"/>
      <c r="H1939" s="39"/>
      <c r="I1939" s="35"/>
    </row>
    <row r="1940">
      <c r="A1940" s="37"/>
      <c r="B1940" s="35"/>
      <c r="C1940" s="31"/>
      <c r="D1940" s="32"/>
      <c r="E1940" s="34"/>
      <c r="F1940" s="34"/>
      <c r="G1940" s="39"/>
      <c r="H1940" s="39"/>
      <c r="I1940" s="35"/>
    </row>
    <row r="1941">
      <c r="A1941" s="37"/>
      <c r="B1941" s="35"/>
      <c r="C1941" s="31"/>
      <c r="D1941" s="32"/>
      <c r="E1941" s="34"/>
      <c r="F1941" s="34"/>
      <c r="G1941" s="39"/>
      <c r="H1941" s="39"/>
      <c r="I1941" s="35"/>
    </row>
    <row r="1942">
      <c r="A1942" s="37"/>
      <c r="B1942" s="35"/>
      <c r="C1942" s="31"/>
      <c r="D1942" s="32"/>
      <c r="E1942" s="34"/>
      <c r="F1942" s="34"/>
      <c r="G1942" s="39"/>
      <c r="H1942" s="39"/>
      <c r="I1942" s="35"/>
    </row>
    <row r="1943">
      <c r="A1943" s="37"/>
      <c r="B1943" s="35"/>
      <c r="C1943" s="31"/>
      <c r="D1943" s="32"/>
      <c r="E1943" s="34"/>
      <c r="F1943" s="34"/>
      <c r="G1943" s="39"/>
      <c r="H1943" s="39"/>
      <c r="I1943" s="35"/>
    </row>
    <row r="1944">
      <c r="A1944" s="37"/>
      <c r="B1944" s="35"/>
      <c r="C1944" s="31"/>
      <c r="D1944" s="32"/>
      <c r="E1944" s="34"/>
      <c r="F1944" s="34"/>
      <c r="G1944" s="39"/>
      <c r="H1944" s="39"/>
      <c r="I1944" s="35"/>
    </row>
    <row r="1945">
      <c r="A1945" s="37"/>
      <c r="B1945" s="35"/>
      <c r="C1945" s="31"/>
      <c r="D1945" s="32"/>
      <c r="E1945" s="34"/>
      <c r="F1945" s="34"/>
      <c r="G1945" s="39"/>
      <c r="H1945" s="39"/>
      <c r="I1945" s="35"/>
    </row>
    <row r="1946">
      <c r="A1946" s="37"/>
      <c r="B1946" s="35"/>
      <c r="C1946" s="31"/>
      <c r="D1946" s="32"/>
      <c r="E1946" s="34"/>
      <c r="F1946" s="34"/>
      <c r="G1946" s="39"/>
      <c r="H1946" s="39"/>
      <c r="I1946" s="35"/>
    </row>
    <row r="1947">
      <c r="A1947" s="37"/>
      <c r="B1947" s="35"/>
      <c r="C1947" s="31"/>
      <c r="D1947" s="32"/>
      <c r="E1947" s="34"/>
      <c r="F1947" s="34"/>
      <c r="G1947" s="39"/>
      <c r="H1947" s="39"/>
      <c r="I1947" s="35"/>
    </row>
    <row r="1948">
      <c r="A1948" s="37"/>
      <c r="B1948" s="35"/>
      <c r="C1948" s="31"/>
      <c r="D1948" s="32"/>
      <c r="E1948" s="34"/>
      <c r="F1948" s="34"/>
      <c r="G1948" s="39"/>
      <c r="H1948" s="39"/>
      <c r="I1948" s="35"/>
    </row>
    <row r="1949">
      <c r="A1949" s="37"/>
      <c r="B1949" s="35"/>
      <c r="C1949" s="31"/>
      <c r="D1949" s="32"/>
      <c r="E1949" s="34"/>
      <c r="F1949" s="34"/>
      <c r="G1949" s="39"/>
      <c r="H1949" s="39"/>
      <c r="I1949" s="35"/>
    </row>
    <row r="1950">
      <c r="A1950" s="37"/>
      <c r="B1950" s="35"/>
      <c r="C1950" s="31"/>
      <c r="D1950" s="32"/>
      <c r="E1950" s="34"/>
      <c r="F1950" s="34"/>
      <c r="G1950" s="39"/>
      <c r="H1950" s="39"/>
      <c r="I1950" s="35"/>
    </row>
    <row r="1951">
      <c r="A1951" s="37"/>
      <c r="B1951" s="35"/>
      <c r="C1951" s="31"/>
      <c r="D1951" s="32"/>
      <c r="E1951" s="34"/>
      <c r="F1951" s="34"/>
      <c r="G1951" s="39"/>
      <c r="H1951" s="39"/>
      <c r="I1951" s="35"/>
    </row>
    <row r="1952">
      <c r="A1952" s="37"/>
      <c r="B1952" s="35"/>
      <c r="C1952" s="31"/>
      <c r="D1952" s="32"/>
      <c r="E1952" s="34"/>
      <c r="F1952" s="34"/>
      <c r="G1952" s="39"/>
      <c r="H1952" s="39"/>
      <c r="I1952" s="35"/>
    </row>
    <row r="1953">
      <c r="A1953" s="37"/>
      <c r="B1953" s="35"/>
      <c r="C1953" s="31"/>
      <c r="D1953" s="32"/>
      <c r="E1953" s="34"/>
      <c r="F1953" s="34"/>
      <c r="G1953" s="39"/>
      <c r="H1953" s="39"/>
      <c r="I1953" s="35"/>
    </row>
    <row r="1954">
      <c r="A1954" s="37"/>
      <c r="B1954" s="35"/>
      <c r="C1954" s="31"/>
      <c r="D1954" s="32"/>
      <c r="E1954" s="34"/>
      <c r="F1954" s="34"/>
      <c r="G1954" s="39"/>
      <c r="H1954" s="39"/>
      <c r="I1954" s="35"/>
    </row>
    <row r="1955">
      <c r="A1955" s="37"/>
      <c r="B1955" s="35"/>
      <c r="C1955" s="31"/>
      <c r="D1955" s="32"/>
      <c r="E1955" s="34"/>
      <c r="F1955" s="34"/>
      <c r="G1955" s="39"/>
      <c r="H1955" s="39"/>
      <c r="I1955" s="35"/>
    </row>
    <row r="1956">
      <c r="A1956" s="37"/>
      <c r="B1956" s="35"/>
      <c r="C1956" s="31"/>
      <c r="D1956" s="32"/>
      <c r="E1956" s="34"/>
      <c r="F1956" s="34"/>
      <c r="G1956" s="39"/>
      <c r="H1956" s="39"/>
      <c r="I1956" s="35"/>
    </row>
    <row r="1957">
      <c r="A1957" s="37"/>
      <c r="B1957" s="35"/>
      <c r="C1957" s="31"/>
      <c r="D1957" s="32"/>
      <c r="E1957" s="34"/>
      <c r="F1957" s="34"/>
      <c r="G1957" s="39"/>
      <c r="H1957" s="39"/>
      <c r="I1957" s="35"/>
    </row>
    <row r="1958">
      <c r="A1958" s="37"/>
      <c r="B1958" s="35"/>
      <c r="C1958" s="31"/>
      <c r="D1958" s="32"/>
      <c r="E1958" s="34"/>
      <c r="F1958" s="34"/>
      <c r="G1958" s="39"/>
      <c r="H1958" s="39"/>
      <c r="I1958" s="35"/>
    </row>
    <row r="1959">
      <c r="A1959" s="37"/>
      <c r="B1959" s="35"/>
      <c r="C1959" s="31"/>
      <c r="D1959" s="32"/>
      <c r="E1959" s="34"/>
      <c r="F1959" s="34"/>
      <c r="G1959" s="39"/>
      <c r="H1959" s="39"/>
      <c r="I1959" s="35"/>
    </row>
    <row r="1960">
      <c r="A1960" s="37"/>
      <c r="B1960" s="35"/>
      <c r="C1960" s="31"/>
      <c r="D1960" s="32"/>
      <c r="E1960" s="34"/>
      <c r="F1960" s="34"/>
      <c r="G1960" s="39"/>
      <c r="H1960" s="39"/>
      <c r="I1960" s="35"/>
    </row>
    <row r="1961">
      <c r="A1961" s="37"/>
      <c r="B1961" s="35"/>
      <c r="C1961" s="31"/>
      <c r="D1961" s="32"/>
      <c r="E1961" s="34"/>
      <c r="F1961" s="34"/>
      <c r="G1961" s="39"/>
      <c r="H1961" s="39"/>
      <c r="I1961" s="35"/>
    </row>
    <row r="1962">
      <c r="A1962" s="37"/>
      <c r="B1962" s="35"/>
      <c r="C1962" s="31"/>
      <c r="D1962" s="32"/>
      <c r="E1962" s="34"/>
      <c r="F1962" s="34"/>
      <c r="G1962" s="39"/>
      <c r="H1962" s="39"/>
      <c r="I1962" s="35"/>
    </row>
    <row r="1963">
      <c r="A1963" s="37"/>
      <c r="B1963" s="35"/>
      <c r="C1963" s="31"/>
      <c r="D1963" s="32"/>
      <c r="E1963" s="34"/>
      <c r="F1963" s="34"/>
      <c r="G1963" s="39"/>
      <c r="H1963" s="39"/>
      <c r="I1963" s="35"/>
    </row>
    <row r="1964">
      <c r="A1964" s="37"/>
      <c r="B1964" s="35"/>
      <c r="C1964" s="31"/>
      <c r="D1964" s="32"/>
      <c r="E1964" s="34"/>
      <c r="F1964" s="34"/>
      <c r="G1964" s="39"/>
      <c r="H1964" s="39"/>
      <c r="I1964" s="35"/>
    </row>
    <row r="1965">
      <c r="A1965" s="37"/>
      <c r="B1965" s="35"/>
      <c r="C1965" s="31"/>
      <c r="D1965" s="32"/>
      <c r="E1965" s="34"/>
      <c r="F1965" s="34"/>
      <c r="G1965" s="39"/>
      <c r="H1965" s="39"/>
      <c r="I1965" s="35"/>
    </row>
    <row r="1966">
      <c r="A1966" s="37"/>
      <c r="B1966" s="35"/>
      <c r="C1966" s="31"/>
      <c r="D1966" s="32"/>
      <c r="E1966" s="34"/>
      <c r="F1966" s="34"/>
      <c r="G1966" s="39"/>
      <c r="H1966" s="39"/>
      <c r="I1966" s="35"/>
    </row>
    <row r="1967">
      <c r="A1967" s="37"/>
      <c r="B1967" s="35"/>
      <c r="C1967" s="31"/>
      <c r="D1967" s="32"/>
      <c r="E1967" s="34"/>
      <c r="F1967" s="34"/>
      <c r="G1967" s="39"/>
      <c r="H1967" s="39"/>
      <c r="I1967" s="35"/>
    </row>
    <row r="1968">
      <c r="A1968" s="37"/>
      <c r="B1968" s="35"/>
      <c r="C1968" s="31"/>
      <c r="D1968" s="32"/>
      <c r="E1968" s="34"/>
      <c r="F1968" s="34"/>
      <c r="G1968" s="39"/>
      <c r="H1968" s="39"/>
      <c r="I1968" s="35"/>
    </row>
    <row r="1969">
      <c r="A1969" s="37"/>
      <c r="B1969" s="35"/>
      <c r="C1969" s="31"/>
      <c r="D1969" s="32"/>
      <c r="E1969" s="34"/>
      <c r="F1969" s="34"/>
      <c r="G1969" s="39"/>
      <c r="H1969" s="39"/>
      <c r="I1969" s="35"/>
    </row>
    <row r="1970">
      <c r="A1970" s="37"/>
      <c r="B1970" s="35"/>
      <c r="C1970" s="31"/>
      <c r="D1970" s="32"/>
      <c r="E1970" s="34"/>
      <c r="F1970" s="34"/>
      <c r="G1970" s="39"/>
      <c r="H1970" s="39"/>
      <c r="I1970" s="35"/>
    </row>
    <row r="1971">
      <c r="A1971" s="37"/>
      <c r="B1971" s="35"/>
      <c r="C1971" s="31"/>
      <c r="D1971" s="32"/>
      <c r="E1971" s="34"/>
      <c r="F1971" s="34"/>
      <c r="G1971" s="39"/>
      <c r="H1971" s="39"/>
      <c r="I1971" s="35"/>
    </row>
    <row r="1972">
      <c r="A1972" s="37"/>
      <c r="B1972" s="35"/>
      <c r="C1972" s="31"/>
      <c r="D1972" s="32"/>
      <c r="E1972" s="34"/>
      <c r="F1972" s="34"/>
      <c r="G1972" s="39"/>
      <c r="H1972" s="39"/>
      <c r="I1972" s="35"/>
    </row>
    <row r="1973">
      <c r="A1973" s="37"/>
      <c r="B1973" s="35"/>
      <c r="C1973" s="31"/>
      <c r="D1973" s="32"/>
      <c r="E1973" s="34"/>
      <c r="F1973" s="34"/>
      <c r="G1973" s="39"/>
      <c r="H1973" s="39"/>
      <c r="I1973" s="35"/>
    </row>
    <row r="1974">
      <c r="A1974" s="37"/>
      <c r="B1974" s="35"/>
      <c r="C1974" s="31"/>
      <c r="D1974" s="32"/>
      <c r="E1974" s="34"/>
      <c r="F1974" s="34"/>
      <c r="G1974" s="39"/>
      <c r="H1974" s="39"/>
      <c r="I1974" s="35"/>
    </row>
    <row r="1975">
      <c r="A1975" s="37"/>
      <c r="B1975" s="35"/>
      <c r="C1975" s="31"/>
      <c r="D1975" s="32"/>
      <c r="E1975" s="34"/>
      <c r="F1975" s="34"/>
      <c r="G1975" s="39"/>
      <c r="H1975" s="39"/>
      <c r="I1975" s="35"/>
    </row>
    <row r="1976">
      <c r="A1976" s="37"/>
      <c r="B1976" s="35"/>
      <c r="C1976" s="31"/>
      <c r="D1976" s="32"/>
      <c r="E1976" s="34"/>
      <c r="F1976" s="34"/>
      <c r="G1976" s="39"/>
      <c r="H1976" s="39"/>
      <c r="I1976" s="35"/>
    </row>
    <row r="1977">
      <c r="A1977" s="37"/>
      <c r="B1977" s="35"/>
      <c r="C1977" s="31"/>
      <c r="D1977" s="32"/>
      <c r="E1977" s="34"/>
      <c r="F1977" s="34"/>
      <c r="G1977" s="39"/>
      <c r="H1977" s="39"/>
      <c r="I1977" s="35"/>
    </row>
    <row r="1978">
      <c r="A1978" s="37"/>
      <c r="B1978" s="35"/>
      <c r="C1978" s="31"/>
      <c r="D1978" s="32"/>
      <c r="E1978" s="34"/>
      <c r="F1978" s="34"/>
      <c r="G1978" s="39"/>
      <c r="H1978" s="39"/>
      <c r="I1978" s="35"/>
    </row>
    <row r="1979">
      <c r="A1979" s="37"/>
      <c r="B1979" s="35"/>
      <c r="C1979" s="31"/>
      <c r="D1979" s="32"/>
      <c r="E1979" s="34"/>
      <c r="F1979" s="34"/>
      <c r="G1979" s="39"/>
      <c r="H1979" s="39"/>
      <c r="I1979" s="35"/>
    </row>
    <row r="1980">
      <c r="A1980" s="37"/>
      <c r="B1980" s="35"/>
      <c r="C1980" s="31"/>
      <c r="D1980" s="32"/>
      <c r="E1980" s="34"/>
      <c r="F1980" s="34"/>
      <c r="G1980" s="39"/>
      <c r="H1980" s="39"/>
      <c r="I1980" s="35"/>
    </row>
    <row r="1981">
      <c r="A1981" s="37"/>
      <c r="B1981" s="35"/>
      <c r="C1981" s="31"/>
      <c r="D1981" s="32"/>
      <c r="E1981" s="34"/>
      <c r="F1981" s="34"/>
      <c r="G1981" s="39"/>
      <c r="H1981" s="39"/>
      <c r="I1981" s="35"/>
    </row>
    <row r="1982">
      <c r="A1982" s="37"/>
      <c r="B1982" s="35"/>
      <c r="C1982" s="31"/>
      <c r="D1982" s="32"/>
      <c r="E1982" s="34"/>
      <c r="F1982" s="34"/>
      <c r="G1982" s="39"/>
      <c r="H1982" s="39"/>
      <c r="I1982" s="35"/>
    </row>
    <row r="1983">
      <c r="A1983" s="37"/>
      <c r="B1983" s="35"/>
      <c r="C1983" s="31"/>
      <c r="D1983" s="32"/>
      <c r="E1983" s="34"/>
      <c r="F1983" s="34"/>
      <c r="G1983" s="39"/>
      <c r="H1983" s="39"/>
      <c r="I1983" s="35"/>
    </row>
    <row r="1984">
      <c r="A1984" s="37"/>
      <c r="B1984" s="35"/>
      <c r="C1984" s="31"/>
      <c r="D1984" s="32"/>
      <c r="E1984" s="34"/>
      <c r="F1984" s="34"/>
      <c r="G1984" s="39"/>
      <c r="H1984" s="39"/>
      <c r="I1984" s="35"/>
    </row>
    <row r="1985">
      <c r="A1985" s="37"/>
      <c r="B1985" s="35"/>
      <c r="C1985" s="31"/>
      <c r="D1985" s="32"/>
      <c r="E1985" s="34"/>
      <c r="F1985" s="34"/>
      <c r="G1985" s="39"/>
      <c r="H1985" s="39"/>
      <c r="I1985" s="35"/>
    </row>
    <row r="1986">
      <c r="A1986" s="37"/>
      <c r="B1986" s="35"/>
      <c r="C1986" s="31"/>
      <c r="D1986" s="32"/>
      <c r="E1986" s="34"/>
      <c r="F1986" s="34"/>
      <c r="G1986" s="39"/>
      <c r="H1986" s="39"/>
      <c r="I1986" s="35"/>
    </row>
    <row r="1987">
      <c r="A1987" s="37"/>
      <c r="B1987" s="35"/>
      <c r="C1987" s="31"/>
      <c r="D1987" s="32"/>
      <c r="E1987" s="34"/>
      <c r="F1987" s="34"/>
      <c r="G1987" s="39"/>
      <c r="H1987" s="39"/>
      <c r="I1987" s="35"/>
    </row>
    <row r="1988">
      <c r="A1988" s="37"/>
      <c r="B1988" s="35"/>
      <c r="C1988" s="31"/>
      <c r="D1988" s="32"/>
      <c r="E1988" s="34"/>
      <c r="F1988" s="34"/>
      <c r="G1988" s="39"/>
      <c r="H1988" s="39"/>
      <c r="I1988" s="35"/>
    </row>
    <row r="1989">
      <c r="A1989" s="37"/>
      <c r="B1989" s="35"/>
      <c r="C1989" s="31"/>
      <c r="D1989" s="32"/>
      <c r="E1989" s="34"/>
      <c r="F1989" s="34"/>
      <c r="G1989" s="39"/>
      <c r="H1989" s="39"/>
      <c r="I1989" s="35"/>
    </row>
    <row r="1990">
      <c r="A1990" s="37"/>
      <c r="B1990" s="35"/>
      <c r="C1990" s="31"/>
      <c r="D1990" s="32"/>
      <c r="E1990" s="34"/>
      <c r="F1990" s="34"/>
      <c r="G1990" s="39"/>
      <c r="H1990" s="39"/>
      <c r="I1990" s="35"/>
    </row>
    <row r="1991">
      <c r="A1991" s="37"/>
      <c r="B1991" s="35"/>
      <c r="C1991" s="31"/>
      <c r="D1991" s="32"/>
      <c r="E1991" s="34"/>
      <c r="F1991" s="34"/>
      <c r="G1991" s="39"/>
      <c r="H1991" s="39"/>
      <c r="I1991" s="35"/>
    </row>
    <row r="1992">
      <c r="A1992" s="37"/>
      <c r="B1992" s="35"/>
      <c r="C1992" s="31"/>
      <c r="D1992" s="32"/>
      <c r="E1992" s="34"/>
      <c r="F1992" s="34"/>
      <c r="G1992" s="39"/>
      <c r="H1992" s="39"/>
      <c r="I1992" s="35"/>
    </row>
    <row r="1993">
      <c r="A1993" s="37"/>
      <c r="B1993" s="35"/>
      <c r="C1993" s="31"/>
      <c r="D1993" s="32"/>
      <c r="E1993" s="34"/>
      <c r="F1993" s="34"/>
      <c r="G1993" s="39"/>
      <c r="H1993" s="39"/>
      <c r="I1993" s="35"/>
    </row>
    <row r="1994">
      <c r="A1994" s="37"/>
      <c r="B1994" s="35"/>
      <c r="C1994" s="31"/>
      <c r="D1994" s="32"/>
      <c r="E1994" s="34"/>
      <c r="F1994" s="34"/>
      <c r="G1994" s="39"/>
      <c r="H1994" s="39"/>
      <c r="I1994" s="35"/>
    </row>
    <row r="1995">
      <c r="A1995" s="37"/>
      <c r="B1995" s="35"/>
      <c r="C1995" s="31"/>
      <c r="D1995" s="32"/>
      <c r="E1995" s="34"/>
      <c r="F1995" s="34"/>
      <c r="G1995" s="39"/>
      <c r="H1995" s="39"/>
      <c r="I1995" s="35"/>
    </row>
    <row r="1996">
      <c r="A1996" s="37"/>
      <c r="B1996" s="35"/>
      <c r="C1996" s="31"/>
      <c r="D1996" s="32"/>
      <c r="E1996" s="34"/>
      <c r="F1996" s="34"/>
      <c r="G1996" s="39"/>
      <c r="H1996" s="39"/>
      <c r="I1996" s="35"/>
    </row>
    <row r="1997">
      <c r="A1997" s="37"/>
      <c r="B1997" s="35"/>
      <c r="C1997" s="31"/>
      <c r="D1997" s="32"/>
      <c r="E1997" s="34"/>
      <c r="F1997" s="34"/>
      <c r="G1997" s="39"/>
      <c r="H1997" s="39"/>
      <c r="I1997" s="35"/>
    </row>
    <row r="1998">
      <c r="A1998" s="37"/>
      <c r="B1998" s="35"/>
      <c r="C1998" s="31"/>
      <c r="D1998" s="32"/>
      <c r="E1998" s="34"/>
      <c r="F1998" s="34"/>
      <c r="G1998" s="39"/>
      <c r="H1998" s="39"/>
      <c r="I1998" s="35"/>
    </row>
    <row r="1999">
      <c r="A1999" s="37"/>
      <c r="B1999" s="35"/>
      <c r="C1999" s="31"/>
      <c r="D1999" s="32"/>
      <c r="E1999" s="34"/>
      <c r="F1999" s="34"/>
      <c r="G1999" s="39"/>
      <c r="H1999" s="39"/>
      <c r="I1999" s="35"/>
    </row>
    <row r="2000">
      <c r="A2000" s="37"/>
      <c r="B2000" s="35"/>
      <c r="C2000" s="31"/>
      <c r="D2000" s="32"/>
      <c r="E2000" s="34"/>
      <c r="F2000" s="34"/>
      <c r="G2000" s="39"/>
      <c r="H2000" s="39"/>
      <c r="I2000" s="35"/>
    </row>
    <row r="2001">
      <c r="A2001" s="37"/>
      <c r="B2001" s="35"/>
      <c r="C2001" s="31"/>
      <c r="D2001" s="32"/>
      <c r="E2001" s="34"/>
      <c r="F2001" s="34"/>
      <c r="G2001" s="39"/>
      <c r="H2001" s="39"/>
      <c r="I2001" s="35"/>
    </row>
    <row r="2002">
      <c r="A2002" s="37"/>
      <c r="B2002" s="35"/>
      <c r="C2002" s="31"/>
      <c r="D2002" s="32"/>
      <c r="E2002" s="34"/>
      <c r="F2002" s="34"/>
      <c r="G2002" s="39"/>
      <c r="H2002" s="39"/>
      <c r="I2002" s="35"/>
    </row>
  </sheetData>
  <autoFilter ref="$A$1:$K$94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6.38"/>
    <col customWidth="1" min="3" max="3" width="50.38"/>
    <col customWidth="1" min="4" max="4" width="18.13"/>
    <col customWidth="1" min="5" max="5" width="33.88"/>
    <col customWidth="1" min="6" max="6" width="17.13"/>
  </cols>
  <sheetData>
    <row r="1" ht="22.5" customHeight="1">
      <c r="A1" s="2" t="s">
        <v>185</v>
      </c>
      <c r="B1" s="2" t="s">
        <v>0</v>
      </c>
      <c r="C1" s="2" t="s">
        <v>186</v>
      </c>
      <c r="D1" s="2" t="s">
        <v>187</v>
      </c>
      <c r="E1" s="2" t="s">
        <v>188</v>
      </c>
      <c r="F1" s="51" t="s">
        <v>175</v>
      </c>
    </row>
    <row r="2" ht="22.5" customHeight="1">
      <c r="A2" s="52">
        <v>45856.0</v>
      </c>
      <c r="B2" s="4" t="s">
        <v>9</v>
      </c>
      <c r="C2" s="4" t="s">
        <v>10</v>
      </c>
      <c r="D2" s="53">
        <v>2.0</v>
      </c>
      <c r="E2" s="4" t="s">
        <v>189</v>
      </c>
      <c r="F2" s="54" t="str">
        <f t="shared" ref="F2:F104" si="1">IF(A2&lt;&gt;"","Entrada","")</f>
        <v>Entrada</v>
      </c>
    </row>
    <row r="3" ht="22.5" customHeight="1">
      <c r="A3" s="52">
        <v>45856.0</v>
      </c>
      <c r="B3" s="4" t="s">
        <v>12</v>
      </c>
      <c r="C3" s="4" t="s">
        <v>13</v>
      </c>
      <c r="D3" s="53">
        <v>7.0</v>
      </c>
      <c r="E3" s="4" t="s">
        <v>189</v>
      </c>
      <c r="F3" s="54" t="str">
        <f t="shared" si="1"/>
        <v>Entrada</v>
      </c>
    </row>
    <row r="4" ht="22.5" customHeight="1">
      <c r="A4" s="52">
        <v>45856.0</v>
      </c>
      <c r="B4" s="4" t="s">
        <v>23</v>
      </c>
      <c r="C4" s="4" t="s">
        <v>24</v>
      </c>
      <c r="D4" s="53">
        <v>20.0</v>
      </c>
      <c r="E4" s="4" t="s">
        <v>189</v>
      </c>
      <c r="F4" s="54" t="str">
        <f t="shared" si="1"/>
        <v>Entrada</v>
      </c>
    </row>
    <row r="5" ht="22.5" customHeight="1">
      <c r="A5" s="52">
        <v>45856.0</v>
      </c>
      <c r="B5" s="10" t="s">
        <v>190</v>
      </c>
      <c r="C5" s="11" t="s">
        <v>191</v>
      </c>
      <c r="D5" s="55">
        <v>80.0</v>
      </c>
      <c r="E5" s="4" t="s">
        <v>189</v>
      </c>
      <c r="F5" s="54" t="str">
        <f t="shared" si="1"/>
        <v>Entrada</v>
      </c>
    </row>
    <row r="6" ht="22.5" customHeight="1">
      <c r="A6" s="52">
        <v>45856.0</v>
      </c>
      <c r="B6" s="4" t="s">
        <v>25</v>
      </c>
      <c r="C6" s="4" t="s">
        <v>26</v>
      </c>
      <c r="D6" s="53">
        <v>118.0</v>
      </c>
      <c r="E6" s="4" t="s">
        <v>189</v>
      </c>
      <c r="F6" s="54" t="str">
        <f t="shared" si="1"/>
        <v>Entrada</v>
      </c>
    </row>
    <row r="7" ht="22.5" customHeight="1">
      <c r="A7" s="52">
        <v>45856.0</v>
      </c>
      <c r="B7" s="4" t="s">
        <v>27</v>
      </c>
      <c r="C7" s="4" t="s">
        <v>28</v>
      </c>
      <c r="D7" s="53">
        <v>146.0</v>
      </c>
      <c r="E7" s="4" t="s">
        <v>189</v>
      </c>
      <c r="F7" s="54" t="str">
        <f t="shared" si="1"/>
        <v>Entrada</v>
      </c>
    </row>
    <row r="8" ht="22.5" customHeight="1">
      <c r="A8" s="52">
        <v>45856.0</v>
      </c>
      <c r="B8" s="4" t="s">
        <v>29</v>
      </c>
      <c r="C8" s="4" t="s">
        <v>30</v>
      </c>
      <c r="D8" s="53">
        <v>25.0</v>
      </c>
      <c r="E8" s="4" t="s">
        <v>189</v>
      </c>
      <c r="F8" s="54" t="str">
        <f t="shared" si="1"/>
        <v>Entrada</v>
      </c>
    </row>
    <row r="9" ht="22.5" customHeight="1">
      <c r="A9" s="52">
        <v>45856.0</v>
      </c>
      <c r="B9" s="4" t="s">
        <v>31</v>
      </c>
      <c r="C9" s="4" t="s">
        <v>32</v>
      </c>
      <c r="D9" s="53">
        <v>19.0</v>
      </c>
      <c r="E9" s="4" t="s">
        <v>189</v>
      </c>
      <c r="F9" s="54" t="str">
        <f t="shared" si="1"/>
        <v>Entrada</v>
      </c>
    </row>
    <row r="10" ht="22.5" customHeight="1">
      <c r="A10" s="52">
        <v>45856.0</v>
      </c>
      <c r="B10" s="10" t="s">
        <v>33</v>
      </c>
      <c r="C10" s="11" t="s">
        <v>34</v>
      </c>
      <c r="D10" s="55">
        <v>8.0</v>
      </c>
      <c r="E10" s="4" t="s">
        <v>189</v>
      </c>
      <c r="F10" s="54" t="str">
        <f t="shared" si="1"/>
        <v>Entrada</v>
      </c>
    </row>
    <row r="11" ht="22.5" customHeight="1">
      <c r="A11" s="52">
        <v>45856.0</v>
      </c>
      <c r="B11" s="10" t="s">
        <v>36</v>
      </c>
      <c r="C11" s="11" t="s">
        <v>37</v>
      </c>
      <c r="D11" s="55">
        <v>10.0</v>
      </c>
      <c r="E11" s="4" t="s">
        <v>189</v>
      </c>
      <c r="F11" s="54" t="str">
        <f t="shared" si="1"/>
        <v>Entrada</v>
      </c>
    </row>
    <row r="12" ht="22.5" customHeight="1">
      <c r="A12" s="52">
        <v>45856.0</v>
      </c>
      <c r="B12" s="4" t="s">
        <v>38</v>
      </c>
      <c r="C12" s="4" t="s">
        <v>39</v>
      </c>
      <c r="D12" s="53">
        <v>17.0</v>
      </c>
      <c r="E12" s="4" t="s">
        <v>189</v>
      </c>
      <c r="F12" s="54" t="str">
        <f t="shared" si="1"/>
        <v>Entrada</v>
      </c>
    </row>
    <row r="13" ht="22.5" customHeight="1">
      <c r="A13" s="52">
        <v>45856.0</v>
      </c>
      <c r="B13" s="4" t="s">
        <v>40</v>
      </c>
      <c r="C13" s="4" t="s">
        <v>41</v>
      </c>
      <c r="D13" s="53">
        <v>0.0</v>
      </c>
      <c r="E13" s="4" t="s">
        <v>189</v>
      </c>
      <c r="F13" s="54" t="str">
        <f t="shared" si="1"/>
        <v>Entrada</v>
      </c>
    </row>
    <row r="14" ht="22.5" customHeight="1">
      <c r="A14" s="52">
        <v>45856.0</v>
      </c>
      <c r="B14" s="4" t="s">
        <v>42</v>
      </c>
      <c r="C14" s="4" t="s">
        <v>43</v>
      </c>
      <c r="D14" s="53">
        <v>58.0</v>
      </c>
      <c r="E14" s="4" t="s">
        <v>189</v>
      </c>
      <c r="F14" s="54" t="str">
        <f t="shared" si="1"/>
        <v>Entrada</v>
      </c>
    </row>
    <row r="15" ht="22.5" customHeight="1">
      <c r="A15" s="52">
        <v>45856.0</v>
      </c>
      <c r="B15" s="4" t="s">
        <v>45</v>
      </c>
      <c r="C15" s="4" t="s">
        <v>46</v>
      </c>
      <c r="D15" s="53">
        <v>59.0</v>
      </c>
      <c r="E15" s="4" t="s">
        <v>189</v>
      </c>
      <c r="F15" s="54" t="str">
        <f t="shared" si="1"/>
        <v>Entrada</v>
      </c>
    </row>
    <row r="16" ht="22.5" customHeight="1">
      <c r="A16" s="52">
        <v>45856.0</v>
      </c>
      <c r="B16" s="4" t="s">
        <v>47</v>
      </c>
      <c r="C16" s="4" t="s">
        <v>48</v>
      </c>
      <c r="D16" s="53">
        <v>69.0</v>
      </c>
      <c r="E16" s="4" t="s">
        <v>189</v>
      </c>
      <c r="F16" s="54" t="str">
        <f t="shared" si="1"/>
        <v>Entrada</v>
      </c>
    </row>
    <row r="17" ht="22.5" customHeight="1">
      <c r="A17" s="52">
        <v>45856.0</v>
      </c>
      <c r="B17" s="4" t="s">
        <v>49</v>
      </c>
      <c r="C17" s="4" t="s">
        <v>50</v>
      </c>
      <c r="D17" s="53">
        <v>67.0</v>
      </c>
      <c r="E17" s="4" t="s">
        <v>189</v>
      </c>
      <c r="F17" s="54" t="str">
        <f t="shared" si="1"/>
        <v>Entrada</v>
      </c>
    </row>
    <row r="18" ht="22.5" customHeight="1">
      <c r="A18" s="52">
        <v>45856.0</v>
      </c>
      <c r="B18" s="4" t="s">
        <v>51</v>
      </c>
      <c r="C18" s="4" t="s">
        <v>52</v>
      </c>
      <c r="D18" s="53">
        <v>146.0</v>
      </c>
      <c r="E18" s="4" t="s">
        <v>189</v>
      </c>
      <c r="F18" s="54" t="str">
        <f t="shared" si="1"/>
        <v>Entrada</v>
      </c>
    </row>
    <row r="19" ht="22.5" customHeight="1">
      <c r="A19" s="52">
        <v>45856.0</v>
      </c>
      <c r="B19" s="4" t="s">
        <v>53</v>
      </c>
      <c r="C19" s="4" t="s">
        <v>54</v>
      </c>
      <c r="D19" s="53">
        <v>135.0</v>
      </c>
      <c r="E19" s="4" t="s">
        <v>189</v>
      </c>
      <c r="F19" s="54" t="str">
        <f t="shared" si="1"/>
        <v>Entrada</v>
      </c>
    </row>
    <row r="20" ht="22.5" customHeight="1">
      <c r="A20" s="52">
        <v>45856.0</v>
      </c>
      <c r="B20" s="4" t="s">
        <v>55</v>
      </c>
      <c r="C20" s="4" t="s">
        <v>56</v>
      </c>
      <c r="D20" s="53">
        <v>33.0</v>
      </c>
      <c r="E20" s="4" t="s">
        <v>189</v>
      </c>
      <c r="F20" s="54" t="str">
        <f t="shared" si="1"/>
        <v>Entrada</v>
      </c>
    </row>
    <row r="21" ht="22.5" customHeight="1">
      <c r="A21" s="52">
        <v>45856.0</v>
      </c>
      <c r="B21" s="4" t="s">
        <v>58</v>
      </c>
      <c r="C21" s="4" t="s">
        <v>59</v>
      </c>
      <c r="D21" s="53">
        <v>100.0</v>
      </c>
      <c r="E21" s="4" t="s">
        <v>189</v>
      </c>
      <c r="F21" s="54" t="str">
        <f t="shared" si="1"/>
        <v>Entrada</v>
      </c>
    </row>
    <row r="22" ht="22.5" customHeight="1">
      <c r="A22" s="52">
        <v>45856.0</v>
      </c>
      <c r="B22" s="4" t="s">
        <v>60</v>
      </c>
      <c r="C22" s="4" t="s">
        <v>61</v>
      </c>
      <c r="D22" s="53">
        <v>83.0</v>
      </c>
      <c r="E22" s="4" t="s">
        <v>189</v>
      </c>
      <c r="F22" s="54" t="str">
        <f t="shared" si="1"/>
        <v>Entrada</v>
      </c>
    </row>
    <row r="23" ht="22.5" customHeight="1">
      <c r="A23" s="52">
        <v>45856.0</v>
      </c>
      <c r="B23" s="4" t="s">
        <v>62</v>
      </c>
      <c r="C23" s="4" t="s">
        <v>63</v>
      </c>
      <c r="D23" s="53">
        <v>27.0</v>
      </c>
      <c r="E23" s="4" t="s">
        <v>189</v>
      </c>
      <c r="F23" s="54" t="str">
        <f t="shared" si="1"/>
        <v>Entrada</v>
      </c>
    </row>
    <row r="24" ht="22.5" customHeight="1">
      <c r="A24" s="52">
        <v>45856.0</v>
      </c>
      <c r="B24" s="4" t="s">
        <v>64</v>
      </c>
      <c r="C24" s="4" t="s">
        <v>65</v>
      </c>
      <c r="D24" s="53">
        <v>484.0</v>
      </c>
      <c r="E24" s="4" t="s">
        <v>189</v>
      </c>
      <c r="F24" s="54" t="str">
        <f t="shared" si="1"/>
        <v>Entrada</v>
      </c>
    </row>
    <row r="25" ht="22.5" customHeight="1">
      <c r="A25" s="52">
        <v>45856.0</v>
      </c>
      <c r="B25" s="4" t="s">
        <v>66</v>
      </c>
      <c r="C25" s="4" t="s">
        <v>67</v>
      </c>
      <c r="D25" s="53">
        <v>334.0</v>
      </c>
      <c r="E25" s="4" t="s">
        <v>189</v>
      </c>
      <c r="F25" s="54" t="str">
        <f t="shared" si="1"/>
        <v>Entrada</v>
      </c>
    </row>
    <row r="26" ht="22.5" customHeight="1">
      <c r="A26" s="52">
        <v>45856.0</v>
      </c>
      <c r="B26" s="4" t="s">
        <v>68</v>
      </c>
      <c r="C26" s="4" t="s">
        <v>69</v>
      </c>
      <c r="D26" s="53">
        <v>16.0</v>
      </c>
      <c r="E26" s="4" t="s">
        <v>189</v>
      </c>
      <c r="F26" s="54" t="str">
        <f t="shared" si="1"/>
        <v>Entrada</v>
      </c>
    </row>
    <row r="27" ht="22.5" customHeight="1">
      <c r="A27" s="52">
        <v>45856.0</v>
      </c>
      <c r="B27" s="4" t="s">
        <v>70</v>
      </c>
      <c r="C27" s="4" t="s">
        <v>71</v>
      </c>
      <c r="D27" s="53">
        <v>114.0</v>
      </c>
      <c r="E27" s="4" t="s">
        <v>189</v>
      </c>
      <c r="F27" s="54" t="str">
        <f t="shared" si="1"/>
        <v>Entrada</v>
      </c>
    </row>
    <row r="28" ht="22.5" customHeight="1">
      <c r="A28" s="52">
        <v>45856.0</v>
      </c>
      <c r="B28" s="4" t="s">
        <v>72</v>
      </c>
      <c r="C28" s="4" t="s">
        <v>73</v>
      </c>
      <c r="D28" s="53">
        <v>323.0</v>
      </c>
      <c r="E28" s="4" t="s">
        <v>189</v>
      </c>
      <c r="F28" s="54" t="str">
        <f t="shared" si="1"/>
        <v>Entrada</v>
      </c>
    </row>
    <row r="29" ht="22.5" customHeight="1">
      <c r="A29" s="52">
        <v>45856.0</v>
      </c>
      <c r="B29" s="4" t="s">
        <v>74</v>
      </c>
      <c r="C29" s="4" t="s">
        <v>75</v>
      </c>
      <c r="D29" s="53">
        <v>3.0</v>
      </c>
      <c r="E29" s="4" t="s">
        <v>189</v>
      </c>
      <c r="F29" s="54" t="str">
        <f t="shared" si="1"/>
        <v>Entrada</v>
      </c>
    </row>
    <row r="30" ht="22.5" customHeight="1">
      <c r="A30" s="52">
        <v>45856.0</v>
      </c>
      <c r="B30" s="10" t="s">
        <v>76</v>
      </c>
      <c r="C30" s="15" t="s">
        <v>77</v>
      </c>
      <c r="D30" s="55">
        <v>424.0</v>
      </c>
      <c r="E30" s="4" t="s">
        <v>189</v>
      </c>
      <c r="F30" s="54" t="str">
        <f t="shared" si="1"/>
        <v>Entrada</v>
      </c>
    </row>
    <row r="31" ht="22.5" customHeight="1">
      <c r="A31" s="52">
        <v>45856.0</v>
      </c>
      <c r="B31" s="4" t="s">
        <v>78</v>
      </c>
      <c r="C31" s="4" t="s">
        <v>79</v>
      </c>
      <c r="D31" s="55">
        <v>15.0</v>
      </c>
      <c r="E31" s="4" t="s">
        <v>189</v>
      </c>
      <c r="F31" s="54" t="str">
        <f t="shared" si="1"/>
        <v>Entrada</v>
      </c>
    </row>
    <row r="32" ht="22.5" customHeight="1">
      <c r="A32" s="52">
        <v>45856.0</v>
      </c>
      <c r="B32" s="10" t="s">
        <v>80</v>
      </c>
      <c r="C32" s="15" t="s">
        <v>81</v>
      </c>
      <c r="D32" s="53">
        <v>15.0</v>
      </c>
      <c r="E32" s="4" t="s">
        <v>189</v>
      </c>
      <c r="F32" s="54" t="str">
        <f t="shared" si="1"/>
        <v>Entrada</v>
      </c>
    </row>
    <row r="33" ht="22.5" customHeight="1">
      <c r="A33" s="52">
        <v>45856.0</v>
      </c>
      <c r="B33" s="10" t="s">
        <v>82</v>
      </c>
      <c r="C33" s="11" t="s">
        <v>83</v>
      </c>
      <c r="D33" s="53">
        <v>8.0</v>
      </c>
      <c r="E33" s="4" t="s">
        <v>189</v>
      </c>
      <c r="F33" s="54" t="str">
        <f t="shared" si="1"/>
        <v>Entrada</v>
      </c>
    </row>
    <row r="34" ht="22.5" customHeight="1">
      <c r="A34" s="52">
        <v>45856.0</v>
      </c>
      <c r="B34" s="10" t="s">
        <v>84</v>
      </c>
      <c r="C34" s="11" t="s">
        <v>85</v>
      </c>
      <c r="D34" s="53">
        <v>0.0</v>
      </c>
      <c r="E34" s="4" t="s">
        <v>189</v>
      </c>
      <c r="F34" s="54" t="str">
        <f t="shared" si="1"/>
        <v>Entrada</v>
      </c>
    </row>
    <row r="35" ht="22.5" customHeight="1">
      <c r="A35" s="52">
        <v>45856.0</v>
      </c>
      <c r="B35" s="10" t="s">
        <v>86</v>
      </c>
      <c r="C35" s="11" t="s">
        <v>87</v>
      </c>
      <c r="D35" s="53">
        <v>11.0</v>
      </c>
      <c r="E35" s="4" t="s">
        <v>189</v>
      </c>
      <c r="F35" s="54" t="str">
        <f t="shared" si="1"/>
        <v>Entrada</v>
      </c>
    </row>
    <row r="36" ht="22.5" customHeight="1">
      <c r="A36" s="52">
        <v>45856.0</v>
      </c>
      <c r="B36" s="4" t="s">
        <v>88</v>
      </c>
      <c r="C36" s="4" t="s">
        <v>89</v>
      </c>
      <c r="D36" s="53">
        <v>17.0</v>
      </c>
      <c r="E36" s="4" t="s">
        <v>189</v>
      </c>
      <c r="F36" s="54" t="str">
        <f t="shared" si="1"/>
        <v>Entrada</v>
      </c>
    </row>
    <row r="37" ht="22.5" customHeight="1">
      <c r="A37" s="52">
        <v>45856.0</v>
      </c>
      <c r="B37" s="4" t="s">
        <v>90</v>
      </c>
      <c r="C37" s="4" t="s">
        <v>91</v>
      </c>
      <c r="D37" s="53">
        <v>8.0</v>
      </c>
      <c r="E37" s="4" t="s">
        <v>189</v>
      </c>
      <c r="F37" s="54" t="str">
        <f t="shared" si="1"/>
        <v>Entrada</v>
      </c>
    </row>
    <row r="38" ht="22.5" customHeight="1">
      <c r="A38" s="52">
        <v>45856.0</v>
      </c>
      <c r="B38" s="4" t="s">
        <v>92</v>
      </c>
      <c r="C38" s="4" t="s">
        <v>93</v>
      </c>
      <c r="D38" s="53">
        <v>18.0</v>
      </c>
      <c r="E38" s="4" t="s">
        <v>189</v>
      </c>
      <c r="F38" s="54" t="str">
        <f t="shared" si="1"/>
        <v>Entrada</v>
      </c>
    </row>
    <row r="39" ht="22.5" customHeight="1">
      <c r="A39" s="52">
        <v>45856.0</v>
      </c>
      <c r="B39" s="10" t="s">
        <v>94</v>
      </c>
      <c r="C39" s="11" t="s">
        <v>95</v>
      </c>
      <c r="D39" s="53">
        <v>3.0</v>
      </c>
      <c r="E39" s="4" t="s">
        <v>189</v>
      </c>
      <c r="F39" s="54" t="str">
        <f t="shared" si="1"/>
        <v>Entrada</v>
      </c>
    </row>
    <row r="40" ht="22.5" customHeight="1">
      <c r="A40" s="52">
        <v>45856.0</v>
      </c>
      <c r="B40" s="4" t="s">
        <v>96</v>
      </c>
      <c r="C40" s="4" t="s">
        <v>97</v>
      </c>
      <c r="D40" s="53">
        <v>22.0</v>
      </c>
      <c r="E40" s="4" t="s">
        <v>189</v>
      </c>
      <c r="F40" s="54" t="str">
        <f t="shared" si="1"/>
        <v>Entrada</v>
      </c>
    </row>
    <row r="41" ht="22.5" customHeight="1">
      <c r="A41" s="52">
        <v>45856.0</v>
      </c>
      <c r="B41" s="4" t="s">
        <v>98</v>
      </c>
      <c r="C41" s="4" t="s">
        <v>99</v>
      </c>
      <c r="D41" s="53">
        <v>24.0</v>
      </c>
      <c r="E41" s="4" t="s">
        <v>189</v>
      </c>
      <c r="F41" s="54" t="str">
        <f t="shared" si="1"/>
        <v>Entrada</v>
      </c>
    </row>
    <row r="42" ht="22.5" customHeight="1">
      <c r="A42" s="52">
        <v>45856.0</v>
      </c>
      <c r="B42" s="4" t="s">
        <v>100</v>
      </c>
      <c r="C42" s="4" t="s">
        <v>101</v>
      </c>
      <c r="D42" s="53">
        <v>23.0</v>
      </c>
      <c r="E42" s="4" t="s">
        <v>189</v>
      </c>
      <c r="F42" s="54" t="str">
        <f t="shared" si="1"/>
        <v>Entrada</v>
      </c>
    </row>
    <row r="43" ht="22.5" customHeight="1">
      <c r="A43" s="52">
        <v>45856.0</v>
      </c>
      <c r="B43" s="4" t="s">
        <v>102</v>
      </c>
      <c r="C43" s="4" t="s">
        <v>103</v>
      </c>
      <c r="D43" s="53">
        <v>14.0</v>
      </c>
      <c r="E43" s="4" t="s">
        <v>189</v>
      </c>
      <c r="F43" s="54" t="str">
        <f t="shared" si="1"/>
        <v>Entrada</v>
      </c>
    </row>
    <row r="44" ht="22.5" customHeight="1">
      <c r="A44" s="52">
        <v>45856.0</v>
      </c>
      <c r="B44" s="4" t="s">
        <v>104</v>
      </c>
      <c r="C44" s="4" t="s">
        <v>105</v>
      </c>
      <c r="D44" s="53">
        <v>24.0</v>
      </c>
      <c r="E44" s="4" t="s">
        <v>189</v>
      </c>
      <c r="F44" s="54" t="str">
        <f t="shared" si="1"/>
        <v>Entrada</v>
      </c>
    </row>
    <row r="45" ht="22.5" customHeight="1">
      <c r="A45" s="52">
        <v>45856.0</v>
      </c>
      <c r="B45" s="4" t="s">
        <v>106</v>
      </c>
      <c r="C45" s="4" t="s">
        <v>107</v>
      </c>
      <c r="D45" s="53">
        <v>15.0</v>
      </c>
      <c r="E45" s="4" t="s">
        <v>189</v>
      </c>
      <c r="F45" s="54" t="str">
        <f t="shared" si="1"/>
        <v>Entrada</v>
      </c>
    </row>
    <row r="46" ht="22.5" customHeight="1">
      <c r="A46" s="52">
        <v>45856.0</v>
      </c>
      <c r="B46" s="4" t="s">
        <v>108</v>
      </c>
      <c r="C46" s="4" t="s">
        <v>109</v>
      </c>
      <c r="D46" s="53">
        <v>9.0</v>
      </c>
      <c r="E46" s="4" t="s">
        <v>189</v>
      </c>
      <c r="F46" s="54" t="str">
        <f t="shared" si="1"/>
        <v>Entrada</v>
      </c>
    </row>
    <row r="47" ht="22.5" customHeight="1">
      <c r="A47" s="52">
        <v>45856.0</v>
      </c>
      <c r="B47" s="10" t="s">
        <v>110</v>
      </c>
      <c r="C47" s="11" t="s">
        <v>111</v>
      </c>
      <c r="D47" s="53">
        <v>10.0</v>
      </c>
      <c r="E47" s="4" t="s">
        <v>189</v>
      </c>
      <c r="F47" s="54" t="str">
        <f t="shared" si="1"/>
        <v>Entrada</v>
      </c>
    </row>
    <row r="48" ht="22.5" customHeight="1">
      <c r="A48" s="52">
        <v>45856.0</v>
      </c>
      <c r="B48" s="4" t="s">
        <v>112</v>
      </c>
      <c r="C48" s="4" t="s">
        <v>113</v>
      </c>
      <c r="D48" s="53">
        <v>89.0</v>
      </c>
      <c r="E48" s="4" t="s">
        <v>189</v>
      </c>
      <c r="F48" s="54" t="str">
        <f t="shared" si="1"/>
        <v>Entrada</v>
      </c>
    </row>
    <row r="49" ht="22.5" customHeight="1">
      <c r="A49" s="52">
        <v>45856.0</v>
      </c>
      <c r="B49" s="4" t="s">
        <v>115</v>
      </c>
      <c r="C49" s="4" t="s">
        <v>116</v>
      </c>
      <c r="D49" s="53">
        <v>20.0</v>
      </c>
      <c r="E49" s="4" t="s">
        <v>189</v>
      </c>
      <c r="F49" s="54" t="str">
        <f t="shared" si="1"/>
        <v>Entrada</v>
      </c>
    </row>
    <row r="50" ht="22.5" customHeight="1">
      <c r="A50" s="52">
        <v>45856.0</v>
      </c>
      <c r="B50" s="4" t="s">
        <v>119</v>
      </c>
      <c r="C50" s="4" t="s">
        <v>120</v>
      </c>
      <c r="D50" s="53">
        <v>71.0</v>
      </c>
      <c r="E50" s="4" t="s">
        <v>189</v>
      </c>
      <c r="F50" s="54" t="str">
        <f t="shared" si="1"/>
        <v>Entrada</v>
      </c>
    </row>
    <row r="51" ht="22.5" customHeight="1">
      <c r="A51" s="52">
        <v>45856.0</v>
      </c>
      <c r="B51" s="4" t="s">
        <v>121</v>
      </c>
      <c r="C51" s="4" t="s">
        <v>122</v>
      </c>
      <c r="D51" s="53">
        <v>25.0</v>
      </c>
      <c r="E51" s="4" t="s">
        <v>189</v>
      </c>
      <c r="F51" s="54" t="str">
        <f t="shared" si="1"/>
        <v>Entrada</v>
      </c>
    </row>
    <row r="52" ht="22.5" customHeight="1">
      <c r="A52" s="52">
        <v>45856.0</v>
      </c>
      <c r="B52" s="4" t="s">
        <v>123</v>
      </c>
      <c r="C52" s="4" t="s">
        <v>192</v>
      </c>
      <c r="D52" s="53">
        <v>14.0</v>
      </c>
      <c r="E52" s="4" t="s">
        <v>189</v>
      </c>
      <c r="F52" s="54" t="str">
        <f t="shared" si="1"/>
        <v>Entrada</v>
      </c>
    </row>
    <row r="53" ht="22.5" customHeight="1">
      <c r="A53" s="52">
        <v>45856.0</v>
      </c>
      <c r="B53" s="10" t="s">
        <v>125</v>
      </c>
      <c r="C53" s="11" t="s">
        <v>126</v>
      </c>
      <c r="D53" s="53">
        <v>32.0</v>
      </c>
      <c r="E53" s="4" t="s">
        <v>189</v>
      </c>
      <c r="F53" s="54" t="str">
        <f t="shared" si="1"/>
        <v>Entrada</v>
      </c>
    </row>
    <row r="54" ht="22.5" customHeight="1">
      <c r="A54" s="52">
        <v>45856.0</v>
      </c>
      <c r="B54" s="10" t="s">
        <v>127</v>
      </c>
      <c r="C54" s="11" t="s">
        <v>128</v>
      </c>
      <c r="D54" s="53">
        <v>200.0</v>
      </c>
      <c r="E54" s="4" t="s">
        <v>189</v>
      </c>
      <c r="F54" s="54" t="str">
        <f t="shared" si="1"/>
        <v>Entrada</v>
      </c>
    </row>
    <row r="55" ht="22.5" customHeight="1">
      <c r="A55" s="52">
        <v>45856.0</v>
      </c>
      <c r="B55" s="10" t="s">
        <v>129</v>
      </c>
      <c r="C55" s="15" t="s">
        <v>130</v>
      </c>
      <c r="D55" s="53">
        <v>100.0</v>
      </c>
      <c r="E55" s="4" t="s">
        <v>189</v>
      </c>
      <c r="F55" s="54" t="str">
        <f t="shared" si="1"/>
        <v>Entrada</v>
      </c>
    </row>
    <row r="56" ht="22.5" customHeight="1">
      <c r="A56" s="52">
        <v>45856.0</v>
      </c>
      <c r="B56" s="4" t="s">
        <v>131</v>
      </c>
      <c r="C56" s="4" t="s">
        <v>132</v>
      </c>
      <c r="D56" s="53">
        <v>6.0</v>
      </c>
      <c r="E56" s="4" t="s">
        <v>189</v>
      </c>
      <c r="F56" s="54" t="str">
        <f t="shared" si="1"/>
        <v>Entrada</v>
      </c>
    </row>
    <row r="57" ht="22.5" customHeight="1">
      <c r="A57" s="52">
        <v>45856.0</v>
      </c>
      <c r="B57" s="4" t="s">
        <v>133</v>
      </c>
      <c r="C57" s="4" t="s">
        <v>134</v>
      </c>
      <c r="D57" s="53">
        <v>22.0</v>
      </c>
      <c r="E57" s="4" t="s">
        <v>189</v>
      </c>
      <c r="F57" s="54" t="str">
        <f t="shared" si="1"/>
        <v>Entrada</v>
      </c>
    </row>
    <row r="58" ht="22.5" customHeight="1">
      <c r="A58" s="52">
        <v>45856.0</v>
      </c>
      <c r="B58" s="4" t="s">
        <v>135</v>
      </c>
      <c r="C58" s="4" t="s">
        <v>136</v>
      </c>
      <c r="D58" s="53">
        <v>20.0</v>
      </c>
      <c r="E58" s="4" t="s">
        <v>189</v>
      </c>
      <c r="F58" s="54" t="str">
        <f t="shared" si="1"/>
        <v>Entrada</v>
      </c>
    </row>
    <row r="59" ht="22.5" customHeight="1">
      <c r="A59" s="52">
        <v>45856.0</v>
      </c>
      <c r="B59" s="4" t="s">
        <v>137</v>
      </c>
      <c r="C59" s="4" t="s">
        <v>138</v>
      </c>
      <c r="D59" s="53">
        <v>19.0</v>
      </c>
      <c r="E59" s="4" t="s">
        <v>189</v>
      </c>
      <c r="F59" s="54" t="str">
        <f t="shared" si="1"/>
        <v>Entrada</v>
      </c>
    </row>
    <row r="60" ht="22.5" customHeight="1">
      <c r="A60" s="52">
        <v>45856.0</v>
      </c>
      <c r="B60" s="6" t="s">
        <v>139</v>
      </c>
      <c r="C60" s="6" t="s">
        <v>140</v>
      </c>
      <c r="D60" s="53">
        <v>73.0</v>
      </c>
      <c r="E60" s="4" t="s">
        <v>189</v>
      </c>
      <c r="F60" s="54" t="str">
        <f t="shared" si="1"/>
        <v>Entrada</v>
      </c>
    </row>
    <row r="61" ht="22.5" customHeight="1">
      <c r="A61" s="52">
        <v>45856.0</v>
      </c>
      <c r="B61" s="4" t="s">
        <v>141</v>
      </c>
      <c r="C61" s="4" t="s">
        <v>142</v>
      </c>
      <c r="D61" s="53">
        <v>177.0</v>
      </c>
      <c r="E61" s="4" t="s">
        <v>189</v>
      </c>
      <c r="F61" s="54" t="str">
        <f t="shared" si="1"/>
        <v>Entrada</v>
      </c>
    </row>
    <row r="62" ht="22.5" customHeight="1">
      <c r="A62" s="52">
        <v>45856.0</v>
      </c>
      <c r="B62" s="4" t="s">
        <v>143</v>
      </c>
      <c r="C62" s="4" t="s">
        <v>144</v>
      </c>
      <c r="D62" s="53">
        <f>3</f>
        <v>3</v>
      </c>
      <c r="E62" s="4" t="s">
        <v>189</v>
      </c>
      <c r="F62" s="54" t="str">
        <f t="shared" si="1"/>
        <v>Entrada</v>
      </c>
    </row>
    <row r="63" ht="22.5" customHeight="1">
      <c r="A63" s="52">
        <v>45931.0</v>
      </c>
      <c r="B63" s="4" t="s">
        <v>72</v>
      </c>
      <c r="C63" s="4" t="s">
        <v>73</v>
      </c>
      <c r="D63" s="55">
        <v>250.0</v>
      </c>
      <c r="E63" s="4" t="s">
        <v>189</v>
      </c>
      <c r="F63" s="54" t="str">
        <f t="shared" si="1"/>
        <v>Entrada</v>
      </c>
    </row>
    <row r="64" ht="22.5" customHeight="1">
      <c r="A64" s="52">
        <v>45931.0</v>
      </c>
      <c r="B64" s="4" t="s">
        <v>119</v>
      </c>
      <c r="C64" s="4" t="s">
        <v>120</v>
      </c>
      <c r="D64" s="55">
        <v>129.0</v>
      </c>
      <c r="E64" s="4" t="s">
        <v>189</v>
      </c>
      <c r="F64" s="54" t="str">
        <f t="shared" si="1"/>
        <v>Entrada</v>
      </c>
    </row>
    <row r="65" ht="22.5" customHeight="1">
      <c r="A65" s="52">
        <v>45937.0</v>
      </c>
      <c r="B65" s="56" t="s">
        <v>70</v>
      </c>
      <c r="C65" s="4" t="s">
        <v>71</v>
      </c>
      <c r="D65" s="55">
        <v>191.0</v>
      </c>
      <c r="E65" s="4" t="s">
        <v>189</v>
      </c>
      <c r="F65" s="54" t="str">
        <f t="shared" si="1"/>
        <v>Entrada</v>
      </c>
    </row>
    <row r="66" ht="22.5" customHeight="1">
      <c r="A66" s="52">
        <v>45937.0</v>
      </c>
      <c r="B66" s="4" t="s">
        <v>12</v>
      </c>
      <c r="C66" s="4" t="s">
        <v>13</v>
      </c>
      <c r="D66" s="53">
        <v>11.0</v>
      </c>
      <c r="E66" s="4" t="s">
        <v>189</v>
      </c>
      <c r="F66" s="54" t="str">
        <f t="shared" si="1"/>
        <v>Entrada</v>
      </c>
    </row>
    <row r="67" ht="22.5" customHeight="1">
      <c r="A67" s="52">
        <v>45954.0</v>
      </c>
      <c r="B67" s="56" t="s">
        <v>70</v>
      </c>
      <c r="C67" s="4" t="s">
        <v>71</v>
      </c>
      <c r="D67" s="55">
        <v>204.0</v>
      </c>
      <c r="E67" s="4" t="s">
        <v>189</v>
      </c>
      <c r="F67" s="54" t="str">
        <f t="shared" si="1"/>
        <v>Entrada</v>
      </c>
    </row>
    <row r="68" ht="22.5" customHeight="1">
      <c r="A68" s="52">
        <v>45968.0</v>
      </c>
      <c r="B68" s="56" t="s">
        <v>70</v>
      </c>
      <c r="C68" s="4" t="s">
        <v>71</v>
      </c>
      <c r="D68" s="55">
        <v>300.0</v>
      </c>
      <c r="E68" s="4" t="s">
        <v>189</v>
      </c>
      <c r="F68" s="54" t="str">
        <f t="shared" si="1"/>
        <v>Entrada</v>
      </c>
    </row>
    <row r="69" ht="22.5" customHeight="1">
      <c r="A69" s="52">
        <v>45937.0</v>
      </c>
      <c r="B69" s="4" t="s">
        <v>12</v>
      </c>
      <c r="C69" s="4" t="s">
        <v>13</v>
      </c>
      <c r="D69" s="53">
        <v>20.0</v>
      </c>
      <c r="E69" s="4" t="s">
        <v>189</v>
      </c>
      <c r="F69" s="54" t="str">
        <f t="shared" si="1"/>
        <v>Entrada</v>
      </c>
    </row>
    <row r="70" ht="22.5" customHeight="1">
      <c r="A70" s="52">
        <v>45976.0</v>
      </c>
      <c r="B70" s="4" t="s">
        <v>78</v>
      </c>
      <c r="C70" s="4" t="s">
        <v>79</v>
      </c>
      <c r="D70" s="53">
        <v>15.0</v>
      </c>
      <c r="E70" s="4" t="s">
        <v>189</v>
      </c>
      <c r="F70" s="54" t="str">
        <f t="shared" si="1"/>
        <v>Entrada</v>
      </c>
    </row>
    <row r="71" ht="22.5" customHeight="1">
      <c r="A71" s="52">
        <v>45973.0</v>
      </c>
      <c r="B71" s="57" t="s">
        <v>25</v>
      </c>
      <c r="C71" s="57" t="s">
        <v>26</v>
      </c>
      <c r="D71" s="53">
        <v>50.0</v>
      </c>
      <c r="E71" s="4" t="s">
        <v>189</v>
      </c>
      <c r="F71" s="54" t="str">
        <f t="shared" si="1"/>
        <v>Entrada</v>
      </c>
    </row>
    <row r="72" ht="22.5" customHeight="1">
      <c r="A72" s="52">
        <v>45972.0</v>
      </c>
      <c r="B72" s="58" t="s">
        <v>72</v>
      </c>
      <c r="C72" s="58" t="s">
        <v>73</v>
      </c>
      <c r="D72" s="53">
        <v>300.0</v>
      </c>
      <c r="E72" s="4" t="s">
        <v>189</v>
      </c>
      <c r="F72" s="54" t="str">
        <f t="shared" si="1"/>
        <v>Entrada</v>
      </c>
    </row>
    <row r="73" ht="22.5" customHeight="1">
      <c r="A73" s="52">
        <v>45973.0</v>
      </c>
      <c r="B73" s="58" t="s">
        <v>110</v>
      </c>
      <c r="C73" s="57" t="s">
        <v>111</v>
      </c>
      <c r="D73" s="53">
        <v>10.0</v>
      </c>
      <c r="E73" s="4" t="s">
        <v>189</v>
      </c>
      <c r="F73" s="54" t="str">
        <f t="shared" si="1"/>
        <v>Entrada</v>
      </c>
    </row>
    <row r="74" ht="22.5" customHeight="1">
      <c r="A74" s="52">
        <v>45973.0</v>
      </c>
      <c r="B74" s="58" t="s">
        <v>127</v>
      </c>
      <c r="C74" s="57" t="s">
        <v>128</v>
      </c>
      <c r="D74" s="53">
        <v>500.0</v>
      </c>
      <c r="E74" s="4" t="s">
        <v>189</v>
      </c>
      <c r="F74" s="54" t="str">
        <f t="shared" si="1"/>
        <v>Entrada</v>
      </c>
    </row>
    <row r="75" ht="22.5" customHeight="1">
      <c r="A75" s="59">
        <v>45985.0</v>
      </c>
      <c r="B75" s="57" t="s">
        <v>70</v>
      </c>
      <c r="C75" s="57" t="s">
        <v>71</v>
      </c>
      <c r="D75" s="53">
        <v>64.0</v>
      </c>
      <c r="E75" s="4" t="s">
        <v>189</v>
      </c>
      <c r="F75" s="54" t="str">
        <f t="shared" si="1"/>
        <v>Entrada</v>
      </c>
    </row>
    <row r="76" ht="22.5" customHeight="1">
      <c r="A76" s="60">
        <v>45988.0</v>
      </c>
      <c r="B76" s="58" t="s">
        <v>72</v>
      </c>
      <c r="C76" s="58" t="s">
        <v>73</v>
      </c>
      <c r="D76" s="53">
        <v>34.0</v>
      </c>
      <c r="E76" s="4" t="s">
        <v>189</v>
      </c>
      <c r="F76" s="54" t="str">
        <f t="shared" si="1"/>
        <v>Entrada</v>
      </c>
    </row>
    <row r="77" ht="22.5" customHeight="1">
      <c r="A77" s="60">
        <v>45989.0</v>
      </c>
      <c r="B77" s="58" t="s">
        <v>72</v>
      </c>
      <c r="C77" s="58" t="s">
        <v>73</v>
      </c>
      <c r="D77" s="53">
        <v>312.0</v>
      </c>
      <c r="E77" s="4" t="s">
        <v>189</v>
      </c>
      <c r="F77" s="54" t="str">
        <f t="shared" si="1"/>
        <v>Entrada</v>
      </c>
    </row>
    <row r="78" ht="22.5" customHeight="1">
      <c r="A78" s="60">
        <v>45967.0</v>
      </c>
      <c r="B78" s="58" t="s">
        <v>139</v>
      </c>
      <c r="C78" s="58" t="s">
        <v>140</v>
      </c>
      <c r="D78" s="53">
        <v>480.0</v>
      </c>
      <c r="E78" s="4" t="s">
        <v>189</v>
      </c>
      <c r="F78" s="54" t="str">
        <f t="shared" si="1"/>
        <v>Entrada</v>
      </c>
    </row>
    <row r="79" ht="22.5" customHeight="1">
      <c r="A79" s="60">
        <v>46007.0</v>
      </c>
      <c r="B79" s="57" t="s">
        <v>141</v>
      </c>
      <c r="C79" s="57" t="s">
        <v>142</v>
      </c>
      <c r="D79" s="53">
        <v>500.0</v>
      </c>
      <c r="E79" s="4" t="s">
        <v>189</v>
      </c>
      <c r="F79" s="54" t="str">
        <f t="shared" si="1"/>
        <v>Entrada</v>
      </c>
    </row>
    <row r="80" ht="22.5" customHeight="1">
      <c r="A80" s="52">
        <v>46034.0</v>
      </c>
      <c r="B80" s="4" t="s">
        <v>119</v>
      </c>
      <c r="C80" s="4" t="s">
        <v>120</v>
      </c>
      <c r="D80" s="55">
        <v>200.0</v>
      </c>
      <c r="E80" s="4" t="s">
        <v>189</v>
      </c>
      <c r="F80" s="54" t="str">
        <f t="shared" si="1"/>
        <v>Entrada</v>
      </c>
    </row>
    <row r="81" ht="22.5" customHeight="1">
      <c r="A81" s="59">
        <v>46034.0</v>
      </c>
      <c r="B81" s="57" t="s">
        <v>70</v>
      </c>
      <c r="C81" s="57" t="s">
        <v>71</v>
      </c>
      <c r="D81" s="53">
        <v>37.0</v>
      </c>
      <c r="E81" s="4" t="s">
        <v>189</v>
      </c>
      <c r="F81" s="54" t="str">
        <f t="shared" si="1"/>
        <v>Entrada</v>
      </c>
    </row>
    <row r="82" ht="22.5" customHeight="1">
      <c r="A82" s="52">
        <v>46034.0</v>
      </c>
      <c r="B82" s="4" t="s">
        <v>121</v>
      </c>
      <c r="C82" s="4" t="s">
        <v>122</v>
      </c>
      <c r="D82" s="53">
        <v>40.0</v>
      </c>
      <c r="E82" s="4" t="s">
        <v>189</v>
      </c>
      <c r="F82" s="54" t="str">
        <f t="shared" si="1"/>
        <v>Entrada</v>
      </c>
    </row>
    <row r="83" ht="22.5" customHeight="1">
      <c r="A83" s="59">
        <v>46058.0</v>
      </c>
      <c r="B83" s="4" t="s">
        <v>51</v>
      </c>
      <c r="C83" s="4" t="s">
        <v>52</v>
      </c>
      <c r="D83" s="53">
        <v>150.0</v>
      </c>
      <c r="E83" s="4" t="s">
        <v>189</v>
      </c>
      <c r="F83" s="54" t="str">
        <f t="shared" si="1"/>
        <v>Entrada</v>
      </c>
    </row>
    <row r="84" ht="22.5" customHeight="1">
      <c r="A84" s="59">
        <v>46058.0</v>
      </c>
      <c r="B84" s="57" t="s">
        <v>70</v>
      </c>
      <c r="C84" s="57" t="s">
        <v>71</v>
      </c>
      <c r="D84" s="53">
        <v>187.0</v>
      </c>
      <c r="E84" s="4" t="s">
        <v>189</v>
      </c>
      <c r="F84" s="54" t="str">
        <f t="shared" si="1"/>
        <v>Entrada</v>
      </c>
    </row>
    <row r="85" ht="22.5" customHeight="1">
      <c r="A85" s="59">
        <v>46035.0</v>
      </c>
      <c r="B85" s="57" t="s">
        <v>70</v>
      </c>
      <c r="C85" s="57" t="s">
        <v>71</v>
      </c>
      <c r="D85" s="53">
        <v>187.0</v>
      </c>
      <c r="E85" s="4" t="s">
        <v>189</v>
      </c>
      <c r="F85" s="54" t="str">
        <f t="shared" si="1"/>
        <v>Entrada</v>
      </c>
    </row>
    <row r="86" ht="22.5" customHeight="1">
      <c r="A86" s="59">
        <v>46063.0</v>
      </c>
      <c r="B86" s="57" t="s">
        <v>72</v>
      </c>
      <c r="C86" s="57" t="s">
        <v>73</v>
      </c>
      <c r="D86" s="53">
        <v>108.0</v>
      </c>
      <c r="E86" s="4" t="s">
        <v>189</v>
      </c>
      <c r="F86" s="54" t="str">
        <f t="shared" si="1"/>
        <v>Entrada</v>
      </c>
    </row>
    <row r="87" ht="22.5" customHeight="1">
      <c r="A87" s="52">
        <v>46073.0</v>
      </c>
      <c r="B87" s="4" t="s">
        <v>12</v>
      </c>
      <c r="C87" s="4" t="s">
        <v>13</v>
      </c>
      <c r="D87" s="53">
        <v>1.0</v>
      </c>
      <c r="E87" s="4" t="s">
        <v>189</v>
      </c>
      <c r="F87" s="54" t="str">
        <f t="shared" si="1"/>
        <v>Entrada</v>
      </c>
    </row>
    <row r="88" ht="22.5" customHeight="1">
      <c r="A88" s="59">
        <v>46073.0</v>
      </c>
      <c r="B88" s="57" t="s">
        <v>70</v>
      </c>
      <c r="C88" s="57" t="s">
        <v>71</v>
      </c>
      <c r="D88" s="53">
        <v>150.0</v>
      </c>
      <c r="E88" s="4" t="s">
        <v>189</v>
      </c>
      <c r="F88" s="54" t="str">
        <f t="shared" si="1"/>
        <v>Entrada</v>
      </c>
    </row>
    <row r="89" ht="22.5" customHeight="1">
      <c r="A89" s="59">
        <v>46076.0</v>
      </c>
      <c r="B89" s="57" t="s">
        <v>70</v>
      </c>
      <c r="C89" s="57" t="s">
        <v>71</v>
      </c>
      <c r="D89" s="53">
        <v>150.0</v>
      </c>
      <c r="E89" s="4" t="s">
        <v>189</v>
      </c>
      <c r="F89" s="54" t="str">
        <f t="shared" si="1"/>
        <v>Entrada</v>
      </c>
    </row>
    <row r="90" ht="22.5" customHeight="1">
      <c r="A90" s="59">
        <v>46078.0</v>
      </c>
      <c r="B90" s="57" t="s">
        <v>117</v>
      </c>
      <c r="C90" s="57" t="s">
        <v>118</v>
      </c>
      <c r="D90" s="53">
        <v>2.0</v>
      </c>
      <c r="E90" s="4" t="s">
        <v>189</v>
      </c>
      <c r="F90" s="54" t="str">
        <f t="shared" si="1"/>
        <v>Entrada</v>
      </c>
    </row>
    <row r="91" ht="22.5" customHeight="1">
      <c r="A91" s="60">
        <v>46079.0</v>
      </c>
      <c r="B91" s="58" t="s">
        <v>72</v>
      </c>
      <c r="C91" s="58" t="s">
        <v>73</v>
      </c>
      <c r="D91" s="53">
        <v>600.0</v>
      </c>
      <c r="E91" s="4" t="s">
        <v>189</v>
      </c>
      <c r="F91" s="54" t="str">
        <f t="shared" si="1"/>
        <v>Entrada</v>
      </c>
    </row>
    <row r="92" ht="22.5" customHeight="1">
      <c r="A92" s="52">
        <v>46080.0</v>
      </c>
      <c r="B92" s="4" t="s">
        <v>12</v>
      </c>
      <c r="C92" s="4" t="s">
        <v>13</v>
      </c>
      <c r="D92" s="53">
        <v>15.0</v>
      </c>
      <c r="E92" s="4" t="s">
        <v>189</v>
      </c>
      <c r="F92" s="54" t="str">
        <f t="shared" si="1"/>
        <v>Entrada</v>
      </c>
    </row>
    <row r="93" ht="22.5" customHeight="1">
      <c r="A93" s="52">
        <v>46085.0</v>
      </c>
      <c r="B93" s="4" t="s">
        <v>55</v>
      </c>
      <c r="C93" s="4" t="s">
        <v>56</v>
      </c>
      <c r="D93" s="53">
        <v>27.0</v>
      </c>
      <c r="E93" s="4" t="s">
        <v>189</v>
      </c>
      <c r="F93" s="54" t="str">
        <f t="shared" si="1"/>
        <v>Entrada</v>
      </c>
    </row>
    <row r="94" ht="22.5" customHeight="1">
      <c r="A94" s="52">
        <v>46093.0</v>
      </c>
      <c r="B94" s="4" t="s">
        <v>51</v>
      </c>
      <c r="C94" s="4" t="s">
        <v>52</v>
      </c>
      <c r="D94" s="53">
        <v>150.0</v>
      </c>
      <c r="E94" s="4" t="s">
        <v>189</v>
      </c>
      <c r="F94" s="54" t="str">
        <f t="shared" si="1"/>
        <v>Entrada</v>
      </c>
    </row>
    <row r="95" ht="22.5" customHeight="1">
      <c r="A95" s="52">
        <v>46099.0</v>
      </c>
      <c r="B95" s="4" t="s">
        <v>66</v>
      </c>
      <c r="C95" s="4" t="s">
        <v>67</v>
      </c>
      <c r="D95" s="53">
        <v>286.0</v>
      </c>
      <c r="E95" s="4" t="s">
        <v>189</v>
      </c>
      <c r="F95" s="54" t="str">
        <f t="shared" si="1"/>
        <v>Entrada</v>
      </c>
    </row>
    <row r="96" ht="22.5" customHeight="1">
      <c r="A96" s="52">
        <v>46107.0</v>
      </c>
      <c r="B96" s="4" t="s">
        <v>47</v>
      </c>
      <c r="C96" s="4" t="s">
        <v>48</v>
      </c>
      <c r="D96" s="53">
        <v>32.0</v>
      </c>
      <c r="E96" s="4" t="s">
        <v>189</v>
      </c>
      <c r="F96" s="54" t="str">
        <f t="shared" si="1"/>
        <v>Entrada</v>
      </c>
    </row>
    <row r="97" ht="22.5" customHeight="1">
      <c r="A97" s="52"/>
      <c r="B97" s="4"/>
      <c r="C97" s="4"/>
      <c r="D97" s="53"/>
      <c r="E97" s="4"/>
      <c r="F97" s="54" t="str">
        <f t="shared" si="1"/>
        <v/>
      </c>
    </row>
    <row r="98" ht="22.5" customHeight="1">
      <c r="A98" s="52"/>
      <c r="B98" s="4"/>
      <c r="C98" s="4"/>
      <c r="D98" s="53"/>
      <c r="E98" s="4"/>
      <c r="F98" s="54" t="str">
        <f t="shared" si="1"/>
        <v/>
      </c>
    </row>
    <row r="99" ht="22.5" customHeight="1">
      <c r="A99" s="52"/>
      <c r="B99" s="4"/>
      <c r="C99" s="4"/>
      <c r="D99" s="53"/>
      <c r="E99" s="4"/>
      <c r="F99" s="54" t="str">
        <f t="shared" si="1"/>
        <v/>
      </c>
    </row>
    <row r="100" ht="22.5" customHeight="1">
      <c r="A100" s="52"/>
      <c r="B100" s="4"/>
      <c r="C100" s="4"/>
      <c r="D100" s="53"/>
      <c r="E100" s="4"/>
      <c r="F100" s="54" t="str">
        <f t="shared" si="1"/>
        <v/>
      </c>
    </row>
    <row r="101" ht="22.5" customHeight="1">
      <c r="A101" s="52"/>
      <c r="B101" s="4"/>
      <c r="C101" s="4"/>
      <c r="D101" s="53"/>
      <c r="E101" s="4"/>
      <c r="F101" s="54" t="str">
        <f t="shared" si="1"/>
        <v/>
      </c>
    </row>
    <row r="102" ht="22.5" customHeight="1">
      <c r="A102" s="52"/>
      <c r="B102" s="4"/>
      <c r="C102" s="4"/>
      <c r="D102" s="53"/>
      <c r="E102" s="4"/>
      <c r="F102" s="54" t="str">
        <f t="shared" si="1"/>
        <v/>
      </c>
    </row>
    <row r="103" ht="22.5" customHeight="1">
      <c r="A103" s="52"/>
      <c r="B103" s="4"/>
      <c r="C103" s="4"/>
      <c r="D103" s="53"/>
      <c r="E103" s="4"/>
      <c r="F103" s="54" t="str">
        <f t="shared" si="1"/>
        <v/>
      </c>
    </row>
    <row r="104" ht="22.5" customHeight="1">
      <c r="A104" s="52"/>
      <c r="B104" s="4"/>
      <c r="C104" s="4"/>
      <c r="D104" s="53"/>
      <c r="E104" s="4"/>
      <c r="F104" s="54" t="str">
        <f t="shared" si="1"/>
        <v/>
      </c>
    </row>
    <row r="105">
      <c r="A105" s="45"/>
      <c r="B105" s="27"/>
      <c r="C105" s="27"/>
      <c r="D105" s="27"/>
      <c r="E105" s="27"/>
      <c r="F105" s="27"/>
    </row>
    <row r="106">
      <c r="F106" s="35" t="str">
        <f t="shared" ref="F106:F1010" si="2">IF(A106&lt;&gt;"","Entrada","")</f>
        <v/>
      </c>
    </row>
    <row r="107">
      <c r="F107" s="35" t="str">
        <f t="shared" si="2"/>
        <v/>
      </c>
    </row>
    <row r="108">
      <c r="F108" s="35" t="str">
        <f t="shared" si="2"/>
        <v/>
      </c>
    </row>
    <row r="109">
      <c r="F109" s="35" t="str">
        <f t="shared" si="2"/>
        <v/>
      </c>
    </row>
    <row r="110">
      <c r="F110" s="35" t="str">
        <f t="shared" si="2"/>
        <v/>
      </c>
    </row>
    <row r="111">
      <c r="F111" s="35" t="str">
        <f t="shared" si="2"/>
        <v/>
      </c>
    </row>
    <row r="112">
      <c r="F112" s="35" t="str">
        <f t="shared" si="2"/>
        <v/>
      </c>
    </row>
    <row r="113">
      <c r="F113" s="35" t="str">
        <f t="shared" si="2"/>
        <v/>
      </c>
    </row>
    <row r="114">
      <c r="F114" s="35" t="str">
        <f t="shared" si="2"/>
        <v/>
      </c>
    </row>
    <row r="115">
      <c r="F115" s="35" t="str">
        <f t="shared" si="2"/>
        <v/>
      </c>
    </row>
    <row r="116">
      <c r="F116" s="35" t="str">
        <f t="shared" si="2"/>
        <v/>
      </c>
    </row>
    <row r="117">
      <c r="F117" s="35" t="str">
        <f t="shared" si="2"/>
        <v/>
      </c>
    </row>
    <row r="118">
      <c r="F118" s="35" t="str">
        <f t="shared" si="2"/>
        <v/>
      </c>
    </row>
    <row r="119">
      <c r="F119" s="35" t="str">
        <f t="shared" si="2"/>
        <v/>
      </c>
    </row>
    <row r="120">
      <c r="F120" s="35" t="str">
        <f t="shared" si="2"/>
        <v/>
      </c>
    </row>
    <row r="121">
      <c r="F121" s="35" t="str">
        <f t="shared" si="2"/>
        <v/>
      </c>
    </row>
    <row r="122">
      <c r="F122" s="35" t="str">
        <f t="shared" si="2"/>
        <v/>
      </c>
    </row>
    <row r="123">
      <c r="F123" s="35" t="str">
        <f t="shared" si="2"/>
        <v/>
      </c>
    </row>
    <row r="124">
      <c r="F124" s="35" t="str">
        <f t="shared" si="2"/>
        <v/>
      </c>
    </row>
    <row r="125">
      <c r="F125" s="35" t="str">
        <f t="shared" si="2"/>
        <v/>
      </c>
    </row>
    <row r="126">
      <c r="F126" s="35" t="str">
        <f t="shared" si="2"/>
        <v/>
      </c>
    </row>
    <row r="127">
      <c r="F127" s="35" t="str">
        <f t="shared" si="2"/>
        <v/>
      </c>
    </row>
    <row r="128">
      <c r="F128" s="35" t="str">
        <f t="shared" si="2"/>
        <v/>
      </c>
    </row>
    <row r="129">
      <c r="F129" s="35" t="str">
        <f t="shared" si="2"/>
        <v/>
      </c>
    </row>
    <row r="130">
      <c r="F130" s="35" t="str">
        <f t="shared" si="2"/>
        <v/>
      </c>
    </row>
    <row r="131">
      <c r="F131" s="35" t="str">
        <f t="shared" si="2"/>
        <v/>
      </c>
    </row>
    <row r="132">
      <c r="F132" s="35" t="str">
        <f t="shared" si="2"/>
        <v/>
      </c>
    </row>
    <row r="133">
      <c r="F133" s="35" t="str">
        <f t="shared" si="2"/>
        <v/>
      </c>
    </row>
    <row r="134">
      <c r="F134" s="35" t="str">
        <f t="shared" si="2"/>
        <v/>
      </c>
    </row>
    <row r="135">
      <c r="F135" s="35" t="str">
        <f t="shared" si="2"/>
        <v/>
      </c>
    </row>
    <row r="136">
      <c r="F136" s="35" t="str">
        <f t="shared" si="2"/>
        <v/>
      </c>
    </row>
    <row r="137">
      <c r="F137" s="35" t="str">
        <f t="shared" si="2"/>
        <v/>
      </c>
    </row>
    <row r="138">
      <c r="F138" s="35" t="str">
        <f t="shared" si="2"/>
        <v/>
      </c>
    </row>
    <row r="139">
      <c r="F139" s="35" t="str">
        <f t="shared" si="2"/>
        <v/>
      </c>
    </row>
    <row r="140">
      <c r="F140" s="35" t="str">
        <f t="shared" si="2"/>
        <v/>
      </c>
    </row>
    <row r="141">
      <c r="F141" s="35" t="str">
        <f t="shared" si="2"/>
        <v/>
      </c>
    </row>
    <row r="142">
      <c r="F142" s="35" t="str">
        <f t="shared" si="2"/>
        <v/>
      </c>
    </row>
    <row r="143">
      <c r="F143" s="35" t="str">
        <f t="shared" si="2"/>
        <v/>
      </c>
    </row>
    <row r="144">
      <c r="F144" s="35" t="str">
        <f t="shared" si="2"/>
        <v/>
      </c>
    </row>
    <row r="145">
      <c r="F145" s="35" t="str">
        <f t="shared" si="2"/>
        <v/>
      </c>
    </row>
    <row r="146">
      <c r="F146" s="35" t="str">
        <f t="shared" si="2"/>
        <v/>
      </c>
    </row>
    <row r="147">
      <c r="F147" s="35" t="str">
        <f t="shared" si="2"/>
        <v/>
      </c>
    </row>
    <row r="148">
      <c r="F148" s="35" t="str">
        <f t="shared" si="2"/>
        <v/>
      </c>
    </row>
    <row r="149">
      <c r="F149" s="35" t="str">
        <f t="shared" si="2"/>
        <v/>
      </c>
    </row>
    <row r="150">
      <c r="F150" s="35" t="str">
        <f t="shared" si="2"/>
        <v/>
      </c>
    </row>
    <row r="151">
      <c r="F151" s="35" t="str">
        <f t="shared" si="2"/>
        <v/>
      </c>
    </row>
    <row r="152">
      <c r="F152" s="35" t="str">
        <f t="shared" si="2"/>
        <v/>
      </c>
    </row>
    <row r="153">
      <c r="F153" s="35" t="str">
        <f t="shared" si="2"/>
        <v/>
      </c>
    </row>
    <row r="154">
      <c r="F154" s="35" t="str">
        <f t="shared" si="2"/>
        <v/>
      </c>
    </row>
    <row r="155">
      <c r="F155" s="35" t="str">
        <f t="shared" si="2"/>
        <v/>
      </c>
    </row>
    <row r="156">
      <c r="F156" s="35" t="str">
        <f t="shared" si="2"/>
        <v/>
      </c>
    </row>
    <row r="157">
      <c r="F157" s="35" t="str">
        <f t="shared" si="2"/>
        <v/>
      </c>
    </row>
    <row r="158">
      <c r="F158" s="35" t="str">
        <f t="shared" si="2"/>
        <v/>
      </c>
    </row>
    <row r="159">
      <c r="F159" s="35" t="str">
        <f t="shared" si="2"/>
        <v/>
      </c>
    </row>
    <row r="160">
      <c r="F160" s="35" t="str">
        <f t="shared" si="2"/>
        <v/>
      </c>
    </row>
    <row r="161">
      <c r="F161" s="35" t="str">
        <f t="shared" si="2"/>
        <v/>
      </c>
    </row>
    <row r="162">
      <c r="F162" s="35" t="str">
        <f t="shared" si="2"/>
        <v/>
      </c>
    </row>
    <row r="163">
      <c r="F163" s="35" t="str">
        <f t="shared" si="2"/>
        <v/>
      </c>
    </row>
    <row r="164">
      <c r="F164" s="35" t="str">
        <f t="shared" si="2"/>
        <v/>
      </c>
    </row>
    <row r="165">
      <c r="F165" s="35" t="str">
        <f t="shared" si="2"/>
        <v/>
      </c>
    </row>
    <row r="166">
      <c r="F166" s="35" t="str">
        <f t="shared" si="2"/>
        <v/>
      </c>
    </row>
    <row r="167">
      <c r="F167" s="35" t="str">
        <f t="shared" si="2"/>
        <v/>
      </c>
    </row>
    <row r="168">
      <c r="F168" s="35" t="str">
        <f t="shared" si="2"/>
        <v/>
      </c>
    </row>
    <row r="169">
      <c r="F169" s="35" t="str">
        <f t="shared" si="2"/>
        <v/>
      </c>
    </row>
    <row r="170">
      <c r="F170" s="35" t="str">
        <f t="shared" si="2"/>
        <v/>
      </c>
    </row>
    <row r="171">
      <c r="F171" s="35" t="str">
        <f t="shared" si="2"/>
        <v/>
      </c>
    </row>
    <row r="172">
      <c r="F172" s="35" t="str">
        <f t="shared" si="2"/>
        <v/>
      </c>
    </row>
    <row r="173">
      <c r="F173" s="35" t="str">
        <f t="shared" si="2"/>
        <v/>
      </c>
    </row>
    <row r="174">
      <c r="F174" s="35" t="str">
        <f t="shared" si="2"/>
        <v/>
      </c>
    </row>
    <row r="175">
      <c r="F175" s="35" t="str">
        <f t="shared" si="2"/>
        <v/>
      </c>
    </row>
    <row r="176">
      <c r="F176" s="35" t="str">
        <f t="shared" si="2"/>
        <v/>
      </c>
    </row>
    <row r="177">
      <c r="F177" s="35" t="str">
        <f t="shared" si="2"/>
        <v/>
      </c>
    </row>
    <row r="178">
      <c r="F178" s="35" t="str">
        <f t="shared" si="2"/>
        <v/>
      </c>
    </row>
    <row r="179">
      <c r="F179" s="35" t="str">
        <f t="shared" si="2"/>
        <v/>
      </c>
    </row>
    <row r="180">
      <c r="F180" s="35" t="str">
        <f t="shared" si="2"/>
        <v/>
      </c>
    </row>
    <row r="181">
      <c r="F181" s="35" t="str">
        <f t="shared" si="2"/>
        <v/>
      </c>
    </row>
    <row r="182">
      <c r="F182" s="35" t="str">
        <f t="shared" si="2"/>
        <v/>
      </c>
    </row>
    <row r="183">
      <c r="F183" s="35" t="str">
        <f t="shared" si="2"/>
        <v/>
      </c>
    </row>
    <row r="184">
      <c r="F184" s="35" t="str">
        <f t="shared" si="2"/>
        <v/>
      </c>
    </row>
    <row r="185">
      <c r="F185" s="35" t="str">
        <f t="shared" si="2"/>
        <v/>
      </c>
    </row>
    <row r="186">
      <c r="F186" s="35" t="str">
        <f t="shared" si="2"/>
        <v/>
      </c>
    </row>
    <row r="187">
      <c r="F187" s="35" t="str">
        <f t="shared" si="2"/>
        <v/>
      </c>
    </row>
    <row r="188">
      <c r="F188" s="35" t="str">
        <f t="shared" si="2"/>
        <v/>
      </c>
    </row>
    <row r="189">
      <c r="F189" s="35" t="str">
        <f t="shared" si="2"/>
        <v/>
      </c>
    </row>
    <row r="190">
      <c r="F190" s="35" t="str">
        <f t="shared" si="2"/>
        <v/>
      </c>
    </row>
    <row r="191">
      <c r="F191" s="35" t="str">
        <f t="shared" si="2"/>
        <v/>
      </c>
    </row>
    <row r="192">
      <c r="F192" s="35" t="str">
        <f t="shared" si="2"/>
        <v/>
      </c>
    </row>
    <row r="193">
      <c r="F193" s="35" t="str">
        <f t="shared" si="2"/>
        <v/>
      </c>
    </row>
    <row r="194">
      <c r="F194" s="35" t="str">
        <f t="shared" si="2"/>
        <v/>
      </c>
    </row>
    <row r="195">
      <c r="F195" s="35" t="str">
        <f t="shared" si="2"/>
        <v/>
      </c>
    </row>
    <row r="196">
      <c r="F196" s="35" t="str">
        <f t="shared" si="2"/>
        <v/>
      </c>
    </row>
    <row r="197">
      <c r="F197" s="35" t="str">
        <f t="shared" si="2"/>
        <v/>
      </c>
    </row>
    <row r="198">
      <c r="F198" s="35" t="str">
        <f t="shared" si="2"/>
        <v/>
      </c>
    </row>
    <row r="199">
      <c r="F199" s="35" t="str">
        <f t="shared" si="2"/>
        <v/>
      </c>
    </row>
    <row r="200">
      <c r="F200" s="35" t="str">
        <f t="shared" si="2"/>
        <v/>
      </c>
    </row>
    <row r="201">
      <c r="F201" s="35" t="str">
        <f t="shared" si="2"/>
        <v/>
      </c>
    </row>
    <row r="202">
      <c r="F202" s="35" t="str">
        <f t="shared" si="2"/>
        <v/>
      </c>
    </row>
    <row r="203">
      <c r="F203" s="35" t="str">
        <f t="shared" si="2"/>
        <v/>
      </c>
    </row>
    <row r="204">
      <c r="F204" s="35" t="str">
        <f t="shared" si="2"/>
        <v/>
      </c>
    </row>
    <row r="205">
      <c r="F205" s="35" t="str">
        <f t="shared" si="2"/>
        <v/>
      </c>
    </row>
    <row r="206">
      <c r="F206" s="35" t="str">
        <f t="shared" si="2"/>
        <v/>
      </c>
    </row>
    <row r="207">
      <c r="F207" s="35" t="str">
        <f t="shared" si="2"/>
        <v/>
      </c>
    </row>
    <row r="208">
      <c r="F208" s="35" t="str">
        <f t="shared" si="2"/>
        <v/>
      </c>
    </row>
    <row r="209">
      <c r="F209" s="35" t="str">
        <f t="shared" si="2"/>
        <v/>
      </c>
    </row>
    <row r="210">
      <c r="F210" s="35" t="str">
        <f t="shared" si="2"/>
        <v/>
      </c>
    </row>
    <row r="211">
      <c r="F211" s="35" t="str">
        <f t="shared" si="2"/>
        <v/>
      </c>
    </row>
    <row r="212">
      <c r="F212" s="35" t="str">
        <f t="shared" si="2"/>
        <v/>
      </c>
    </row>
    <row r="213">
      <c r="F213" s="35" t="str">
        <f t="shared" si="2"/>
        <v/>
      </c>
    </row>
    <row r="214">
      <c r="F214" s="35" t="str">
        <f t="shared" si="2"/>
        <v/>
      </c>
    </row>
    <row r="215">
      <c r="F215" s="35" t="str">
        <f t="shared" si="2"/>
        <v/>
      </c>
    </row>
    <row r="216">
      <c r="F216" s="35" t="str">
        <f t="shared" si="2"/>
        <v/>
      </c>
    </row>
    <row r="217">
      <c r="F217" s="35" t="str">
        <f t="shared" si="2"/>
        <v/>
      </c>
    </row>
    <row r="218">
      <c r="F218" s="35" t="str">
        <f t="shared" si="2"/>
        <v/>
      </c>
    </row>
    <row r="219">
      <c r="F219" s="35" t="str">
        <f t="shared" si="2"/>
        <v/>
      </c>
    </row>
    <row r="220">
      <c r="F220" s="35" t="str">
        <f t="shared" si="2"/>
        <v/>
      </c>
    </row>
    <row r="221">
      <c r="F221" s="35" t="str">
        <f t="shared" si="2"/>
        <v/>
      </c>
    </row>
    <row r="222">
      <c r="F222" s="35" t="str">
        <f t="shared" si="2"/>
        <v/>
      </c>
    </row>
    <row r="223">
      <c r="F223" s="35" t="str">
        <f t="shared" si="2"/>
        <v/>
      </c>
    </row>
    <row r="224">
      <c r="F224" s="35" t="str">
        <f t="shared" si="2"/>
        <v/>
      </c>
    </row>
    <row r="225">
      <c r="F225" s="35" t="str">
        <f t="shared" si="2"/>
        <v/>
      </c>
    </row>
    <row r="226">
      <c r="F226" s="35" t="str">
        <f t="shared" si="2"/>
        <v/>
      </c>
    </row>
    <row r="227">
      <c r="F227" s="35" t="str">
        <f t="shared" si="2"/>
        <v/>
      </c>
    </row>
    <row r="228">
      <c r="F228" s="35" t="str">
        <f t="shared" si="2"/>
        <v/>
      </c>
    </row>
    <row r="229">
      <c r="F229" s="35" t="str">
        <f t="shared" si="2"/>
        <v/>
      </c>
    </row>
    <row r="230">
      <c r="F230" s="35" t="str">
        <f t="shared" si="2"/>
        <v/>
      </c>
    </row>
    <row r="231">
      <c r="F231" s="35" t="str">
        <f t="shared" si="2"/>
        <v/>
      </c>
    </row>
    <row r="232">
      <c r="F232" s="35" t="str">
        <f t="shared" si="2"/>
        <v/>
      </c>
    </row>
    <row r="233">
      <c r="F233" s="35" t="str">
        <f t="shared" si="2"/>
        <v/>
      </c>
    </row>
    <row r="234">
      <c r="F234" s="35" t="str">
        <f t="shared" si="2"/>
        <v/>
      </c>
    </row>
    <row r="235">
      <c r="F235" s="35" t="str">
        <f t="shared" si="2"/>
        <v/>
      </c>
    </row>
    <row r="236">
      <c r="F236" s="35" t="str">
        <f t="shared" si="2"/>
        <v/>
      </c>
    </row>
    <row r="237">
      <c r="F237" s="35" t="str">
        <f t="shared" si="2"/>
        <v/>
      </c>
    </row>
    <row r="238">
      <c r="F238" s="35" t="str">
        <f t="shared" si="2"/>
        <v/>
      </c>
    </row>
    <row r="239">
      <c r="F239" s="35" t="str">
        <f t="shared" si="2"/>
        <v/>
      </c>
    </row>
    <row r="240">
      <c r="F240" s="35" t="str">
        <f t="shared" si="2"/>
        <v/>
      </c>
    </row>
    <row r="241">
      <c r="F241" s="35" t="str">
        <f t="shared" si="2"/>
        <v/>
      </c>
    </row>
    <row r="242">
      <c r="F242" s="35" t="str">
        <f t="shared" si="2"/>
        <v/>
      </c>
    </row>
    <row r="243">
      <c r="F243" s="35" t="str">
        <f t="shared" si="2"/>
        <v/>
      </c>
    </row>
    <row r="244">
      <c r="F244" s="35" t="str">
        <f t="shared" si="2"/>
        <v/>
      </c>
    </row>
    <row r="245">
      <c r="F245" s="35" t="str">
        <f t="shared" si="2"/>
        <v/>
      </c>
    </row>
    <row r="246">
      <c r="F246" s="35" t="str">
        <f t="shared" si="2"/>
        <v/>
      </c>
    </row>
    <row r="247">
      <c r="F247" s="35" t="str">
        <f t="shared" si="2"/>
        <v/>
      </c>
    </row>
    <row r="248">
      <c r="F248" s="35" t="str">
        <f t="shared" si="2"/>
        <v/>
      </c>
    </row>
    <row r="249">
      <c r="F249" s="35" t="str">
        <f t="shared" si="2"/>
        <v/>
      </c>
    </row>
    <row r="250">
      <c r="F250" s="35" t="str">
        <f t="shared" si="2"/>
        <v/>
      </c>
    </row>
    <row r="251">
      <c r="F251" s="35" t="str">
        <f t="shared" si="2"/>
        <v/>
      </c>
    </row>
    <row r="252">
      <c r="F252" s="35" t="str">
        <f t="shared" si="2"/>
        <v/>
      </c>
    </row>
    <row r="253">
      <c r="F253" s="35" t="str">
        <f t="shared" si="2"/>
        <v/>
      </c>
    </row>
    <row r="254">
      <c r="F254" s="35" t="str">
        <f t="shared" si="2"/>
        <v/>
      </c>
    </row>
    <row r="255">
      <c r="F255" s="35" t="str">
        <f t="shared" si="2"/>
        <v/>
      </c>
    </row>
    <row r="256">
      <c r="F256" s="35" t="str">
        <f t="shared" si="2"/>
        <v/>
      </c>
    </row>
    <row r="257">
      <c r="F257" s="35" t="str">
        <f t="shared" si="2"/>
        <v/>
      </c>
    </row>
    <row r="258">
      <c r="F258" s="35" t="str">
        <f t="shared" si="2"/>
        <v/>
      </c>
    </row>
    <row r="259">
      <c r="F259" s="35" t="str">
        <f t="shared" si="2"/>
        <v/>
      </c>
    </row>
    <row r="260">
      <c r="F260" s="35" t="str">
        <f t="shared" si="2"/>
        <v/>
      </c>
    </row>
    <row r="261">
      <c r="F261" s="35" t="str">
        <f t="shared" si="2"/>
        <v/>
      </c>
    </row>
    <row r="262">
      <c r="F262" s="35" t="str">
        <f t="shared" si="2"/>
        <v/>
      </c>
    </row>
    <row r="263">
      <c r="F263" s="35" t="str">
        <f t="shared" si="2"/>
        <v/>
      </c>
    </row>
    <row r="264">
      <c r="F264" s="35" t="str">
        <f t="shared" si="2"/>
        <v/>
      </c>
    </row>
    <row r="265">
      <c r="F265" s="35" t="str">
        <f t="shared" si="2"/>
        <v/>
      </c>
    </row>
    <row r="266">
      <c r="F266" s="35" t="str">
        <f t="shared" si="2"/>
        <v/>
      </c>
    </row>
    <row r="267">
      <c r="F267" s="35" t="str">
        <f t="shared" si="2"/>
        <v/>
      </c>
    </row>
    <row r="268">
      <c r="F268" s="35" t="str">
        <f t="shared" si="2"/>
        <v/>
      </c>
    </row>
    <row r="269">
      <c r="F269" s="35" t="str">
        <f t="shared" si="2"/>
        <v/>
      </c>
    </row>
    <row r="270">
      <c r="F270" s="35" t="str">
        <f t="shared" si="2"/>
        <v/>
      </c>
    </row>
    <row r="271">
      <c r="F271" s="35" t="str">
        <f t="shared" si="2"/>
        <v/>
      </c>
    </row>
    <row r="272">
      <c r="F272" s="35" t="str">
        <f t="shared" si="2"/>
        <v/>
      </c>
    </row>
    <row r="273">
      <c r="F273" s="35" t="str">
        <f t="shared" si="2"/>
        <v/>
      </c>
    </row>
    <row r="274">
      <c r="F274" s="35" t="str">
        <f t="shared" si="2"/>
        <v/>
      </c>
    </row>
    <row r="275">
      <c r="F275" s="35" t="str">
        <f t="shared" si="2"/>
        <v/>
      </c>
    </row>
    <row r="276">
      <c r="F276" s="35" t="str">
        <f t="shared" si="2"/>
        <v/>
      </c>
    </row>
    <row r="277">
      <c r="F277" s="35" t="str">
        <f t="shared" si="2"/>
        <v/>
      </c>
    </row>
    <row r="278">
      <c r="F278" s="35" t="str">
        <f t="shared" si="2"/>
        <v/>
      </c>
    </row>
    <row r="279">
      <c r="F279" s="35" t="str">
        <f t="shared" si="2"/>
        <v/>
      </c>
    </row>
    <row r="280">
      <c r="F280" s="35" t="str">
        <f t="shared" si="2"/>
        <v/>
      </c>
    </row>
    <row r="281">
      <c r="F281" s="35" t="str">
        <f t="shared" si="2"/>
        <v/>
      </c>
    </row>
    <row r="282">
      <c r="F282" s="35" t="str">
        <f t="shared" si="2"/>
        <v/>
      </c>
    </row>
    <row r="283">
      <c r="F283" s="35" t="str">
        <f t="shared" si="2"/>
        <v/>
      </c>
    </row>
    <row r="284">
      <c r="F284" s="35" t="str">
        <f t="shared" si="2"/>
        <v/>
      </c>
    </row>
    <row r="285">
      <c r="F285" s="35" t="str">
        <f t="shared" si="2"/>
        <v/>
      </c>
    </row>
    <row r="286">
      <c r="F286" s="35" t="str">
        <f t="shared" si="2"/>
        <v/>
      </c>
    </row>
    <row r="287">
      <c r="F287" s="35" t="str">
        <f t="shared" si="2"/>
        <v/>
      </c>
    </row>
    <row r="288">
      <c r="F288" s="35" t="str">
        <f t="shared" si="2"/>
        <v/>
      </c>
    </row>
    <row r="289">
      <c r="F289" s="35" t="str">
        <f t="shared" si="2"/>
        <v/>
      </c>
    </row>
    <row r="290">
      <c r="F290" s="35" t="str">
        <f t="shared" si="2"/>
        <v/>
      </c>
    </row>
    <row r="291">
      <c r="F291" s="35" t="str">
        <f t="shared" si="2"/>
        <v/>
      </c>
    </row>
    <row r="292">
      <c r="F292" s="35" t="str">
        <f t="shared" si="2"/>
        <v/>
      </c>
    </row>
    <row r="293">
      <c r="F293" s="35" t="str">
        <f t="shared" si="2"/>
        <v/>
      </c>
    </row>
    <row r="294">
      <c r="F294" s="35" t="str">
        <f t="shared" si="2"/>
        <v/>
      </c>
    </row>
    <row r="295">
      <c r="F295" s="35" t="str">
        <f t="shared" si="2"/>
        <v/>
      </c>
    </row>
    <row r="296">
      <c r="F296" s="35" t="str">
        <f t="shared" si="2"/>
        <v/>
      </c>
    </row>
    <row r="297">
      <c r="F297" s="35" t="str">
        <f t="shared" si="2"/>
        <v/>
      </c>
    </row>
    <row r="298">
      <c r="F298" s="35" t="str">
        <f t="shared" si="2"/>
        <v/>
      </c>
    </row>
    <row r="299">
      <c r="F299" s="35" t="str">
        <f t="shared" si="2"/>
        <v/>
      </c>
    </row>
    <row r="300">
      <c r="F300" s="35" t="str">
        <f t="shared" si="2"/>
        <v/>
      </c>
    </row>
    <row r="301">
      <c r="F301" s="35" t="str">
        <f t="shared" si="2"/>
        <v/>
      </c>
    </row>
    <row r="302">
      <c r="F302" s="35" t="str">
        <f t="shared" si="2"/>
        <v/>
      </c>
    </row>
    <row r="303">
      <c r="F303" s="35" t="str">
        <f t="shared" si="2"/>
        <v/>
      </c>
    </row>
    <row r="304">
      <c r="F304" s="35" t="str">
        <f t="shared" si="2"/>
        <v/>
      </c>
    </row>
    <row r="305">
      <c r="F305" s="35" t="str">
        <f t="shared" si="2"/>
        <v/>
      </c>
    </row>
    <row r="306">
      <c r="F306" s="35" t="str">
        <f t="shared" si="2"/>
        <v/>
      </c>
    </row>
    <row r="307">
      <c r="F307" s="35" t="str">
        <f t="shared" si="2"/>
        <v/>
      </c>
    </row>
    <row r="308">
      <c r="F308" s="35" t="str">
        <f t="shared" si="2"/>
        <v/>
      </c>
    </row>
    <row r="309">
      <c r="F309" s="35" t="str">
        <f t="shared" si="2"/>
        <v/>
      </c>
    </row>
    <row r="310">
      <c r="F310" s="35" t="str">
        <f t="shared" si="2"/>
        <v/>
      </c>
    </row>
    <row r="311">
      <c r="F311" s="35" t="str">
        <f t="shared" si="2"/>
        <v/>
      </c>
    </row>
    <row r="312">
      <c r="F312" s="35" t="str">
        <f t="shared" si="2"/>
        <v/>
      </c>
    </row>
    <row r="313">
      <c r="F313" s="35" t="str">
        <f t="shared" si="2"/>
        <v/>
      </c>
    </row>
    <row r="314">
      <c r="F314" s="35" t="str">
        <f t="shared" si="2"/>
        <v/>
      </c>
    </row>
    <row r="315">
      <c r="F315" s="35" t="str">
        <f t="shared" si="2"/>
        <v/>
      </c>
    </row>
    <row r="316">
      <c r="F316" s="35" t="str">
        <f t="shared" si="2"/>
        <v/>
      </c>
    </row>
    <row r="317">
      <c r="F317" s="35" t="str">
        <f t="shared" si="2"/>
        <v/>
      </c>
    </row>
    <row r="318">
      <c r="F318" s="35" t="str">
        <f t="shared" si="2"/>
        <v/>
      </c>
    </row>
    <row r="319">
      <c r="F319" s="35" t="str">
        <f t="shared" si="2"/>
        <v/>
      </c>
    </row>
    <row r="320">
      <c r="F320" s="35" t="str">
        <f t="shared" si="2"/>
        <v/>
      </c>
    </row>
    <row r="321">
      <c r="F321" s="35" t="str">
        <f t="shared" si="2"/>
        <v/>
      </c>
    </row>
    <row r="322">
      <c r="F322" s="35" t="str">
        <f t="shared" si="2"/>
        <v/>
      </c>
    </row>
    <row r="323">
      <c r="F323" s="35" t="str">
        <f t="shared" si="2"/>
        <v/>
      </c>
    </row>
    <row r="324">
      <c r="F324" s="35" t="str">
        <f t="shared" si="2"/>
        <v/>
      </c>
    </row>
    <row r="325">
      <c r="F325" s="35" t="str">
        <f t="shared" si="2"/>
        <v/>
      </c>
    </row>
    <row r="326">
      <c r="F326" s="35" t="str">
        <f t="shared" si="2"/>
        <v/>
      </c>
    </row>
    <row r="327">
      <c r="F327" s="35" t="str">
        <f t="shared" si="2"/>
        <v/>
      </c>
    </row>
    <row r="328">
      <c r="F328" s="35" t="str">
        <f t="shared" si="2"/>
        <v/>
      </c>
    </row>
    <row r="329">
      <c r="F329" s="35" t="str">
        <f t="shared" si="2"/>
        <v/>
      </c>
    </row>
    <row r="330">
      <c r="F330" s="35" t="str">
        <f t="shared" si="2"/>
        <v/>
      </c>
    </row>
    <row r="331">
      <c r="F331" s="35" t="str">
        <f t="shared" si="2"/>
        <v/>
      </c>
    </row>
    <row r="332">
      <c r="F332" s="35" t="str">
        <f t="shared" si="2"/>
        <v/>
      </c>
    </row>
    <row r="333">
      <c r="F333" s="35" t="str">
        <f t="shared" si="2"/>
        <v/>
      </c>
    </row>
    <row r="334">
      <c r="F334" s="35" t="str">
        <f t="shared" si="2"/>
        <v/>
      </c>
    </row>
    <row r="335">
      <c r="F335" s="35" t="str">
        <f t="shared" si="2"/>
        <v/>
      </c>
    </row>
    <row r="336">
      <c r="F336" s="35" t="str">
        <f t="shared" si="2"/>
        <v/>
      </c>
    </row>
    <row r="337">
      <c r="F337" s="35" t="str">
        <f t="shared" si="2"/>
        <v/>
      </c>
    </row>
    <row r="338">
      <c r="F338" s="35" t="str">
        <f t="shared" si="2"/>
        <v/>
      </c>
    </row>
    <row r="339">
      <c r="F339" s="35" t="str">
        <f t="shared" si="2"/>
        <v/>
      </c>
    </row>
    <row r="340">
      <c r="F340" s="35" t="str">
        <f t="shared" si="2"/>
        <v/>
      </c>
    </row>
    <row r="341">
      <c r="F341" s="35" t="str">
        <f t="shared" si="2"/>
        <v/>
      </c>
    </row>
    <row r="342">
      <c r="F342" s="35" t="str">
        <f t="shared" si="2"/>
        <v/>
      </c>
    </row>
    <row r="343">
      <c r="F343" s="35" t="str">
        <f t="shared" si="2"/>
        <v/>
      </c>
    </row>
    <row r="344">
      <c r="F344" s="35" t="str">
        <f t="shared" si="2"/>
        <v/>
      </c>
    </row>
    <row r="345">
      <c r="F345" s="35" t="str">
        <f t="shared" si="2"/>
        <v/>
      </c>
    </row>
    <row r="346">
      <c r="F346" s="35" t="str">
        <f t="shared" si="2"/>
        <v/>
      </c>
    </row>
    <row r="347">
      <c r="F347" s="35" t="str">
        <f t="shared" si="2"/>
        <v/>
      </c>
    </row>
    <row r="348">
      <c r="F348" s="35" t="str">
        <f t="shared" si="2"/>
        <v/>
      </c>
    </row>
    <row r="349">
      <c r="F349" s="35" t="str">
        <f t="shared" si="2"/>
        <v/>
      </c>
    </row>
    <row r="350">
      <c r="F350" s="35" t="str">
        <f t="shared" si="2"/>
        <v/>
      </c>
    </row>
    <row r="351">
      <c r="F351" s="35" t="str">
        <f t="shared" si="2"/>
        <v/>
      </c>
    </row>
    <row r="352">
      <c r="F352" s="35" t="str">
        <f t="shared" si="2"/>
        <v/>
      </c>
    </row>
    <row r="353">
      <c r="F353" s="35" t="str">
        <f t="shared" si="2"/>
        <v/>
      </c>
    </row>
    <row r="354">
      <c r="F354" s="35" t="str">
        <f t="shared" si="2"/>
        <v/>
      </c>
    </row>
    <row r="355">
      <c r="F355" s="35" t="str">
        <f t="shared" si="2"/>
        <v/>
      </c>
    </row>
    <row r="356">
      <c r="F356" s="35" t="str">
        <f t="shared" si="2"/>
        <v/>
      </c>
    </row>
    <row r="357">
      <c r="F357" s="35" t="str">
        <f t="shared" si="2"/>
        <v/>
      </c>
    </row>
    <row r="358">
      <c r="F358" s="35" t="str">
        <f t="shared" si="2"/>
        <v/>
      </c>
    </row>
    <row r="359">
      <c r="F359" s="35" t="str">
        <f t="shared" si="2"/>
        <v/>
      </c>
    </row>
    <row r="360">
      <c r="F360" s="35" t="str">
        <f t="shared" si="2"/>
        <v/>
      </c>
    </row>
    <row r="361">
      <c r="F361" s="35" t="str">
        <f t="shared" si="2"/>
        <v/>
      </c>
    </row>
    <row r="362">
      <c r="F362" s="35" t="str">
        <f t="shared" si="2"/>
        <v/>
      </c>
    </row>
    <row r="363">
      <c r="F363" s="35" t="str">
        <f t="shared" si="2"/>
        <v/>
      </c>
    </row>
    <row r="364">
      <c r="F364" s="35" t="str">
        <f t="shared" si="2"/>
        <v/>
      </c>
    </row>
    <row r="365">
      <c r="F365" s="35" t="str">
        <f t="shared" si="2"/>
        <v/>
      </c>
    </row>
    <row r="366">
      <c r="F366" s="35" t="str">
        <f t="shared" si="2"/>
        <v/>
      </c>
    </row>
    <row r="367">
      <c r="F367" s="35" t="str">
        <f t="shared" si="2"/>
        <v/>
      </c>
    </row>
    <row r="368">
      <c r="F368" s="35" t="str">
        <f t="shared" si="2"/>
        <v/>
      </c>
    </row>
    <row r="369">
      <c r="F369" s="35" t="str">
        <f t="shared" si="2"/>
        <v/>
      </c>
    </row>
    <row r="370">
      <c r="F370" s="35" t="str">
        <f t="shared" si="2"/>
        <v/>
      </c>
    </row>
    <row r="371">
      <c r="F371" s="35" t="str">
        <f t="shared" si="2"/>
        <v/>
      </c>
    </row>
    <row r="372">
      <c r="F372" s="35" t="str">
        <f t="shared" si="2"/>
        <v/>
      </c>
    </row>
    <row r="373">
      <c r="F373" s="35" t="str">
        <f t="shared" si="2"/>
        <v/>
      </c>
    </row>
    <row r="374">
      <c r="F374" s="35" t="str">
        <f t="shared" si="2"/>
        <v/>
      </c>
    </row>
    <row r="375">
      <c r="F375" s="35" t="str">
        <f t="shared" si="2"/>
        <v/>
      </c>
    </row>
    <row r="376">
      <c r="F376" s="35" t="str">
        <f t="shared" si="2"/>
        <v/>
      </c>
    </row>
    <row r="377">
      <c r="F377" s="35" t="str">
        <f t="shared" si="2"/>
        <v/>
      </c>
    </row>
    <row r="378">
      <c r="F378" s="35" t="str">
        <f t="shared" si="2"/>
        <v/>
      </c>
    </row>
    <row r="379">
      <c r="F379" s="35" t="str">
        <f t="shared" si="2"/>
        <v/>
      </c>
    </row>
    <row r="380">
      <c r="F380" s="35" t="str">
        <f t="shared" si="2"/>
        <v/>
      </c>
    </row>
    <row r="381">
      <c r="F381" s="35" t="str">
        <f t="shared" si="2"/>
        <v/>
      </c>
    </row>
    <row r="382">
      <c r="F382" s="35" t="str">
        <f t="shared" si="2"/>
        <v/>
      </c>
    </row>
    <row r="383">
      <c r="F383" s="35" t="str">
        <f t="shared" si="2"/>
        <v/>
      </c>
    </row>
    <row r="384">
      <c r="F384" s="35" t="str">
        <f t="shared" si="2"/>
        <v/>
      </c>
    </row>
    <row r="385">
      <c r="F385" s="35" t="str">
        <f t="shared" si="2"/>
        <v/>
      </c>
    </row>
    <row r="386">
      <c r="F386" s="35" t="str">
        <f t="shared" si="2"/>
        <v/>
      </c>
    </row>
    <row r="387">
      <c r="F387" s="35" t="str">
        <f t="shared" si="2"/>
        <v/>
      </c>
    </row>
    <row r="388">
      <c r="F388" s="35" t="str">
        <f t="shared" si="2"/>
        <v/>
      </c>
    </row>
    <row r="389">
      <c r="F389" s="35" t="str">
        <f t="shared" si="2"/>
        <v/>
      </c>
    </row>
    <row r="390">
      <c r="F390" s="35" t="str">
        <f t="shared" si="2"/>
        <v/>
      </c>
    </row>
    <row r="391">
      <c r="F391" s="35" t="str">
        <f t="shared" si="2"/>
        <v/>
      </c>
    </row>
    <row r="392">
      <c r="F392" s="35" t="str">
        <f t="shared" si="2"/>
        <v/>
      </c>
    </row>
    <row r="393">
      <c r="F393" s="35" t="str">
        <f t="shared" si="2"/>
        <v/>
      </c>
    </row>
    <row r="394">
      <c r="F394" s="35" t="str">
        <f t="shared" si="2"/>
        <v/>
      </c>
    </row>
    <row r="395">
      <c r="F395" s="35" t="str">
        <f t="shared" si="2"/>
        <v/>
      </c>
    </row>
    <row r="396">
      <c r="F396" s="35" t="str">
        <f t="shared" si="2"/>
        <v/>
      </c>
    </row>
    <row r="397">
      <c r="F397" s="35" t="str">
        <f t="shared" si="2"/>
        <v/>
      </c>
    </row>
    <row r="398">
      <c r="F398" s="35" t="str">
        <f t="shared" si="2"/>
        <v/>
      </c>
    </row>
    <row r="399">
      <c r="F399" s="35" t="str">
        <f t="shared" si="2"/>
        <v/>
      </c>
    </row>
    <row r="400">
      <c r="F400" s="35" t="str">
        <f t="shared" si="2"/>
        <v/>
      </c>
    </row>
    <row r="401">
      <c r="F401" s="35" t="str">
        <f t="shared" si="2"/>
        <v/>
      </c>
    </row>
    <row r="402">
      <c r="F402" s="35" t="str">
        <f t="shared" si="2"/>
        <v/>
      </c>
    </row>
    <row r="403">
      <c r="F403" s="35" t="str">
        <f t="shared" si="2"/>
        <v/>
      </c>
    </row>
    <row r="404">
      <c r="F404" s="35" t="str">
        <f t="shared" si="2"/>
        <v/>
      </c>
    </row>
    <row r="405">
      <c r="F405" s="35" t="str">
        <f t="shared" si="2"/>
        <v/>
      </c>
    </row>
    <row r="406">
      <c r="F406" s="35" t="str">
        <f t="shared" si="2"/>
        <v/>
      </c>
    </row>
    <row r="407">
      <c r="F407" s="35" t="str">
        <f t="shared" si="2"/>
        <v/>
      </c>
    </row>
    <row r="408">
      <c r="F408" s="35" t="str">
        <f t="shared" si="2"/>
        <v/>
      </c>
    </row>
    <row r="409">
      <c r="F409" s="35" t="str">
        <f t="shared" si="2"/>
        <v/>
      </c>
    </row>
    <row r="410">
      <c r="F410" s="35" t="str">
        <f t="shared" si="2"/>
        <v/>
      </c>
    </row>
    <row r="411">
      <c r="F411" s="35" t="str">
        <f t="shared" si="2"/>
        <v/>
      </c>
    </row>
    <row r="412">
      <c r="F412" s="35" t="str">
        <f t="shared" si="2"/>
        <v/>
      </c>
    </row>
    <row r="413">
      <c r="F413" s="35" t="str">
        <f t="shared" si="2"/>
        <v/>
      </c>
    </row>
    <row r="414">
      <c r="F414" s="35" t="str">
        <f t="shared" si="2"/>
        <v/>
      </c>
    </row>
    <row r="415">
      <c r="F415" s="35" t="str">
        <f t="shared" si="2"/>
        <v/>
      </c>
    </row>
    <row r="416">
      <c r="F416" s="35" t="str">
        <f t="shared" si="2"/>
        <v/>
      </c>
    </row>
    <row r="417">
      <c r="F417" s="35" t="str">
        <f t="shared" si="2"/>
        <v/>
      </c>
    </row>
    <row r="418">
      <c r="F418" s="35" t="str">
        <f t="shared" si="2"/>
        <v/>
      </c>
    </row>
    <row r="419">
      <c r="F419" s="35" t="str">
        <f t="shared" si="2"/>
        <v/>
      </c>
    </row>
    <row r="420">
      <c r="F420" s="35" t="str">
        <f t="shared" si="2"/>
        <v/>
      </c>
    </row>
    <row r="421">
      <c r="F421" s="35" t="str">
        <f t="shared" si="2"/>
        <v/>
      </c>
    </row>
    <row r="422">
      <c r="F422" s="35" t="str">
        <f t="shared" si="2"/>
        <v/>
      </c>
    </row>
    <row r="423">
      <c r="F423" s="35" t="str">
        <f t="shared" si="2"/>
        <v/>
      </c>
    </row>
    <row r="424">
      <c r="F424" s="35" t="str">
        <f t="shared" si="2"/>
        <v/>
      </c>
    </row>
    <row r="425">
      <c r="F425" s="35" t="str">
        <f t="shared" si="2"/>
        <v/>
      </c>
    </row>
    <row r="426">
      <c r="F426" s="35" t="str">
        <f t="shared" si="2"/>
        <v/>
      </c>
    </row>
    <row r="427">
      <c r="F427" s="35" t="str">
        <f t="shared" si="2"/>
        <v/>
      </c>
    </row>
    <row r="428">
      <c r="F428" s="35" t="str">
        <f t="shared" si="2"/>
        <v/>
      </c>
    </row>
    <row r="429">
      <c r="F429" s="35" t="str">
        <f t="shared" si="2"/>
        <v/>
      </c>
    </row>
    <row r="430">
      <c r="F430" s="35" t="str">
        <f t="shared" si="2"/>
        <v/>
      </c>
    </row>
    <row r="431">
      <c r="F431" s="35" t="str">
        <f t="shared" si="2"/>
        <v/>
      </c>
    </row>
    <row r="432">
      <c r="F432" s="35" t="str">
        <f t="shared" si="2"/>
        <v/>
      </c>
    </row>
    <row r="433">
      <c r="F433" s="35" t="str">
        <f t="shared" si="2"/>
        <v/>
      </c>
    </row>
    <row r="434">
      <c r="F434" s="35" t="str">
        <f t="shared" si="2"/>
        <v/>
      </c>
    </row>
    <row r="435">
      <c r="F435" s="35" t="str">
        <f t="shared" si="2"/>
        <v/>
      </c>
    </row>
    <row r="436">
      <c r="F436" s="35" t="str">
        <f t="shared" si="2"/>
        <v/>
      </c>
    </row>
    <row r="437">
      <c r="F437" s="35" t="str">
        <f t="shared" si="2"/>
        <v/>
      </c>
    </row>
    <row r="438">
      <c r="F438" s="35" t="str">
        <f t="shared" si="2"/>
        <v/>
      </c>
    </row>
    <row r="439">
      <c r="F439" s="35" t="str">
        <f t="shared" si="2"/>
        <v/>
      </c>
    </row>
    <row r="440">
      <c r="F440" s="35" t="str">
        <f t="shared" si="2"/>
        <v/>
      </c>
    </row>
    <row r="441">
      <c r="F441" s="35" t="str">
        <f t="shared" si="2"/>
        <v/>
      </c>
    </row>
    <row r="442">
      <c r="F442" s="35" t="str">
        <f t="shared" si="2"/>
        <v/>
      </c>
    </row>
    <row r="443">
      <c r="F443" s="35" t="str">
        <f t="shared" si="2"/>
        <v/>
      </c>
    </row>
    <row r="444">
      <c r="F444" s="35" t="str">
        <f t="shared" si="2"/>
        <v/>
      </c>
    </row>
    <row r="445">
      <c r="F445" s="35" t="str">
        <f t="shared" si="2"/>
        <v/>
      </c>
    </row>
    <row r="446">
      <c r="F446" s="35" t="str">
        <f t="shared" si="2"/>
        <v/>
      </c>
    </row>
    <row r="447">
      <c r="F447" s="35" t="str">
        <f t="shared" si="2"/>
        <v/>
      </c>
    </row>
    <row r="448">
      <c r="F448" s="35" t="str">
        <f t="shared" si="2"/>
        <v/>
      </c>
    </row>
    <row r="449">
      <c r="F449" s="35" t="str">
        <f t="shared" si="2"/>
        <v/>
      </c>
    </row>
    <row r="450">
      <c r="F450" s="35" t="str">
        <f t="shared" si="2"/>
        <v/>
      </c>
    </row>
    <row r="451">
      <c r="F451" s="35" t="str">
        <f t="shared" si="2"/>
        <v/>
      </c>
    </row>
    <row r="452">
      <c r="F452" s="35" t="str">
        <f t="shared" si="2"/>
        <v/>
      </c>
    </row>
    <row r="453">
      <c r="F453" s="35" t="str">
        <f t="shared" si="2"/>
        <v/>
      </c>
    </row>
    <row r="454">
      <c r="F454" s="35" t="str">
        <f t="shared" si="2"/>
        <v/>
      </c>
    </row>
    <row r="455">
      <c r="F455" s="35" t="str">
        <f t="shared" si="2"/>
        <v/>
      </c>
    </row>
    <row r="456">
      <c r="F456" s="35" t="str">
        <f t="shared" si="2"/>
        <v/>
      </c>
    </row>
    <row r="457">
      <c r="F457" s="35" t="str">
        <f t="shared" si="2"/>
        <v/>
      </c>
    </row>
    <row r="458">
      <c r="F458" s="35" t="str">
        <f t="shared" si="2"/>
        <v/>
      </c>
    </row>
    <row r="459">
      <c r="F459" s="35" t="str">
        <f t="shared" si="2"/>
        <v/>
      </c>
    </row>
    <row r="460">
      <c r="F460" s="35" t="str">
        <f t="shared" si="2"/>
        <v/>
      </c>
    </row>
    <row r="461">
      <c r="F461" s="35" t="str">
        <f t="shared" si="2"/>
        <v/>
      </c>
    </row>
    <row r="462">
      <c r="F462" s="35" t="str">
        <f t="shared" si="2"/>
        <v/>
      </c>
    </row>
    <row r="463">
      <c r="F463" s="35" t="str">
        <f t="shared" si="2"/>
        <v/>
      </c>
    </row>
    <row r="464">
      <c r="F464" s="35" t="str">
        <f t="shared" si="2"/>
        <v/>
      </c>
    </row>
    <row r="465">
      <c r="F465" s="35" t="str">
        <f t="shared" si="2"/>
        <v/>
      </c>
    </row>
    <row r="466">
      <c r="F466" s="35" t="str">
        <f t="shared" si="2"/>
        <v/>
      </c>
    </row>
    <row r="467">
      <c r="F467" s="35" t="str">
        <f t="shared" si="2"/>
        <v/>
      </c>
    </row>
    <row r="468">
      <c r="F468" s="35" t="str">
        <f t="shared" si="2"/>
        <v/>
      </c>
    </row>
    <row r="469">
      <c r="F469" s="35" t="str">
        <f t="shared" si="2"/>
        <v/>
      </c>
    </row>
    <row r="470">
      <c r="F470" s="35" t="str">
        <f t="shared" si="2"/>
        <v/>
      </c>
    </row>
    <row r="471">
      <c r="F471" s="35" t="str">
        <f t="shared" si="2"/>
        <v/>
      </c>
    </row>
    <row r="472">
      <c r="F472" s="35" t="str">
        <f t="shared" si="2"/>
        <v/>
      </c>
    </row>
    <row r="473">
      <c r="F473" s="35" t="str">
        <f t="shared" si="2"/>
        <v/>
      </c>
    </row>
    <row r="474">
      <c r="F474" s="35" t="str">
        <f t="shared" si="2"/>
        <v/>
      </c>
    </row>
    <row r="475">
      <c r="F475" s="35" t="str">
        <f t="shared" si="2"/>
        <v/>
      </c>
    </row>
    <row r="476">
      <c r="F476" s="35" t="str">
        <f t="shared" si="2"/>
        <v/>
      </c>
    </row>
    <row r="477">
      <c r="F477" s="35" t="str">
        <f t="shared" si="2"/>
        <v/>
      </c>
    </row>
    <row r="478">
      <c r="F478" s="35" t="str">
        <f t="shared" si="2"/>
        <v/>
      </c>
    </row>
    <row r="479">
      <c r="F479" s="35" t="str">
        <f t="shared" si="2"/>
        <v/>
      </c>
    </row>
    <row r="480">
      <c r="F480" s="35" t="str">
        <f t="shared" si="2"/>
        <v/>
      </c>
    </row>
    <row r="481">
      <c r="F481" s="35" t="str">
        <f t="shared" si="2"/>
        <v/>
      </c>
    </row>
    <row r="482">
      <c r="F482" s="35" t="str">
        <f t="shared" si="2"/>
        <v/>
      </c>
    </row>
    <row r="483">
      <c r="F483" s="35" t="str">
        <f t="shared" si="2"/>
        <v/>
      </c>
    </row>
    <row r="484">
      <c r="F484" s="35" t="str">
        <f t="shared" si="2"/>
        <v/>
      </c>
    </row>
    <row r="485">
      <c r="F485" s="35" t="str">
        <f t="shared" si="2"/>
        <v/>
      </c>
    </row>
    <row r="486">
      <c r="F486" s="35" t="str">
        <f t="shared" si="2"/>
        <v/>
      </c>
    </row>
    <row r="487">
      <c r="F487" s="35" t="str">
        <f t="shared" si="2"/>
        <v/>
      </c>
    </row>
    <row r="488">
      <c r="F488" s="35" t="str">
        <f t="shared" si="2"/>
        <v/>
      </c>
    </row>
    <row r="489">
      <c r="F489" s="35" t="str">
        <f t="shared" si="2"/>
        <v/>
      </c>
    </row>
    <row r="490">
      <c r="F490" s="35" t="str">
        <f t="shared" si="2"/>
        <v/>
      </c>
    </row>
    <row r="491">
      <c r="F491" s="35" t="str">
        <f t="shared" si="2"/>
        <v/>
      </c>
    </row>
    <row r="492">
      <c r="F492" s="35" t="str">
        <f t="shared" si="2"/>
        <v/>
      </c>
    </row>
    <row r="493">
      <c r="F493" s="35" t="str">
        <f t="shared" si="2"/>
        <v/>
      </c>
    </row>
    <row r="494">
      <c r="F494" s="35" t="str">
        <f t="shared" si="2"/>
        <v/>
      </c>
    </row>
    <row r="495">
      <c r="F495" s="35" t="str">
        <f t="shared" si="2"/>
        <v/>
      </c>
    </row>
    <row r="496">
      <c r="F496" s="35" t="str">
        <f t="shared" si="2"/>
        <v/>
      </c>
    </row>
    <row r="497">
      <c r="F497" s="35" t="str">
        <f t="shared" si="2"/>
        <v/>
      </c>
    </row>
    <row r="498">
      <c r="F498" s="35" t="str">
        <f t="shared" si="2"/>
        <v/>
      </c>
    </row>
    <row r="499">
      <c r="F499" s="35" t="str">
        <f t="shared" si="2"/>
        <v/>
      </c>
    </row>
    <row r="500">
      <c r="F500" s="35" t="str">
        <f t="shared" si="2"/>
        <v/>
      </c>
    </row>
    <row r="501">
      <c r="F501" s="35" t="str">
        <f t="shared" si="2"/>
        <v/>
      </c>
    </row>
    <row r="502">
      <c r="F502" s="35" t="str">
        <f t="shared" si="2"/>
        <v/>
      </c>
    </row>
    <row r="503">
      <c r="F503" s="35" t="str">
        <f t="shared" si="2"/>
        <v/>
      </c>
    </row>
    <row r="504">
      <c r="F504" s="35" t="str">
        <f t="shared" si="2"/>
        <v/>
      </c>
    </row>
    <row r="505">
      <c r="F505" s="35" t="str">
        <f t="shared" si="2"/>
        <v/>
      </c>
    </row>
    <row r="506">
      <c r="F506" s="35" t="str">
        <f t="shared" si="2"/>
        <v/>
      </c>
    </row>
    <row r="507">
      <c r="F507" s="35" t="str">
        <f t="shared" si="2"/>
        <v/>
      </c>
    </row>
    <row r="508">
      <c r="F508" s="35" t="str">
        <f t="shared" si="2"/>
        <v/>
      </c>
    </row>
    <row r="509">
      <c r="F509" s="35" t="str">
        <f t="shared" si="2"/>
        <v/>
      </c>
    </row>
    <row r="510">
      <c r="F510" s="35" t="str">
        <f t="shared" si="2"/>
        <v/>
      </c>
    </row>
    <row r="511">
      <c r="F511" s="35" t="str">
        <f t="shared" si="2"/>
        <v/>
      </c>
    </row>
    <row r="512">
      <c r="F512" s="35" t="str">
        <f t="shared" si="2"/>
        <v/>
      </c>
    </row>
    <row r="513">
      <c r="F513" s="35" t="str">
        <f t="shared" si="2"/>
        <v/>
      </c>
    </row>
    <row r="514">
      <c r="F514" s="35" t="str">
        <f t="shared" si="2"/>
        <v/>
      </c>
    </row>
    <row r="515">
      <c r="F515" s="35" t="str">
        <f t="shared" si="2"/>
        <v/>
      </c>
    </row>
    <row r="516">
      <c r="F516" s="35" t="str">
        <f t="shared" si="2"/>
        <v/>
      </c>
    </row>
    <row r="517">
      <c r="F517" s="35" t="str">
        <f t="shared" si="2"/>
        <v/>
      </c>
    </row>
    <row r="518">
      <c r="F518" s="35" t="str">
        <f t="shared" si="2"/>
        <v/>
      </c>
    </row>
    <row r="519">
      <c r="F519" s="35" t="str">
        <f t="shared" si="2"/>
        <v/>
      </c>
    </row>
    <row r="520">
      <c r="F520" s="35" t="str">
        <f t="shared" si="2"/>
        <v/>
      </c>
    </row>
    <row r="521">
      <c r="F521" s="35" t="str">
        <f t="shared" si="2"/>
        <v/>
      </c>
    </row>
    <row r="522">
      <c r="F522" s="35" t="str">
        <f t="shared" si="2"/>
        <v/>
      </c>
    </row>
    <row r="523">
      <c r="F523" s="35" t="str">
        <f t="shared" si="2"/>
        <v/>
      </c>
    </row>
    <row r="524">
      <c r="F524" s="35" t="str">
        <f t="shared" si="2"/>
        <v/>
      </c>
    </row>
    <row r="525">
      <c r="F525" s="35" t="str">
        <f t="shared" si="2"/>
        <v/>
      </c>
    </row>
    <row r="526">
      <c r="F526" s="35" t="str">
        <f t="shared" si="2"/>
        <v/>
      </c>
    </row>
    <row r="527">
      <c r="F527" s="35" t="str">
        <f t="shared" si="2"/>
        <v/>
      </c>
    </row>
    <row r="528">
      <c r="F528" s="35" t="str">
        <f t="shared" si="2"/>
        <v/>
      </c>
    </row>
    <row r="529">
      <c r="F529" s="35" t="str">
        <f t="shared" si="2"/>
        <v/>
      </c>
    </row>
    <row r="530">
      <c r="F530" s="35" t="str">
        <f t="shared" si="2"/>
        <v/>
      </c>
    </row>
    <row r="531">
      <c r="F531" s="35" t="str">
        <f t="shared" si="2"/>
        <v/>
      </c>
    </row>
    <row r="532">
      <c r="F532" s="35" t="str">
        <f t="shared" si="2"/>
        <v/>
      </c>
    </row>
    <row r="533">
      <c r="F533" s="35" t="str">
        <f t="shared" si="2"/>
        <v/>
      </c>
    </row>
    <row r="534">
      <c r="F534" s="35" t="str">
        <f t="shared" si="2"/>
        <v/>
      </c>
    </row>
    <row r="535">
      <c r="F535" s="35" t="str">
        <f t="shared" si="2"/>
        <v/>
      </c>
    </row>
    <row r="536">
      <c r="F536" s="35" t="str">
        <f t="shared" si="2"/>
        <v/>
      </c>
    </row>
    <row r="537">
      <c r="F537" s="35" t="str">
        <f t="shared" si="2"/>
        <v/>
      </c>
    </row>
    <row r="538">
      <c r="F538" s="35" t="str">
        <f t="shared" si="2"/>
        <v/>
      </c>
    </row>
    <row r="539">
      <c r="F539" s="35" t="str">
        <f t="shared" si="2"/>
        <v/>
      </c>
    </row>
    <row r="540">
      <c r="F540" s="35" t="str">
        <f t="shared" si="2"/>
        <v/>
      </c>
    </row>
    <row r="541">
      <c r="F541" s="35" t="str">
        <f t="shared" si="2"/>
        <v/>
      </c>
    </row>
    <row r="542">
      <c r="F542" s="35" t="str">
        <f t="shared" si="2"/>
        <v/>
      </c>
    </row>
    <row r="543">
      <c r="F543" s="35" t="str">
        <f t="shared" si="2"/>
        <v/>
      </c>
    </row>
    <row r="544">
      <c r="F544" s="35" t="str">
        <f t="shared" si="2"/>
        <v/>
      </c>
    </row>
    <row r="545">
      <c r="F545" s="35" t="str">
        <f t="shared" si="2"/>
        <v/>
      </c>
    </row>
    <row r="546">
      <c r="F546" s="35" t="str">
        <f t="shared" si="2"/>
        <v/>
      </c>
    </row>
    <row r="547">
      <c r="F547" s="35" t="str">
        <f t="shared" si="2"/>
        <v/>
      </c>
    </row>
    <row r="548">
      <c r="F548" s="35" t="str">
        <f t="shared" si="2"/>
        <v/>
      </c>
    </row>
    <row r="549">
      <c r="F549" s="35" t="str">
        <f t="shared" si="2"/>
        <v/>
      </c>
    </row>
    <row r="550">
      <c r="F550" s="35" t="str">
        <f t="shared" si="2"/>
        <v/>
      </c>
    </row>
    <row r="551">
      <c r="F551" s="35" t="str">
        <f t="shared" si="2"/>
        <v/>
      </c>
    </row>
    <row r="552">
      <c r="F552" s="35" t="str">
        <f t="shared" si="2"/>
        <v/>
      </c>
    </row>
    <row r="553">
      <c r="F553" s="35" t="str">
        <f t="shared" si="2"/>
        <v/>
      </c>
    </row>
    <row r="554">
      <c r="F554" s="35" t="str">
        <f t="shared" si="2"/>
        <v/>
      </c>
    </row>
    <row r="555">
      <c r="F555" s="35" t="str">
        <f t="shared" si="2"/>
        <v/>
      </c>
    </row>
    <row r="556">
      <c r="F556" s="35" t="str">
        <f t="shared" si="2"/>
        <v/>
      </c>
    </row>
    <row r="557">
      <c r="F557" s="35" t="str">
        <f t="shared" si="2"/>
        <v/>
      </c>
    </row>
    <row r="558">
      <c r="F558" s="35" t="str">
        <f t="shared" si="2"/>
        <v/>
      </c>
    </row>
    <row r="559">
      <c r="F559" s="35" t="str">
        <f t="shared" si="2"/>
        <v/>
      </c>
    </row>
    <row r="560">
      <c r="F560" s="35" t="str">
        <f t="shared" si="2"/>
        <v/>
      </c>
    </row>
    <row r="561">
      <c r="F561" s="35" t="str">
        <f t="shared" si="2"/>
        <v/>
      </c>
    </row>
    <row r="562">
      <c r="F562" s="35" t="str">
        <f t="shared" si="2"/>
        <v/>
      </c>
    </row>
    <row r="563">
      <c r="F563" s="35" t="str">
        <f t="shared" si="2"/>
        <v/>
      </c>
    </row>
    <row r="564">
      <c r="F564" s="35" t="str">
        <f t="shared" si="2"/>
        <v/>
      </c>
    </row>
    <row r="565">
      <c r="F565" s="35" t="str">
        <f t="shared" si="2"/>
        <v/>
      </c>
    </row>
    <row r="566">
      <c r="F566" s="35" t="str">
        <f t="shared" si="2"/>
        <v/>
      </c>
    </row>
    <row r="567">
      <c r="F567" s="35" t="str">
        <f t="shared" si="2"/>
        <v/>
      </c>
    </row>
    <row r="568">
      <c r="F568" s="35" t="str">
        <f t="shared" si="2"/>
        <v/>
      </c>
    </row>
    <row r="569">
      <c r="F569" s="35" t="str">
        <f t="shared" si="2"/>
        <v/>
      </c>
    </row>
    <row r="570">
      <c r="F570" s="35" t="str">
        <f t="shared" si="2"/>
        <v/>
      </c>
    </row>
    <row r="571">
      <c r="F571" s="35" t="str">
        <f t="shared" si="2"/>
        <v/>
      </c>
    </row>
    <row r="572">
      <c r="F572" s="35" t="str">
        <f t="shared" si="2"/>
        <v/>
      </c>
    </row>
    <row r="573">
      <c r="F573" s="35" t="str">
        <f t="shared" si="2"/>
        <v/>
      </c>
    </row>
    <row r="574">
      <c r="F574" s="35" t="str">
        <f t="shared" si="2"/>
        <v/>
      </c>
    </row>
    <row r="575">
      <c r="F575" s="35" t="str">
        <f t="shared" si="2"/>
        <v/>
      </c>
    </row>
    <row r="576">
      <c r="F576" s="35" t="str">
        <f t="shared" si="2"/>
        <v/>
      </c>
    </row>
    <row r="577">
      <c r="F577" s="35" t="str">
        <f t="shared" si="2"/>
        <v/>
      </c>
    </row>
    <row r="578">
      <c r="F578" s="35" t="str">
        <f t="shared" si="2"/>
        <v/>
      </c>
    </row>
    <row r="579">
      <c r="F579" s="35" t="str">
        <f t="shared" si="2"/>
        <v/>
      </c>
    </row>
    <row r="580">
      <c r="F580" s="35" t="str">
        <f t="shared" si="2"/>
        <v/>
      </c>
    </row>
    <row r="581">
      <c r="F581" s="35" t="str">
        <f t="shared" si="2"/>
        <v/>
      </c>
    </row>
    <row r="582">
      <c r="F582" s="35" t="str">
        <f t="shared" si="2"/>
        <v/>
      </c>
    </row>
    <row r="583">
      <c r="F583" s="35" t="str">
        <f t="shared" si="2"/>
        <v/>
      </c>
    </row>
    <row r="584">
      <c r="F584" s="35" t="str">
        <f t="shared" si="2"/>
        <v/>
      </c>
    </row>
    <row r="585">
      <c r="F585" s="35" t="str">
        <f t="shared" si="2"/>
        <v/>
      </c>
    </row>
    <row r="586">
      <c r="F586" s="35" t="str">
        <f t="shared" si="2"/>
        <v/>
      </c>
    </row>
    <row r="587">
      <c r="F587" s="35" t="str">
        <f t="shared" si="2"/>
        <v/>
      </c>
    </row>
    <row r="588">
      <c r="F588" s="35" t="str">
        <f t="shared" si="2"/>
        <v/>
      </c>
    </row>
    <row r="589">
      <c r="F589" s="35" t="str">
        <f t="shared" si="2"/>
        <v/>
      </c>
    </row>
    <row r="590">
      <c r="F590" s="35" t="str">
        <f t="shared" si="2"/>
        <v/>
      </c>
    </row>
    <row r="591">
      <c r="F591" s="35" t="str">
        <f t="shared" si="2"/>
        <v/>
      </c>
    </row>
    <row r="592">
      <c r="F592" s="35" t="str">
        <f t="shared" si="2"/>
        <v/>
      </c>
    </row>
    <row r="593">
      <c r="F593" s="35" t="str">
        <f t="shared" si="2"/>
        <v/>
      </c>
    </row>
    <row r="594">
      <c r="F594" s="35" t="str">
        <f t="shared" si="2"/>
        <v/>
      </c>
    </row>
    <row r="595">
      <c r="F595" s="35" t="str">
        <f t="shared" si="2"/>
        <v/>
      </c>
    </row>
    <row r="596">
      <c r="F596" s="35" t="str">
        <f t="shared" si="2"/>
        <v/>
      </c>
    </row>
    <row r="597">
      <c r="F597" s="35" t="str">
        <f t="shared" si="2"/>
        <v/>
      </c>
    </row>
    <row r="598">
      <c r="F598" s="35" t="str">
        <f t="shared" si="2"/>
        <v/>
      </c>
    </row>
    <row r="599">
      <c r="F599" s="35" t="str">
        <f t="shared" si="2"/>
        <v/>
      </c>
    </row>
    <row r="600">
      <c r="F600" s="35" t="str">
        <f t="shared" si="2"/>
        <v/>
      </c>
    </row>
    <row r="601">
      <c r="F601" s="35" t="str">
        <f t="shared" si="2"/>
        <v/>
      </c>
    </row>
    <row r="602">
      <c r="F602" s="35" t="str">
        <f t="shared" si="2"/>
        <v/>
      </c>
    </row>
    <row r="603">
      <c r="F603" s="35" t="str">
        <f t="shared" si="2"/>
        <v/>
      </c>
    </row>
    <row r="604">
      <c r="F604" s="35" t="str">
        <f t="shared" si="2"/>
        <v/>
      </c>
    </row>
    <row r="605">
      <c r="F605" s="35" t="str">
        <f t="shared" si="2"/>
        <v/>
      </c>
    </row>
    <row r="606">
      <c r="F606" s="35" t="str">
        <f t="shared" si="2"/>
        <v/>
      </c>
    </row>
    <row r="607">
      <c r="F607" s="35" t="str">
        <f t="shared" si="2"/>
        <v/>
      </c>
    </row>
    <row r="608">
      <c r="F608" s="35" t="str">
        <f t="shared" si="2"/>
        <v/>
      </c>
    </row>
    <row r="609">
      <c r="F609" s="35" t="str">
        <f t="shared" si="2"/>
        <v/>
      </c>
    </row>
    <row r="610">
      <c r="F610" s="35" t="str">
        <f t="shared" si="2"/>
        <v/>
      </c>
    </row>
    <row r="611">
      <c r="F611" s="35" t="str">
        <f t="shared" si="2"/>
        <v/>
      </c>
    </row>
    <row r="612">
      <c r="F612" s="35" t="str">
        <f t="shared" si="2"/>
        <v/>
      </c>
    </row>
    <row r="613">
      <c r="F613" s="35" t="str">
        <f t="shared" si="2"/>
        <v/>
      </c>
    </row>
    <row r="614">
      <c r="F614" s="35" t="str">
        <f t="shared" si="2"/>
        <v/>
      </c>
    </row>
    <row r="615">
      <c r="F615" s="35" t="str">
        <f t="shared" si="2"/>
        <v/>
      </c>
    </row>
    <row r="616">
      <c r="F616" s="35" t="str">
        <f t="shared" si="2"/>
        <v/>
      </c>
    </row>
    <row r="617">
      <c r="F617" s="35" t="str">
        <f t="shared" si="2"/>
        <v/>
      </c>
    </row>
    <row r="618">
      <c r="F618" s="35" t="str">
        <f t="shared" si="2"/>
        <v/>
      </c>
    </row>
    <row r="619">
      <c r="F619" s="35" t="str">
        <f t="shared" si="2"/>
        <v/>
      </c>
    </row>
    <row r="620">
      <c r="F620" s="35" t="str">
        <f t="shared" si="2"/>
        <v/>
      </c>
    </row>
    <row r="621">
      <c r="F621" s="35" t="str">
        <f t="shared" si="2"/>
        <v/>
      </c>
    </row>
    <row r="622">
      <c r="F622" s="35" t="str">
        <f t="shared" si="2"/>
        <v/>
      </c>
    </row>
    <row r="623">
      <c r="F623" s="35" t="str">
        <f t="shared" si="2"/>
        <v/>
      </c>
    </row>
    <row r="624">
      <c r="F624" s="35" t="str">
        <f t="shared" si="2"/>
        <v/>
      </c>
    </row>
    <row r="625">
      <c r="F625" s="35" t="str">
        <f t="shared" si="2"/>
        <v/>
      </c>
    </row>
    <row r="626">
      <c r="F626" s="35" t="str">
        <f t="shared" si="2"/>
        <v/>
      </c>
    </row>
    <row r="627">
      <c r="F627" s="35" t="str">
        <f t="shared" si="2"/>
        <v/>
      </c>
    </row>
    <row r="628">
      <c r="F628" s="35" t="str">
        <f t="shared" si="2"/>
        <v/>
      </c>
    </row>
    <row r="629">
      <c r="F629" s="35" t="str">
        <f t="shared" si="2"/>
        <v/>
      </c>
    </row>
    <row r="630">
      <c r="F630" s="35" t="str">
        <f t="shared" si="2"/>
        <v/>
      </c>
    </row>
    <row r="631">
      <c r="F631" s="35" t="str">
        <f t="shared" si="2"/>
        <v/>
      </c>
    </row>
    <row r="632">
      <c r="F632" s="35" t="str">
        <f t="shared" si="2"/>
        <v/>
      </c>
    </row>
    <row r="633">
      <c r="F633" s="35" t="str">
        <f t="shared" si="2"/>
        <v/>
      </c>
    </row>
    <row r="634">
      <c r="F634" s="35" t="str">
        <f t="shared" si="2"/>
        <v/>
      </c>
    </row>
    <row r="635">
      <c r="F635" s="35" t="str">
        <f t="shared" si="2"/>
        <v/>
      </c>
    </row>
    <row r="636">
      <c r="F636" s="35" t="str">
        <f t="shared" si="2"/>
        <v/>
      </c>
    </row>
    <row r="637">
      <c r="F637" s="35" t="str">
        <f t="shared" si="2"/>
        <v/>
      </c>
    </row>
    <row r="638">
      <c r="F638" s="35" t="str">
        <f t="shared" si="2"/>
        <v/>
      </c>
    </row>
    <row r="639">
      <c r="F639" s="35" t="str">
        <f t="shared" si="2"/>
        <v/>
      </c>
    </row>
    <row r="640">
      <c r="F640" s="35" t="str">
        <f t="shared" si="2"/>
        <v/>
      </c>
    </row>
    <row r="641">
      <c r="F641" s="35" t="str">
        <f t="shared" si="2"/>
        <v/>
      </c>
    </row>
    <row r="642">
      <c r="F642" s="35" t="str">
        <f t="shared" si="2"/>
        <v/>
      </c>
    </row>
    <row r="643">
      <c r="F643" s="35" t="str">
        <f t="shared" si="2"/>
        <v/>
      </c>
    </row>
    <row r="644">
      <c r="F644" s="35" t="str">
        <f t="shared" si="2"/>
        <v/>
      </c>
    </row>
    <row r="645">
      <c r="F645" s="35" t="str">
        <f t="shared" si="2"/>
        <v/>
      </c>
    </row>
    <row r="646">
      <c r="F646" s="35" t="str">
        <f t="shared" si="2"/>
        <v/>
      </c>
    </row>
    <row r="647">
      <c r="F647" s="35" t="str">
        <f t="shared" si="2"/>
        <v/>
      </c>
    </row>
    <row r="648">
      <c r="F648" s="35" t="str">
        <f t="shared" si="2"/>
        <v/>
      </c>
    </row>
    <row r="649">
      <c r="F649" s="35" t="str">
        <f t="shared" si="2"/>
        <v/>
      </c>
    </row>
    <row r="650">
      <c r="F650" s="35" t="str">
        <f t="shared" si="2"/>
        <v/>
      </c>
    </row>
    <row r="651">
      <c r="F651" s="35" t="str">
        <f t="shared" si="2"/>
        <v/>
      </c>
    </row>
    <row r="652">
      <c r="F652" s="35" t="str">
        <f t="shared" si="2"/>
        <v/>
      </c>
    </row>
    <row r="653">
      <c r="F653" s="35" t="str">
        <f t="shared" si="2"/>
        <v/>
      </c>
    </row>
    <row r="654">
      <c r="F654" s="35" t="str">
        <f t="shared" si="2"/>
        <v/>
      </c>
    </row>
    <row r="655">
      <c r="F655" s="35" t="str">
        <f t="shared" si="2"/>
        <v/>
      </c>
    </row>
    <row r="656">
      <c r="F656" s="35" t="str">
        <f t="shared" si="2"/>
        <v/>
      </c>
    </row>
    <row r="657">
      <c r="F657" s="35" t="str">
        <f t="shared" si="2"/>
        <v/>
      </c>
    </row>
    <row r="658">
      <c r="F658" s="35" t="str">
        <f t="shared" si="2"/>
        <v/>
      </c>
    </row>
    <row r="659">
      <c r="F659" s="35" t="str">
        <f t="shared" si="2"/>
        <v/>
      </c>
    </row>
    <row r="660">
      <c r="F660" s="35" t="str">
        <f t="shared" si="2"/>
        <v/>
      </c>
    </row>
    <row r="661">
      <c r="F661" s="35" t="str">
        <f t="shared" si="2"/>
        <v/>
      </c>
    </row>
    <row r="662">
      <c r="F662" s="35" t="str">
        <f t="shared" si="2"/>
        <v/>
      </c>
    </row>
    <row r="663">
      <c r="F663" s="35" t="str">
        <f t="shared" si="2"/>
        <v/>
      </c>
    </row>
    <row r="664">
      <c r="F664" s="35" t="str">
        <f t="shared" si="2"/>
        <v/>
      </c>
    </row>
    <row r="665">
      <c r="F665" s="35" t="str">
        <f t="shared" si="2"/>
        <v/>
      </c>
    </row>
    <row r="666">
      <c r="F666" s="35" t="str">
        <f t="shared" si="2"/>
        <v/>
      </c>
    </row>
    <row r="667">
      <c r="F667" s="35" t="str">
        <f t="shared" si="2"/>
        <v/>
      </c>
    </row>
    <row r="668">
      <c r="F668" s="35" t="str">
        <f t="shared" si="2"/>
        <v/>
      </c>
    </row>
    <row r="669">
      <c r="F669" s="35" t="str">
        <f t="shared" si="2"/>
        <v/>
      </c>
    </row>
    <row r="670">
      <c r="F670" s="35" t="str">
        <f t="shared" si="2"/>
        <v/>
      </c>
    </row>
    <row r="671">
      <c r="F671" s="35" t="str">
        <f t="shared" si="2"/>
        <v/>
      </c>
    </row>
    <row r="672">
      <c r="F672" s="35" t="str">
        <f t="shared" si="2"/>
        <v/>
      </c>
    </row>
    <row r="673">
      <c r="F673" s="35" t="str">
        <f t="shared" si="2"/>
        <v/>
      </c>
    </row>
    <row r="674">
      <c r="F674" s="35" t="str">
        <f t="shared" si="2"/>
        <v/>
      </c>
    </row>
    <row r="675">
      <c r="F675" s="35" t="str">
        <f t="shared" si="2"/>
        <v/>
      </c>
    </row>
    <row r="676">
      <c r="F676" s="35" t="str">
        <f t="shared" si="2"/>
        <v/>
      </c>
    </row>
    <row r="677">
      <c r="F677" s="35" t="str">
        <f t="shared" si="2"/>
        <v/>
      </c>
    </row>
    <row r="678">
      <c r="F678" s="35" t="str">
        <f t="shared" si="2"/>
        <v/>
      </c>
    </row>
    <row r="679">
      <c r="F679" s="35" t="str">
        <f t="shared" si="2"/>
        <v/>
      </c>
    </row>
    <row r="680">
      <c r="F680" s="35" t="str">
        <f t="shared" si="2"/>
        <v/>
      </c>
    </row>
    <row r="681">
      <c r="F681" s="35" t="str">
        <f t="shared" si="2"/>
        <v/>
      </c>
    </row>
    <row r="682">
      <c r="F682" s="35" t="str">
        <f t="shared" si="2"/>
        <v/>
      </c>
    </row>
    <row r="683">
      <c r="F683" s="35" t="str">
        <f t="shared" si="2"/>
        <v/>
      </c>
    </row>
    <row r="684">
      <c r="F684" s="35" t="str">
        <f t="shared" si="2"/>
        <v/>
      </c>
    </row>
    <row r="685">
      <c r="F685" s="35" t="str">
        <f t="shared" si="2"/>
        <v/>
      </c>
    </row>
    <row r="686">
      <c r="F686" s="35" t="str">
        <f t="shared" si="2"/>
        <v/>
      </c>
    </row>
    <row r="687">
      <c r="F687" s="35" t="str">
        <f t="shared" si="2"/>
        <v/>
      </c>
    </row>
    <row r="688">
      <c r="F688" s="35" t="str">
        <f t="shared" si="2"/>
        <v/>
      </c>
    </row>
    <row r="689">
      <c r="F689" s="35" t="str">
        <f t="shared" si="2"/>
        <v/>
      </c>
    </row>
    <row r="690">
      <c r="F690" s="35" t="str">
        <f t="shared" si="2"/>
        <v/>
      </c>
    </row>
    <row r="691">
      <c r="F691" s="35" t="str">
        <f t="shared" si="2"/>
        <v/>
      </c>
    </row>
    <row r="692">
      <c r="F692" s="35" t="str">
        <f t="shared" si="2"/>
        <v/>
      </c>
    </row>
    <row r="693">
      <c r="F693" s="35" t="str">
        <f t="shared" si="2"/>
        <v/>
      </c>
    </row>
    <row r="694">
      <c r="F694" s="35" t="str">
        <f t="shared" si="2"/>
        <v/>
      </c>
    </row>
    <row r="695">
      <c r="F695" s="35" t="str">
        <f t="shared" si="2"/>
        <v/>
      </c>
    </row>
    <row r="696">
      <c r="F696" s="35" t="str">
        <f t="shared" si="2"/>
        <v/>
      </c>
    </row>
    <row r="697">
      <c r="F697" s="35" t="str">
        <f t="shared" si="2"/>
        <v/>
      </c>
    </row>
    <row r="698">
      <c r="F698" s="35" t="str">
        <f t="shared" si="2"/>
        <v/>
      </c>
    </row>
    <row r="699">
      <c r="F699" s="35" t="str">
        <f t="shared" si="2"/>
        <v/>
      </c>
    </row>
    <row r="700">
      <c r="F700" s="35" t="str">
        <f t="shared" si="2"/>
        <v/>
      </c>
    </row>
    <row r="701">
      <c r="F701" s="35" t="str">
        <f t="shared" si="2"/>
        <v/>
      </c>
    </row>
    <row r="702">
      <c r="F702" s="35" t="str">
        <f t="shared" si="2"/>
        <v/>
      </c>
    </row>
    <row r="703">
      <c r="F703" s="35" t="str">
        <f t="shared" si="2"/>
        <v/>
      </c>
    </row>
    <row r="704">
      <c r="F704" s="35" t="str">
        <f t="shared" si="2"/>
        <v/>
      </c>
    </row>
    <row r="705">
      <c r="F705" s="35" t="str">
        <f t="shared" si="2"/>
        <v/>
      </c>
    </row>
    <row r="706">
      <c r="F706" s="35" t="str">
        <f t="shared" si="2"/>
        <v/>
      </c>
    </row>
    <row r="707">
      <c r="F707" s="35" t="str">
        <f t="shared" si="2"/>
        <v/>
      </c>
    </row>
    <row r="708">
      <c r="F708" s="35" t="str">
        <f t="shared" si="2"/>
        <v/>
      </c>
    </row>
    <row r="709">
      <c r="F709" s="35" t="str">
        <f t="shared" si="2"/>
        <v/>
      </c>
    </row>
    <row r="710">
      <c r="F710" s="35" t="str">
        <f t="shared" si="2"/>
        <v/>
      </c>
    </row>
    <row r="711">
      <c r="F711" s="35" t="str">
        <f t="shared" si="2"/>
        <v/>
      </c>
    </row>
    <row r="712">
      <c r="F712" s="35" t="str">
        <f t="shared" si="2"/>
        <v/>
      </c>
    </row>
    <row r="713">
      <c r="F713" s="35" t="str">
        <f t="shared" si="2"/>
        <v/>
      </c>
    </row>
    <row r="714">
      <c r="F714" s="35" t="str">
        <f t="shared" si="2"/>
        <v/>
      </c>
    </row>
    <row r="715">
      <c r="F715" s="35" t="str">
        <f t="shared" si="2"/>
        <v/>
      </c>
    </row>
    <row r="716">
      <c r="F716" s="35" t="str">
        <f t="shared" si="2"/>
        <v/>
      </c>
    </row>
    <row r="717">
      <c r="F717" s="35" t="str">
        <f t="shared" si="2"/>
        <v/>
      </c>
    </row>
    <row r="718">
      <c r="F718" s="35" t="str">
        <f t="shared" si="2"/>
        <v/>
      </c>
    </row>
    <row r="719">
      <c r="F719" s="35" t="str">
        <f t="shared" si="2"/>
        <v/>
      </c>
    </row>
    <row r="720">
      <c r="F720" s="35" t="str">
        <f t="shared" si="2"/>
        <v/>
      </c>
    </row>
    <row r="721">
      <c r="F721" s="35" t="str">
        <f t="shared" si="2"/>
        <v/>
      </c>
    </row>
    <row r="722">
      <c r="F722" s="35" t="str">
        <f t="shared" si="2"/>
        <v/>
      </c>
    </row>
    <row r="723">
      <c r="F723" s="35" t="str">
        <f t="shared" si="2"/>
        <v/>
      </c>
    </row>
    <row r="724">
      <c r="F724" s="35" t="str">
        <f t="shared" si="2"/>
        <v/>
      </c>
    </row>
    <row r="725">
      <c r="F725" s="35" t="str">
        <f t="shared" si="2"/>
        <v/>
      </c>
    </row>
    <row r="726">
      <c r="F726" s="35" t="str">
        <f t="shared" si="2"/>
        <v/>
      </c>
    </row>
    <row r="727">
      <c r="F727" s="35" t="str">
        <f t="shared" si="2"/>
        <v/>
      </c>
    </row>
    <row r="728">
      <c r="F728" s="35" t="str">
        <f t="shared" si="2"/>
        <v/>
      </c>
    </row>
    <row r="729">
      <c r="F729" s="35" t="str">
        <f t="shared" si="2"/>
        <v/>
      </c>
    </row>
    <row r="730">
      <c r="F730" s="35" t="str">
        <f t="shared" si="2"/>
        <v/>
      </c>
    </row>
    <row r="731">
      <c r="F731" s="35" t="str">
        <f t="shared" si="2"/>
        <v/>
      </c>
    </row>
    <row r="732">
      <c r="F732" s="35" t="str">
        <f t="shared" si="2"/>
        <v/>
      </c>
    </row>
    <row r="733">
      <c r="F733" s="35" t="str">
        <f t="shared" si="2"/>
        <v/>
      </c>
    </row>
    <row r="734">
      <c r="F734" s="35" t="str">
        <f t="shared" si="2"/>
        <v/>
      </c>
    </row>
    <row r="735">
      <c r="F735" s="35" t="str">
        <f t="shared" si="2"/>
        <v/>
      </c>
    </row>
    <row r="736">
      <c r="F736" s="35" t="str">
        <f t="shared" si="2"/>
        <v/>
      </c>
    </row>
    <row r="737">
      <c r="F737" s="35" t="str">
        <f t="shared" si="2"/>
        <v/>
      </c>
    </row>
    <row r="738">
      <c r="F738" s="35" t="str">
        <f t="shared" si="2"/>
        <v/>
      </c>
    </row>
    <row r="739">
      <c r="F739" s="35" t="str">
        <f t="shared" si="2"/>
        <v/>
      </c>
    </row>
    <row r="740">
      <c r="F740" s="35" t="str">
        <f t="shared" si="2"/>
        <v/>
      </c>
    </row>
    <row r="741">
      <c r="F741" s="35" t="str">
        <f t="shared" si="2"/>
        <v/>
      </c>
    </row>
    <row r="742">
      <c r="F742" s="35" t="str">
        <f t="shared" si="2"/>
        <v/>
      </c>
    </row>
    <row r="743">
      <c r="F743" s="35" t="str">
        <f t="shared" si="2"/>
        <v/>
      </c>
    </row>
    <row r="744">
      <c r="F744" s="35" t="str">
        <f t="shared" si="2"/>
        <v/>
      </c>
    </row>
    <row r="745">
      <c r="F745" s="35" t="str">
        <f t="shared" si="2"/>
        <v/>
      </c>
    </row>
    <row r="746">
      <c r="F746" s="35" t="str">
        <f t="shared" si="2"/>
        <v/>
      </c>
    </row>
    <row r="747">
      <c r="F747" s="35" t="str">
        <f t="shared" si="2"/>
        <v/>
      </c>
    </row>
    <row r="748">
      <c r="F748" s="35" t="str">
        <f t="shared" si="2"/>
        <v/>
      </c>
    </row>
    <row r="749">
      <c r="F749" s="35" t="str">
        <f t="shared" si="2"/>
        <v/>
      </c>
    </row>
    <row r="750">
      <c r="F750" s="35" t="str">
        <f t="shared" si="2"/>
        <v/>
      </c>
    </row>
    <row r="751">
      <c r="F751" s="35" t="str">
        <f t="shared" si="2"/>
        <v/>
      </c>
    </row>
    <row r="752">
      <c r="F752" s="35" t="str">
        <f t="shared" si="2"/>
        <v/>
      </c>
    </row>
    <row r="753">
      <c r="F753" s="35" t="str">
        <f t="shared" si="2"/>
        <v/>
      </c>
    </row>
    <row r="754">
      <c r="F754" s="35" t="str">
        <f t="shared" si="2"/>
        <v/>
      </c>
    </row>
    <row r="755">
      <c r="F755" s="35" t="str">
        <f t="shared" si="2"/>
        <v/>
      </c>
    </row>
    <row r="756">
      <c r="F756" s="35" t="str">
        <f t="shared" si="2"/>
        <v/>
      </c>
    </row>
    <row r="757">
      <c r="F757" s="35" t="str">
        <f t="shared" si="2"/>
        <v/>
      </c>
    </row>
    <row r="758">
      <c r="F758" s="35" t="str">
        <f t="shared" si="2"/>
        <v/>
      </c>
    </row>
    <row r="759">
      <c r="F759" s="35" t="str">
        <f t="shared" si="2"/>
        <v/>
      </c>
    </row>
    <row r="760">
      <c r="F760" s="35" t="str">
        <f t="shared" si="2"/>
        <v/>
      </c>
    </row>
    <row r="761">
      <c r="F761" s="35" t="str">
        <f t="shared" si="2"/>
        <v/>
      </c>
    </row>
    <row r="762">
      <c r="F762" s="35" t="str">
        <f t="shared" si="2"/>
        <v/>
      </c>
    </row>
    <row r="763">
      <c r="F763" s="35" t="str">
        <f t="shared" si="2"/>
        <v/>
      </c>
    </row>
    <row r="764">
      <c r="F764" s="35" t="str">
        <f t="shared" si="2"/>
        <v/>
      </c>
    </row>
    <row r="765">
      <c r="F765" s="35" t="str">
        <f t="shared" si="2"/>
        <v/>
      </c>
    </row>
    <row r="766">
      <c r="F766" s="35" t="str">
        <f t="shared" si="2"/>
        <v/>
      </c>
    </row>
    <row r="767">
      <c r="F767" s="35" t="str">
        <f t="shared" si="2"/>
        <v/>
      </c>
    </row>
    <row r="768">
      <c r="F768" s="35" t="str">
        <f t="shared" si="2"/>
        <v/>
      </c>
    </row>
    <row r="769">
      <c r="F769" s="35" t="str">
        <f t="shared" si="2"/>
        <v/>
      </c>
    </row>
    <row r="770">
      <c r="F770" s="35" t="str">
        <f t="shared" si="2"/>
        <v/>
      </c>
    </row>
    <row r="771">
      <c r="F771" s="35" t="str">
        <f t="shared" si="2"/>
        <v/>
      </c>
    </row>
    <row r="772">
      <c r="F772" s="35" t="str">
        <f t="shared" si="2"/>
        <v/>
      </c>
    </row>
    <row r="773">
      <c r="F773" s="35" t="str">
        <f t="shared" si="2"/>
        <v/>
      </c>
    </row>
    <row r="774">
      <c r="F774" s="35" t="str">
        <f t="shared" si="2"/>
        <v/>
      </c>
    </row>
    <row r="775">
      <c r="F775" s="35" t="str">
        <f t="shared" si="2"/>
        <v/>
      </c>
    </row>
    <row r="776">
      <c r="F776" s="35" t="str">
        <f t="shared" si="2"/>
        <v/>
      </c>
    </row>
    <row r="777">
      <c r="F777" s="35" t="str">
        <f t="shared" si="2"/>
        <v/>
      </c>
    </row>
    <row r="778">
      <c r="F778" s="35" t="str">
        <f t="shared" si="2"/>
        <v/>
      </c>
    </row>
    <row r="779">
      <c r="F779" s="35" t="str">
        <f t="shared" si="2"/>
        <v/>
      </c>
    </row>
    <row r="780">
      <c r="F780" s="35" t="str">
        <f t="shared" si="2"/>
        <v/>
      </c>
    </row>
    <row r="781">
      <c r="F781" s="35" t="str">
        <f t="shared" si="2"/>
        <v/>
      </c>
    </row>
    <row r="782">
      <c r="F782" s="35" t="str">
        <f t="shared" si="2"/>
        <v/>
      </c>
    </row>
    <row r="783">
      <c r="F783" s="35" t="str">
        <f t="shared" si="2"/>
        <v/>
      </c>
    </row>
    <row r="784">
      <c r="F784" s="35" t="str">
        <f t="shared" si="2"/>
        <v/>
      </c>
    </row>
    <row r="785">
      <c r="F785" s="35" t="str">
        <f t="shared" si="2"/>
        <v/>
      </c>
    </row>
    <row r="786">
      <c r="F786" s="35" t="str">
        <f t="shared" si="2"/>
        <v/>
      </c>
    </row>
    <row r="787">
      <c r="F787" s="35" t="str">
        <f t="shared" si="2"/>
        <v/>
      </c>
    </row>
    <row r="788">
      <c r="F788" s="35" t="str">
        <f t="shared" si="2"/>
        <v/>
      </c>
    </row>
    <row r="789">
      <c r="F789" s="35" t="str">
        <f t="shared" si="2"/>
        <v/>
      </c>
    </row>
    <row r="790">
      <c r="F790" s="35" t="str">
        <f t="shared" si="2"/>
        <v/>
      </c>
    </row>
    <row r="791">
      <c r="F791" s="35" t="str">
        <f t="shared" si="2"/>
        <v/>
      </c>
    </row>
    <row r="792">
      <c r="F792" s="35" t="str">
        <f t="shared" si="2"/>
        <v/>
      </c>
    </row>
    <row r="793">
      <c r="F793" s="35" t="str">
        <f t="shared" si="2"/>
        <v/>
      </c>
    </row>
    <row r="794">
      <c r="F794" s="35" t="str">
        <f t="shared" si="2"/>
        <v/>
      </c>
    </row>
    <row r="795">
      <c r="F795" s="35" t="str">
        <f t="shared" si="2"/>
        <v/>
      </c>
    </row>
    <row r="796">
      <c r="F796" s="35" t="str">
        <f t="shared" si="2"/>
        <v/>
      </c>
    </row>
    <row r="797">
      <c r="F797" s="35" t="str">
        <f t="shared" si="2"/>
        <v/>
      </c>
    </row>
    <row r="798">
      <c r="F798" s="35" t="str">
        <f t="shared" si="2"/>
        <v/>
      </c>
    </row>
    <row r="799">
      <c r="F799" s="35" t="str">
        <f t="shared" si="2"/>
        <v/>
      </c>
    </row>
    <row r="800">
      <c r="F800" s="35" t="str">
        <f t="shared" si="2"/>
        <v/>
      </c>
    </row>
    <row r="801">
      <c r="F801" s="35" t="str">
        <f t="shared" si="2"/>
        <v/>
      </c>
    </row>
    <row r="802">
      <c r="F802" s="35" t="str">
        <f t="shared" si="2"/>
        <v/>
      </c>
    </row>
    <row r="803">
      <c r="F803" s="35" t="str">
        <f t="shared" si="2"/>
        <v/>
      </c>
    </row>
    <row r="804">
      <c r="F804" s="35" t="str">
        <f t="shared" si="2"/>
        <v/>
      </c>
    </row>
    <row r="805">
      <c r="F805" s="35" t="str">
        <f t="shared" si="2"/>
        <v/>
      </c>
    </row>
    <row r="806">
      <c r="F806" s="35" t="str">
        <f t="shared" si="2"/>
        <v/>
      </c>
    </row>
    <row r="807">
      <c r="F807" s="35" t="str">
        <f t="shared" si="2"/>
        <v/>
      </c>
    </row>
    <row r="808">
      <c r="F808" s="35" t="str">
        <f t="shared" si="2"/>
        <v/>
      </c>
    </row>
    <row r="809">
      <c r="F809" s="35" t="str">
        <f t="shared" si="2"/>
        <v/>
      </c>
    </row>
    <row r="810">
      <c r="F810" s="35" t="str">
        <f t="shared" si="2"/>
        <v/>
      </c>
    </row>
    <row r="811">
      <c r="F811" s="35" t="str">
        <f t="shared" si="2"/>
        <v/>
      </c>
    </row>
    <row r="812">
      <c r="F812" s="35" t="str">
        <f t="shared" si="2"/>
        <v/>
      </c>
    </row>
    <row r="813">
      <c r="F813" s="35" t="str">
        <f t="shared" si="2"/>
        <v/>
      </c>
    </row>
    <row r="814">
      <c r="F814" s="35" t="str">
        <f t="shared" si="2"/>
        <v/>
      </c>
    </row>
    <row r="815">
      <c r="F815" s="35" t="str">
        <f t="shared" si="2"/>
        <v/>
      </c>
    </row>
    <row r="816">
      <c r="F816" s="35" t="str">
        <f t="shared" si="2"/>
        <v/>
      </c>
    </row>
    <row r="817">
      <c r="F817" s="35" t="str">
        <f t="shared" si="2"/>
        <v/>
      </c>
    </row>
    <row r="818">
      <c r="F818" s="35" t="str">
        <f t="shared" si="2"/>
        <v/>
      </c>
    </row>
    <row r="819">
      <c r="F819" s="35" t="str">
        <f t="shared" si="2"/>
        <v/>
      </c>
    </row>
    <row r="820">
      <c r="F820" s="35" t="str">
        <f t="shared" si="2"/>
        <v/>
      </c>
    </row>
    <row r="821">
      <c r="F821" s="35" t="str">
        <f t="shared" si="2"/>
        <v/>
      </c>
    </row>
    <row r="822">
      <c r="F822" s="35" t="str">
        <f t="shared" si="2"/>
        <v/>
      </c>
    </row>
    <row r="823">
      <c r="F823" s="35" t="str">
        <f t="shared" si="2"/>
        <v/>
      </c>
    </row>
    <row r="824">
      <c r="F824" s="35" t="str">
        <f t="shared" si="2"/>
        <v/>
      </c>
    </row>
    <row r="825">
      <c r="F825" s="35" t="str">
        <f t="shared" si="2"/>
        <v/>
      </c>
    </row>
    <row r="826">
      <c r="F826" s="35" t="str">
        <f t="shared" si="2"/>
        <v/>
      </c>
    </row>
    <row r="827">
      <c r="F827" s="35" t="str">
        <f t="shared" si="2"/>
        <v/>
      </c>
    </row>
    <row r="828">
      <c r="F828" s="35" t="str">
        <f t="shared" si="2"/>
        <v/>
      </c>
    </row>
    <row r="829">
      <c r="F829" s="35" t="str">
        <f t="shared" si="2"/>
        <v/>
      </c>
    </row>
    <row r="830">
      <c r="F830" s="35" t="str">
        <f t="shared" si="2"/>
        <v/>
      </c>
    </row>
    <row r="831">
      <c r="F831" s="35" t="str">
        <f t="shared" si="2"/>
        <v/>
      </c>
    </row>
    <row r="832">
      <c r="F832" s="35" t="str">
        <f t="shared" si="2"/>
        <v/>
      </c>
    </row>
    <row r="833">
      <c r="F833" s="35" t="str">
        <f t="shared" si="2"/>
        <v/>
      </c>
    </row>
    <row r="834">
      <c r="F834" s="35" t="str">
        <f t="shared" si="2"/>
        <v/>
      </c>
    </row>
    <row r="835">
      <c r="F835" s="35" t="str">
        <f t="shared" si="2"/>
        <v/>
      </c>
    </row>
    <row r="836">
      <c r="F836" s="35" t="str">
        <f t="shared" si="2"/>
        <v/>
      </c>
    </row>
    <row r="837">
      <c r="F837" s="35" t="str">
        <f t="shared" si="2"/>
        <v/>
      </c>
    </row>
    <row r="838">
      <c r="F838" s="35" t="str">
        <f t="shared" si="2"/>
        <v/>
      </c>
    </row>
    <row r="839">
      <c r="F839" s="35" t="str">
        <f t="shared" si="2"/>
        <v/>
      </c>
    </row>
    <row r="840">
      <c r="F840" s="35" t="str">
        <f t="shared" si="2"/>
        <v/>
      </c>
    </row>
    <row r="841">
      <c r="F841" s="35" t="str">
        <f t="shared" si="2"/>
        <v/>
      </c>
    </row>
    <row r="842">
      <c r="F842" s="35" t="str">
        <f t="shared" si="2"/>
        <v/>
      </c>
    </row>
    <row r="843">
      <c r="F843" s="35" t="str">
        <f t="shared" si="2"/>
        <v/>
      </c>
    </row>
    <row r="844">
      <c r="F844" s="35" t="str">
        <f t="shared" si="2"/>
        <v/>
      </c>
    </row>
    <row r="845">
      <c r="F845" s="35" t="str">
        <f t="shared" si="2"/>
        <v/>
      </c>
    </row>
    <row r="846">
      <c r="F846" s="35" t="str">
        <f t="shared" si="2"/>
        <v/>
      </c>
    </row>
    <row r="847">
      <c r="F847" s="35" t="str">
        <f t="shared" si="2"/>
        <v/>
      </c>
    </row>
    <row r="848">
      <c r="F848" s="35" t="str">
        <f t="shared" si="2"/>
        <v/>
      </c>
    </row>
    <row r="849">
      <c r="F849" s="35" t="str">
        <f t="shared" si="2"/>
        <v/>
      </c>
    </row>
    <row r="850">
      <c r="F850" s="35" t="str">
        <f t="shared" si="2"/>
        <v/>
      </c>
    </row>
    <row r="851">
      <c r="F851" s="35" t="str">
        <f t="shared" si="2"/>
        <v/>
      </c>
    </row>
    <row r="852">
      <c r="F852" s="35" t="str">
        <f t="shared" si="2"/>
        <v/>
      </c>
    </row>
    <row r="853">
      <c r="F853" s="35" t="str">
        <f t="shared" si="2"/>
        <v/>
      </c>
    </row>
    <row r="854">
      <c r="F854" s="35" t="str">
        <f t="shared" si="2"/>
        <v/>
      </c>
    </row>
    <row r="855">
      <c r="F855" s="35" t="str">
        <f t="shared" si="2"/>
        <v/>
      </c>
    </row>
    <row r="856">
      <c r="F856" s="35" t="str">
        <f t="shared" si="2"/>
        <v/>
      </c>
    </row>
    <row r="857">
      <c r="F857" s="35" t="str">
        <f t="shared" si="2"/>
        <v/>
      </c>
    </row>
    <row r="858">
      <c r="F858" s="35" t="str">
        <f t="shared" si="2"/>
        <v/>
      </c>
    </row>
    <row r="859">
      <c r="F859" s="35" t="str">
        <f t="shared" si="2"/>
        <v/>
      </c>
    </row>
    <row r="860">
      <c r="F860" s="35" t="str">
        <f t="shared" si="2"/>
        <v/>
      </c>
    </row>
    <row r="861">
      <c r="F861" s="35" t="str">
        <f t="shared" si="2"/>
        <v/>
      </c>
    </row>
    <row r="862">
      <c r="F862" s="35" t="str">
        <f t="shared" si="2"/>
        <v/>
      </c>
    </row>
    <row r="863">
      <c r="F863" s="35" t="str">
        <f t="shared" si="2"/>
        <v/>
      </c>
    </row>
    <row r="864">
      <c r="F864" s="35" t="str">
        <f t="shared" si="2"/>
        <v/>
      </c>
    </row>
    <row r="865">
      <c r="F865" s="35" t="str">
        <f t="shared" si="2"/>
        <v/>
      </c>
    </row>
    <row r="866">
      <c r="F866" s="35" t="str">
        <f t="shared" si="2"/>
        <v/>
      </c>
    </row>
    <row r="867">
      <c r="F867" s="35" t="str">
        <f t="shared" si="2"/>
        <v/>
      </c>
    </row>
    <row r="868">
      <c r="F868" s="35" t="str">
        <f t="shared" si="2"/>
        <v/>
      </c>
    </row>
    <row r="869">
      <c r="F869" s="35" t="str">
        <f t="shared" si="2"/>
        <v/>
      </c>
    </row>
    <row r="870">
      <c r="F870" s="35" t="str">
        <f t="shared" si="2"/>
        <v/>
      </c>
    </row>
    <row r="871">
      <c r="F871" s="35" t="str">
        <f t="shared" si="2"/>
        <v/>
      </c>
    </row>
    <row r="872">
      <c r="F872" s="35" t="str">
        <f t="shared" si="2"/>
        <v/>
      </c>
    </row>
    <row r="873">
      <c r="F873" s="35" t="str">
        <f t="shared" si="2"/>
        <v/>
      </c>
    </row>
    <row r="874">
      <c r="F874" s="35" t="str">
        <f t="shared" si="2"/>
        <v/>
      </c>
    </row>
    <row r="875">
      <c r="F875" s="35" t="str">
        <f t="shared" si="2"/>
        <v/>
      </c>
    </row>
    <row r="876">
      <c r="F876" s="35" t="str">
        <f t="shared" si="2"/>
        <v/>
      </c>
    </row>
    <row r="877">
      <c r="F877" s="35" t="str">
        <f t="shared" si="2"/>
        <v/>
      </c>
    </row>
    <row r="878">
      <c r="F878" s="35" t="str">
        <f t="shared" si="2"/>
        <v/>
      </c>
    </row>
    <row r="879">
      <c r="F879" s="35" t="str">
        <f t="shared" si="2"/>
        <v/>
      </c>
    </row>
    <row r="880">
      <c r="F880" s="35" t="str">
        <f t="shared" si="2"/>
        <v/>
      </c>
    </row>
    <row r="881">
      <c r="F881" s="35" t="str">
        <f t="shared" si="2"/>
        <v/>
      </c>
    </row>
    <row r="882">
      <c r="F882" s="35" t="str">
        <f t="shared" si="2"/>
        <v/>
      </c>
    </row>
    <row r="883">
      <c r="F883" s="35" t="str">
        <f t="shared" si="2"/>
        <v/>
      </c>
    </row>
    <row r="884">
      <c r="F884" s="35" t="str">
        <f t="shared" si="2"/>
        <v/>
      </c>
    </row>
    <row r="885">
      <c r="F885" s="35" t="str">
        <f t="shared" si="2"/>
        <v/>
      </c>
    </row>
    <row r="886">
      <c r="F886" s="35" t="str">
        <f t="shared" si="2"/>
        <v/>
      </c>
    </row>
    <row r="887">
      <c r="F887" s="35" t="str">
        <f t="shared" si="2"/>
        <v/>
      </c>
    </row>
    <row r="888">
      <c r="F888" s="35" t="str">
        <f t="shared" si="2"/>
        <v/>
      </c>
    </row>
    <row r="889">
      <c r="F889" s="35" t="str">
        <f t="shared" si="2"/>
        <v/>
      </c>
    </row>
    <row r="890">
      <c r="F890" s="35" t="str">
        <f t="shared" si="2"/>
        <v/>
      </c>
    </row>
    <row r="891">
      <c r="F891" s="35" t="str">
        <f t="shared" si="2"/>
        <v/>
      </c>
    </row>
    <row r="892">
      <c r="F892" s="35" t="str">
        <f t="shared" si="2"/>
        <v/>
      </c>
    </row>
    <row r="893">
      <c r="F893" s="35" t="str">
        <f t="shared" si="2"/>
        <v/>
      </c>
    </row>
    <row r="894">
      <c r="F894" s="35" t="str">
        <f t="shared" si="2"/>
        <v/>
      </c>
    </row>
    <row r="895">
      <c r="F895" s="35" t="str">
        <f t="shared" si="2"/>
        <v/>
      </c>
    </row>
    <row r="896">
      <c r="F896" s="35" t="str">
        <f t="shared" si="2"/>
        <v/>
      </c>
    </row>
    <row r="897">
      <c r="F897" s="35" t="str">
        <f t="shared" si="2"/>
        <v/>
      </c>
    </row>
    <row r="898">
      <c r="F898" s="35" t="str">
        <f t="shared" si="2"/>
        <v/>
      </c>
    </row>
    <row r="899">
      <c r="F899" s="35" t="str">
        <f t="shared" si="2"/>
        <v/>
      </c>
    </row>
    <row r="900">
      <c r="F900" s="35" t="str">
        <f t="shared" si="2"/>
        <v/>
      </c>
    </row>
    <row r="901">
      <c r="F901" s="35" t="str">
        <f t="shared" si="2"/>
        <v/>
      </c>
    </row>
    <row r="902">
      <c r="F902" s="35" t="str">
        <f t="shared" si="2"/>
        <v/>
      </c>
    </row>
    <row r="903">
      <c r="F903" s="35" t="str">
        <f t="shared" si="2"/>
        <v/>
      </c>
    </row>
    <row r="904">
      <c r="F904" s="35" t="str">
        <f t="shared" si="2"/>
        <v/>
      </c>
    </row>
    <row r="905">
      <c r="F905" s="35" t="str">
        <f t="shared" si="2"/>
        <v/>
      </c>
    </row>
    <row r="906">
      <c r="F906" s="35" t="str">
        <f t="shared" si="2"/>
        <v/>
      </c>
    </row>
    <row r="907">
      <c r="F907" s="35" t="str">
        <f t="shared" si="2"/>
        <v/>
      </c>
    </row>
    <row r="908">
      <c r="F908" s="35" t="str">
        <f t="shared" si="2"/>
        <v/>
      </c>
    </row>
    <row r="909">
      <c r="F909" s="35" t="str">
        <f t="shared" si="2"/>
        <v/>
      </c>
    </row>
    <row r="910">
      <c r="F910" s="35" t="str">
        <f t="shared" si="2"/>
        <v/>
      </c>
    </row>
    <row r="911">
      <c r="F911" s="35" t="str">
        <f t="shared" si="2"/>
        <v/>
      </c>
    </row>
    <row r="912">
      <c r="F912" s="35" t="str">
        <f t="shared" si="2"/>
        <v/>
      </c>
    </row>
    <row r="913">
      <c r="F913" s="35" t="str">
        <f t="shared" si="2"/>
        <v/>
      </c>
    </row>
    <row r="914">
      <c r="F914" s="35" t="str">
        <f t="shared" si="2"/>
        <v/>
      </c>
    </row>
    <row r="915">
      <c r="F915" s="35" t="str">
        <f t="shared" si="2"/>
        <v/>
      </c>
    </row>
    <row r="916">
      <c r="F916" s="35" t="str">
        <f t="shared" si="2"/>
        <v/>
      </c>
    </row>
    <row r="917">
      <c r="F917" s="35" t="str">
        <f t="shared" si="2"/>
        <v/>
      </c>
    </row>
    <row r="918">
      <c r="F918" s="35" t="str">
        <f t="shared" si="2"/>
        <v/>
      </c>
    </row>
    <row r="919">
      <c r="F919" s="35" t="str">
        <f t="shared" si="2"/>
        <v/>
      </c>
    </row>
    <row r="920">
      <c r="F920" s="35" t="str">
        <f t="shared" si="2"/>
        <v/>
      </c>
    </row>
    <row r="921">
      <c r="F921" s="35" t="str">
        <f t="shared" si="2"/>
        <v/>
      </c>
    </row>
    <row r="922">
      <c r="F922" s="35" t="str">
        <f t="shared" si="2"/>
        <v/>
      </c>
    </row>
    <row r="923">
      <c r="F923" s="35" t="str">
        <f t="shared" si="2"/>
        <v/>
      </c>
    </row>
    <row r="924">
      <c r="F924" s="35" t="str">
        <f t="shared" si="2"/>
        <v/>
      </c>
    </row>
    <row r="925">
      <c r="F925" s="35" t="str">
        <f t="shared" si="2"/>
        <v/>
      </c>
    </row>
    <row r="926">
      <c r="F926" s="35" t="str">
        <f t="shared" si="2"/>
        <v/>
      </c>
    </row>
    <row r="927">
      <c r="F927" s="35" t="str">
        <f t="shared" si="2"/>
        <v/>
      </c>
    </row>
    <row r="928">
      <c r="F928" s="35" t="str">
        <f t="shared" si="2"/>
        <v/>
      </c>
    </row>
    <row r="929">
      <c r="F929" s="35" t="str">
        <f t="shared" si="2"/>
        <v/>
      </c>
    </row>
    <row r="930">
      <c r="F930" s="35" t="str">
        <f t="shared" si="2"/>
        <v/>
      </c>
    </row>
    <row r="931">
      <c r="F931" s="35" t="str">
        <f t="shared" si="2"/>
        <v/>
      </c>
    </row>
    <row r="932">
      <c r="F932" s="35" t="str">
        <f t="shared" si="2"/>
        <v/>
      </c>
    </row>
    <row r="933">
      <c r="F933" s="35" t="str">
        <f t="shared" si="2"/>
        <v/>
      </c>
    </row>
    <row r="934">
      <c r="F934" s="35" t="str">
        <f t="shared" si="2"/>
        <v/>
      </c>
    </row>
    <row r="935">
      <c r="F935" s="35" t="str">
        <f t="shared" si="2"/>
        <v/>
      </c>
    </row>
    <row r="936">
      <c r="F936" s="35" t="str">
        <f t="shared" si="2"/>
        <v/>
      </c>
    </row>
    <row r="937">
      <c r="F937" s="35" t="str">
        <f t="shared" si="2"/>
        <v/>
      </c>
    </row>
    <row r="938">
      <c r="F938" s="35" t="str">
        <f t="shared" si="2"/>
        <v/>
      </c>
    </row>
    <row r="939">
      <c r="F939" s="35" t="str">
        <f t="shared" si="2"/>
        <v/>
      </c>
    </row>
    <row r="940">
      <c r="F940" s="35" t="str">
        <f t="shared" si="2"/>
        <v/>
      </c>
    </row>
    <row r="941">
      <c r="F941" s="35" t="str">
        <f t="shared" si="2"/>
        <v/>
      </c>
    </row>
    <row r="942">
      <c r="F942" s="35" t="str">
        <f t="shared" si="2"/>
        <v/>
      </c>
    </row>
    <row r="943">
      <c r="F943" s="35" t="str">
        <f t="shared" si="2"/>
        <v/>
      </c>
    </row>
    <row r="944">
      <c r="F944" s="35" t="str">
        <f t="shared" si="2"/>
        <v/>
      </c>
    </row>
    <row r="945">
      <c r="F945" s="35" t="str">
        <f t="shared" si="2"/>
        <v/>
      </c>
    </row>
    <row r="946">
      <c r="F946" s="35" t="str">
        <f t="shared" si="2"/>
        <v/>
      </c>
    </row>
    <row r="947">
      <c r="F947" s="35" t="str">
        <f t="shared" si="2"/>
        <v/>
      </c>
    </row>
    <row r="948">
      <c r="F948" s="35" t="str">
        <f t="shared" si="2"/>
        <v/>
      </c>
    </row>
    <row r="949">
      <c r="F949" s="35" t="str">
        <f t="shared" si="2"/>
        <v/>
      </c>
    </row>
    <row r="950">
      <c r="F950" s="35" t="str">
        <f t="shared" si="2"/>
        <v/>
      </c>
    </row>
    <row r="951">
      <c r="F951" s="35" t="str">
        <f t="shared" si="2"/>
        <v/>
      </c>
    </row>
    <row r="952">
      <c r="F952" s="35" t="str">
        <f t="shared" si="2"/>
        <v/>
      </c>
    </row>
    <row r="953">
      <c r="F953" s="35" t="str">
        <f t="shared" si="2"/>
        <v/>
      </c>
    </row>
    <row r="954">
      <c r="F954" s="35" t="str">
        <f t="shared" si="2"/>
        <v/>
      </c>
    </row>
    <row r="955">
      <c r="F955" s="35" t="str">
        <f t="shared" si="2"/>
        <v/>
      </c>
    </row>
    <row r="956">
      <c r="F956" s="35" t="str">
        <f t="shared" si="2"/>
        <v/>
      </c>
    </row>
    <row r="957">
      <c r="F957" s="35" t="str">
        <f t="shared" si="2"/>
        <v/>
      </c>
    </row>
    <row r="958">
      <c r="F958" s="35" t="str">
        <f t="shared" si="2"/>
        <v/>
      </c>
    </row>
    <row r="959">
      <c r="F959" s="35" t="str">
        <f t="shared" si="2"/>
        <v/>
      </c>
    </row>
    <row r="960">
      <c r="F960" s="35" t="str">
        <f t="shared" si="2"/>
        <v/>
      </c>
    </row>
    <row r="961">
      <c r="F961" s="35" t="str">
        <f t="shared" si="2"/>
        <v/>
      </c>
    </row>
    <row r="962">
      <c r="F962" s="35" t="str">
        <f t="shared" si="2"/>
        <v/>
      </c>
    </row>
    <row r="963">
      <c r="F963" s="35" t="str">
        <f t="shared" si="2"/>
        <v/>
      </c>
    </row>
    <row r="964">
      <c r="F964" s="35" t="str">
        <f t="shared" si="2"/>
        <v/>
      </c>
    </row>
    <row r="965">
      <c r="F965" s="35" t="str">
        <f t="shared" si="2"/>
        <v/>
      </c>
    </row>
    <row r="966">
      <c r="F966" s="35" t="str">
        <f t="shared" si="2"/>
        <v/>
      </c>
    </row>
    <row r="967">
      <c r="F967" s="35" t="str">
        <f t="shared" si="2"/>
        <v/>
      </c>
    </row>
    <row r="968">
      <c r="F968" s="35" t="str">
        <f t="shared" si="2"/>
        <v/>
      </c>
    </row>
    <row r="969">
      <c r="F969" s="35" t="str">
        <f t="shared" si="2"/>
        <v/>
      </c>
    </row>
    <row r="970">
      <c r="F970" s="35" t="str">
        <f t="shared" si="2"/>
        <v/>
      </c>
    </row>
    <row r="971">
      <c r="F971" s="35" t="str">
        <f t="shared" si="2"/>
        <v/>
      </c>
    </row>
    <row r="972">
      <c r="F972" s="35" t="str">
        <f t="shared" si="2"/>
        <v/>
      </c>
    </row>
    <row r="973">
      <c r="F973" s="35" t="str">
        <f t="shared" si="2"/>
        <v/>
      </c>
    </row>
    <row r="974">
      <c r="F974" s="35" t="str">
        <f t="shared" si="2"/>
        <v/>
      </c>
    </row>
    <row r="975">
      <c r="F975" s="35" t="str">
        <f t="shared" si="2"/>
        <v/>
      </c>
    </row>
    <row r="976">
      <c r="F976" s="35" t="str">
        <f t="shared" si="2"/>
        <v/>
      </c>
    </row>
    <row r="977">
      <c r="F977" s="35" t="str">
        <f t="shared" si="2"/>
        <v/>
      </c>
    </row>
    <row r="978">
      <c r="F978" s="35" t="str">
        <f t="shared" si="2"/>
        <v/>
      </c>
    </row>
    <row r="979">
      <c r="F979" s="35" t="str">
        <f t="shared" si="2"/>
        <v/>
      </c>
    </row>
    <row r="980">
      <c r="F980" s="35" t="str">
        <f t="shared" si="2"/>
        <v/>
      </c>
    </row>
    <row r="981">
      <c r="F981" s="35" t="str">
        <f t="shared" si="2"/>
        <v/>
      </c>
    </row>
    <row r="982">
      <c r="F982" s="35" t="str">
        <f t="shared" si="2"/>
        <v/>
      </c>
    </row>
    <row r="983">
      <c r="F983" s="35" t="str">
        <f t="shared" si="2"/>
        <v/>
      </c>
    </row>
    <row r="984">
      <c r="F984" s="35" t="str">
        <f t="shared" si="2"/>
        <v/>
      </c>
    </row>
    <row r="985">
      <c r="F985" s="35" t="str">
        <f t="shared" si="2"/>
        <v/>
      </c>
    </row>
    <row r="986">
      <c r="F986" s="35" t="str">
        <f t="shared" si="2"/>
        <v/>
      </c>
    </row>
    <row r="987">
      <c r="F987" s="35" t="str">
        <f t="shared" si="2"/>
        <v/>
      </c>
    </row>
    <row r="988">
      <c r="F988" s="35" t="str">
        <f t="shared" si="2"/>
        <v/>
      </c>
    </row>
    <row r="989">
      <c r="F989" s="35" t="str">
        <f t="shared" si="2"/>
        <v/>
      </c>
    </row>
    <row r="990">
      <c r="F990" s="35" t="str">
        <f t="shared" si="2"/>
        <v/>
      </c>
    </row>
    <row r="991">
      <c r="F991" s="35" t="str">
        <f t="shared" si="2"/>
        <v/>
      </c>
    </row>
    <row r="992">
      <c r="F992" s="35" t="str">
        <f t="shared" si="2"/>
        <v/>
      </c>
    </row>
    <row r="993">
      <c r="F993" s="35" t="str">
        <f t="shared" si="2"/>
        <v/>
      </c>
    </row>
    <row r="994">
      <c r="F994" s="35" t="str">
        <f t="shared" si="2"/>
        <v/>
      </c>
    </row>
    <row r="995">
      <c r="F995" s="35" t="str">
        <f t="shared" si="2"/>
        <v/>
      </c>
    </row>
    <row r="996">
      <c r="F996" s="35" t="str">
        <f t="shared" si="2"/>
        <v/>
      </c>
    </row>
    <row r="997">
      <c r="F997" s="35" t="str">
        <f t="shared" si="2"/>
        <v/>
      </c>
    </row>
    <row r="998">
      <c r="F998" s="35" t="str">
        <f t="shared" si="2"/>
        <v/>
      </c>
    </row>
    <row r="999">
      <c r="F999" s="35" t="str">
        <f t="shared" si="2"/>
        <v/>
      </c>
    </row>
    <row r="1000">
      <c r="F1000" s="35" t="str">
        <f t="shared" si="2"/>
        <v/>
      </c>
    </row>
    <row r="1001">
      <c r="F1001" s="35" t="str">
        <f t="shared" si="2"/>
        <v/>
      </c>
    </row>
    <row r="1002">
      <c r="F1002" s="35" t="str">
        <f t="shared" si="2"/>
        <v/>
      </c>
    </row>
    <row r="1003">
      <c r="F1003" s="35" t="str">
        <f t="shared" si="2"/>
        <v/>
      </c>
    </row>
    <row r="1004">
      <c r="F1004" s="35" t="str">
        <f t="shared" si="2"/>
        <v/>
      </c>
    </row>
    <row r="1005">
      <c r="F1005" s="35" t="str">
        <f t="shared" si="2"/>
        <v/>
      </c>
    </row>
    <row r="1006">
      <c r="F1006" s="35" t="str">
        <f t="shared" si="2"/>
        <v/>
      </c>
    </row>
    <row r="1007">
      <c r="F1007" s="35" t="str">
        <f t="shared" si="2"/>
        <v/>
      </c>
    </row>
    <row r="1008">
      <c r="F1008" s="35" t="str">
        <f t="shared" si="2"/>
        <v/>
      </c>
    </row>
    <row r="1009">
      <c r="F1009" s="35" t="str">
        <f t="shared" si="2"/>
        <v/>
      </c>
    </row>
    <row r="1010">
      <c r="F1010" s="35" t="str">
        <f t="shared" si="2"/>
        <v/>
      </c>
    </row>
  </sheetData>
  <dataValidations>
    <dataValidation type="custom" allowBlank="1" showDropDown="1" sqref="A2:A104">
      <formula1>OR(NOT(ISERROR(DATEVALUE(A2))), AND(ISNUMBER(A2), LEFT(CELL("format", A2))="D"))</formula1>
    </dataValidation>
    <dataValidation type="custom" allowBlank="1" showDropDown="1" sqref="D2:D104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3.0"/>
    <col customWidth="1" min="3" max="3" width="63.13"/>
    <col customWidth="1" min="4" max="4" width="18.5"/>
    <col customWidth="1" min="5" max="5" width="31.63"/>
    <col customWidth="1" min="6" max="6" width="57.0"/>
    <col customWidth="1" min="7" max="7" width="13.75"/>
    <col customWidth="1" min="8" max="8" width="17.25"/>
    <col customWidth="1" min="9" max="9" width="34.38"/>
  </cols>
  <sheetData>
    <row r="1">
      <c r="A1" s="61" t="s">
        <v>185</v>
      </c>
      <c r="B1" s="61" t="s">
        <v>193</v>
      </c>
      <c r="C1" s="61" t="s">
        <v>194</v>
      </c>
      <c r="D1" s="62" t="s">
        <v>187</v>
      </c>
      <c r="E1" s="61" t="s">
        <v>195</v>
      </c>
      <c r="F1" s="63" t="s">
        <v>196</v>
      </c>
      <c r="G1" s="61" t="s">
        <v>197</v>
      </c>
      <c r="H1" s="61" t="s">
        <v>198</v>
      </c>
      <c r="I1" s="61" t="s">
        <v>199</v>
      </c>
    </row>
    <row r="2">
      <c r="A2" s="64">
        <v>45868.785046296296</v>
      </c>
      <c r="B2" s="65" t="s">
        <v>200</v>
      </c>
      <c r="C2" s="66" t="s">
        <v>201</v>
      </c>
      <c r="D2" s="67">
        <v>10.0</v>
      </c>
      <c r="E2" s="65"/>
      <c r="F2" s="65" t="s">
        <v>202</v>
      </c>
      <c r="G2" s="65" t="str">
        <f t="shared" ref="G2:G862" si="1">LEFT(C:C,12)</f>
        <v>MCC015UC0045</v>
      </c>
      <c r="H2" s="35" t="str">
        <f t="shared" ref="H2:H701" si="2">IF(A2&lt;&gt;"","Saída","")</f>
        <v>Saída</v>
      </c>
      <c r="I2" s="25" t="str">
        <f t="array" ref="I2:I1873">SUBSTITUTE(B2:B1873, "@", "")</f>
        <v>Jose Edervanio Lima Mateus</v>
      </c>
    </row>
    <row r="3">
      <c r="A3" s="64">
        <v>45868.78525462963</v>
      </c>
      <c r="B3" s="65" t="s">
        <v>203</v>
      </c>
      <c r="C3" s="66" t="s">
        <v>201</v>
      </c>
      <c r="D3" s="67">
        <v>4.0</v>
      </c>
      <c r="E3" s="65"/>
      <c r="F3" s="65" t="s">
        <v>204</v>
      </c>
      <c r="G3" s="65" t="str">
        <f t="shared" si="1"/>
        <v>MCC015UC0045</v>
      </c>
      <c r="H3" s="35" t="str">
        <f t="shared" si="2"/>
        <v>Saída</v>
      </c>
      <c r="I3" s="25" t="s">
        <v>205</v>
      </c>
    </row>
    <row r="4" hidden="1">
      <c r="A4" s="64">
        <v>45869.48354166667</v>
      </c>
      <c r="B4" s="65" t="s">
        <v>206</v>
      </c>
      <c r="C4" s="66" t="s">
        <v>207</v>
      </c>
      <c r="D4" s="67">
        <v>1.0</v>
      </c>
      <c r="E4" s="65"/>
      <c r="F4" s="65" t="s">
        <v>208</v>
      </c>
      <c r="G4" s="65" t="str">
        <f t="shared" si="1"/>
        <v>MCC046UC0639</v>
      </c>
      <c r="H4" s="35" t="str">
        <f t="shared" si="2"/>
        <v>Saída</v>
      </c>
      <c r="I4" s="25" t="s">
        <v>209</v>
      </c>
    </row>
    <row r="5" hidden="1">
      <c r="A5" s="64">
        <v>45869.699421296296</v>
      </c>
      <c r="B5" s="66" t="s">
        <v>210</v>
      </c>
      <c r="C5" s="66" t="s">
        <v>211</v>
      </c>
      <c r="D5" s="67">
        <v>1.0</v>
      </c>
      <c r="E5" s="66"/>
      <c r="F5" s="66" t="s">
        <v>212</v>
      </c>
      <c r="G5" s="65" t="str">
        <f t="shared" si="1"/>
        <v>MCC046UC0638</v>
      </c>
      <c r="H5" s="35" t="str">
        <f t="shared" si="2"/>
        <v>Saída</v>
      </c>
      <c r="I5" s="25" t="s">
        <v>213</v>
      </c>
    </row>
    <row r="6" hidden="1">
      <c r="A6" s="64">
        <v>45873.0</v>
      </c>
      <c r="B6" s="66" t="s">
        <v>214</v>
      </c>
      <c r="C6" s="66" t="s">
        <v>215</v>
      </c>
      <c r="D6" s="67">
        <v>2.0</v>
      </c>
      <c r="E6" s="66"/>
      <c r="F6" s="66" t="s">
        <v>216</v>
      </c>
      <c r="G6" s="65" t="str">
        <f t="shared" si="1"/>
        <v>MCC046UC0082</v>
      </c>
      <c r="H6" s="35" t="str">
        <f t="shared" si="2"/>
        <v>Saída</v>
      </c>
      <c r="I6" s="25" t="s">
        <v>217</v>
      </c>
    </row>
    <row r="7" hidden="1">
      <c r="A7" s="64">
        <v>45873.0</v>
      </c>
      <c r="B7" s="66" t="s">
        <v>214</v>
      </c>
      <c r="C7" s="66" t="s">
        <v>218</v>
      </c>
      <c r="D7" s="67">
        <v>1.0</v>
      </c>
      <c r="E7" s="66"/>
      <c r="F7" s="66" t="s">
        <v>219</v>
      </c>
      <c r="G7" s="65" t="str">
        <f t="shared" si="1"/>
        <v>MCC046UC0398</v>
      </c>
      <c r="H7" s="35" t="str">
        <f t="shared" si="2"/>
        <v>Saída</v>
      </c>
      <c r="I7" s="25" t="s">
        <v>217</v>
      </c>
    </row>
    <row r="8" hidden="1">
      <c r="A8" s="64">
        <v>45875.0</v>
      </c>
      <c r="B8" s="66" t="s">
        <v>220</v>
      </c>
      <c r="C8" s="66" t="s">
        <v>221</v>
      </c>
      <c r="D8" s="67">
        <v>50.0</v>
      </c>
      <c r="E8" s="66"/>
      <c r="F8" s="66" t="s">
        <v>222</v>
      </c>
      <c r="G8" s="65" t="str">
        <f t="shared" si="1"/>
        <v>MCC049UC0600</v>
      </c>
      <c r="H8" s="35" t="str">
        <f t="shared" si="2"/>
        <v>Saída</v>
      </c>
      <c r="I8" s="25" t="s">
        <v>223</v>
      </c>
    </row>
    <row r="9">
      <c r="A9" s="64">
        <v>45875.0</v>
      </c>
      <c r="B9" s="66" t="s">
        <v>220</v>
      </c>
      <c r="C9" s="66" t="s">
        <v>224</v>
      </c>
      <c r="D9" s="67">
        <v>24.0</v>
      </c>
      <c r="E9" s="66"/>
      <c r="F9" s="66" t="s">
        <v>225</v>
      </c>
      <c r="G9" s="65" t="str">
        <f t="shared" si="1"/>
        <v>MCC015UC0045</v>
      </c>
      <c r="H9" s="35" t="str">
        <f t="shared" si="2"/>
        <v>Saída</v>
      </c>
      <c r="I9" s="25" t="s">
        <v>223</v>
      </c>
    </row>
    <row r="10" hidden="1">
      <c r="A10" s="64">
        <v>45875.0</v>
      </c>
      <c r="B10" s="66" t="s">
        <v>220</v>
      </c>
      <c r="C10" s="66" t="s">
        <v>226</v>
      </c>
      <c r="D10" s="67">
        <v>5.0</v>
      </c>
      <c r="E10" s="66"/>
      <c r="F10" s="66" t="s">
        <v>225</v>
      </c>
      <c r="G10" s="65" t="str">
        <f t="shared" si="1"/>
        <v>MCC046UC0596</v>
      </c>
      <c r="H10" s="35" t="str">
        <f t="shared" si="2"/>
        <v>Saída</v>
      </c>
      <c r="I10" s="25" t="s">
        <v>223</v>
      </c>
    </row>
    <row r="11" hidden="1">
      <c r="A11" s="64">
        <v>45875.0</v>
      </c>
      <c r="B11" s="66" t="s">
        <v>220</v>
      </c>
      <c r="C11" s="66" t="s">
        <v>227</v>
      </c>
      <c r="D11" s="67">
        <v>3.0</v>
      </c>
      <c r="E11" s="66"/>
      <c r="F11" s="66" t="s">
        <v>225</v>
      </c>
      <c r="G11" s="65" t="str">
        <f t="shared" si="1"/>
        <v>MCC046UC0668</v>
      </c>
      <c r="H11" s="35" t="str">
        <f t="shared" si="2"/>
        <v>Saída</v>
      </c>
      <c r="I11" s="25" t="s">
        <v>223</v>
      </c>
    </row>
    <row r="12" hidden="1">
      <c r="A12" s="64">
        <v>45875.0</v>
      </c>
      <c r="B12" s="66" t="s">
        <v>220</v>
      </c>
      <c r="C12" s="66" t="s">
        <v>228</v>
      </c>
      <c r="D12" s="67">
        <v>3.0</v>
      </c>
      <c r="E12" s="66"/>
      <c r="F12" s="66" t="s">
        <v>225</v>
      </c>
      <c r="G12" s="65" t="str">
        <f t="shared" si="1"/>
        <v>MCC046UC0598</v>
      </c>
      <c r="H12" s="35" t="str">
        <f t="shared" si="2"/>
        <v>Saída</v>
      </c>
      <c r="I12" s="25" t="s">
        <v>223</v>
      </c>
    </row>
    <row r="13" hidden="1">
      <c r="A13" s="64">
        <v>45875.0</v>
      </c>
      <c r="B13" s="66" t="s">
        <v>220</v>
      </c>
      <c r="C13" s="66" t="s">
        <v>229</v>
      </c>
      <c r="D13" s="67">
        <v>5.0</v>
      </c>
      <c r="E13" s="66"/>
      <c r="F13" s="66" t="s">
        <v>225</v>
      </c>
      <c r="G13" s="65" t="str">
        <f t="shared" si="1"/>
        <v>MCC046UC0597</v>
      </c>
      <c r="H13" s="35" t="str">
        <f t="shared" si="2"/>
        <v>Saída</v>
      </c>
      <c r="I13" s="25" t="s">
        <v>223</v>
      </c>
    </row>
    <row r="14" hidden="1">
      <c r="A14" s="64">
        <v>45875.0</v>
      </c>
      <c r="B14" s="66" t="s">
        <v>220</v>
      </c>
      <c r="C14" s="66" t="s">
        <v>230</v>
      </c>
      <c r="D14" s="67">
        <v>3.0</v>
      </c>
      <c r="E14" s="66"/>
      <c r="F14" s="66" t="s">
        <v>225</v>
      </c>
      <c r="G14" s="65" t="str">
        <f t="shared" si="1"/>
        <v>MCC046UC0658</v>
      </c>
      <c r="H14" s="35" t="str">
        <f t="shared" si="2"/>
        <v>Saída</v>
      </c>
      <c r="I14" s="25" t="s">
        <v>223</v>
      </c>
    </row>
    <row r="15" hidden="1">
      <c r="A15" s="64">
        <v>45875.0</v>
      </c>
      <c r="B15" s="66" t="s">
        <v>220</v>
      </c>
      <c r="C15" s="66" t="s">
        <v>231</v>
      </c>
      <c r="D15" s="67">
        <v>2.0</v>
      </c>
      <c r="E15" s="66"/>
      <c r="F15" s="66" t="s">
        <v>225</v>
      </c>
      <c r="G15" s="65" t="str">
        <f t="shared" si="1"/>
        <v>MCC049UC0516</v>
      </c>
      <c r="H15" s="35" t="str">
        <f t="shared" si="2"/>
        <v>Saída</v>
      </c>
      <c r="I15" s="25" t="s">
        <v>223</v>
      </c>
    </row>
    <row r="16">
      <c r="A16" s="64">
        <v>45875.0</v>
      </c>
      <c r="B16" s="66" t="s">
        <v>232</v>
      </c>
      <c r="C16" s="66" t="s">
        <v>224</v>
      </c>
      <c r="D16" s="67">
        <v>10.0</v>
      </c>
      <c r="E16" s="66"/>
      <c r="F16" s="66" t="s">
        <v>233</v>
      </c>
      <c r="G16" s="65" t="str">
        <f t="shared" si="1"/>
        <v>MCC015UC0045</v>
      </c>
      <c r="H16" s="35" t="str">
        <f t="shared" si="2"/>
        <v>Saída</v>
      </c>
      <c r="I16" s="25" t="s">
        <v>234</v>
      </c>
    </row>
    <row r="17" hidden="1">
      <c r="A17" s="64">
        <v>45876.0</v>
      </c>
      <c r="B17" s="66" t="s">
        <v>235</v>
      </c>
      <c r="C17" s="66" t="s">
        <v>236</v>
      </c>
      <c r="D17" s="67">
        <v>5.0</v>
      </c>
      <c r="E17" s="66"/>
      <c r="F17" s="66" t="s">
        <v>237</v>
      </c>
      <c r="G17" s="65" t="str">
        <f t="shared" si="1"/>
        <v>MCC046UC0659</v>
      </c>
      <c r="H17" s="35" t="str">
        <f t="shared" si="2"/>
        <v>Saída</v>
      </c>
      <c r="I17" s="25" t="s">
        <v>238</v>
      </c>
    </row>
    <row r="18" hidden="1">
      <c r="A18" s="64">
        <v>45876.0</v>
      </c>
      <c r="B18" s="66" t="s">
        <v>239</v>
      </c>
      <c r="C18" s="66" t="s">
        <v>215</v>
      </c>
      <c r="D18" s="67">
        <v>1.0</v>
      </c>
      <c r="E18" s="66"/>
      <c r="F18" s="66" t="s">
        <v>240</v>
      </c>
      <c r="G18" s="65" t="str">
        <f t="shared" si="1"/>
        <v>MCC046UC0082</v>
      </c>
      <c r="H18" s="35" t="str">
        <f t="shared" si="2"/>
        <v>Saída</v>
      </c>
      <c r="I18" s="25" t="s">
        <v>241</v>
      </c>
    </row>
    <row r="19" hidden="1">
      <c r="A19" s="64">
        <v>45876.0</v>
      </c>
      <c r="B19" s="66" t="s">
        <v>239</v>
      </c>
      <c r="C19" s="66" t="s">
        <v>242</v>
      </c>
      <c r="D19" s="67">
        <v>1.0</v>
      </c>
      <c r="E19" s="66"/>
      <c r="F19" s="66" t="s">
        <v>243</v>
      </c>
      <c r="G19" s="65" t="str">
        <f t="shared" si="1"/>
        <v>MCC046UC0687</v>
      </c>
      <c r="H19" s="35" t="str">
        <f t="shared" si="2"/>
        <v>Saída</v>
      </c>
      <c r="I19" s="25" t="s">
        <v>241</v>
      </c>
    </row>
    <row r="20" hidden="1">
      <c r="A20" s="64">
        <v>45876.0</v>
      </c>
      <c r="B20" s="66" t="s">
        <v>244</v>
      </c>
      <c r="C20" s="66" t="s">
        <v>245</v>
      </c>
      <c r="D20" s="67">
        <v>3.0</v>
      </c>
      <c r="E20" s="66"/>
      <c r="F20" s="66" t="s">
        <v>246</v>
      </c>
      <c r="G20" s="65" t="str">
        <f t="shared" si="1"/>
        <v>MCC015UC0008</v>
      </c>
      <c r="H20" s="35" t="str">
        <f t="shared" si="2"/>
        <v>Saída</v>
      </c>
      <c r="I20" s="25" t="s">
        <v>247</v>
      </c>
    </row>
    <row r="21" hidden="1">
      <c r="A21" s="64">
        <v>45877.0</v>
      </c>
      <c r="B21" s="66" t="s">
        <v>239</v>
      </c>
      <c r="C21" s="66" t="s">
        <v>248</v>
      </c>
      <c r="D21" s="67">
        <v>1.0</v>
      </c>
      <c r="E21" s="66"/>
      <c r="F21" s="66" t="s">
        <v>249</v>
      </c>
      <c r="G21" s="65" t="str">
        <f t="shared" si="1"/>
        <v>MCC046UC0387</v>
      </c>
      <c r="H21" s="35" t="str">
        <f t="shared" si="2"/>
        <v>Saída</v>
      </c>
      <c r="I21" s="25" t="s">
        <v>241</v>
      </c>
    </row>
    <row r="22" hidden="1">
      <c r="A22" s="64">
        <v>45877.0</v>
      </c>
      <c r="B22" s="66" t="s">
        <v>203</v>
      </c>
      <c r="C22" s="66" t="s">
        <v>250</v>
      </c>
      <c r="D22" s="67">
        <v>1.0</v>
      </c>
      <c r="E22" s="66"/>
      <c r="F22" s="66" t="s">
        <v>251</v>
      </c>
      <c r="G22" s="65" t="str">
        <f t="shared" si="1"/>
        <v>MCC046UC0526</v>
      </c>
      <c r="H22" s="35" t="str">
        <f t="shared" si="2"/>
        <v>Saída</v>
      </c>
      <c r="I22" s="25" t="s">
        <v>205</v>
      </c>
    </row>
    <row r="23" hidden="1">
      <c r="A23" s="64">
        <v>45877.0</v>
      </c>
      <c r="B23" s="66" t="s">
        <v>203</v>
      </c>
      <c r="C23" s="66" t="s">
        <v>215</v>
      </c>
      <c r="D23" s="67">
        <v>1.0</v>
      </c>
      <c r="E23" s="66"/>
      <c r="F23" s="66" t="s">
        <v>252</v>
      </c>
      <c r="G23" s="65" t="str">
        <f t="shared" si="1"/>
        <v>MCC046UC0082</v>
      </c>
      <c r="H23" s="35" t="str">
        <f t="shared" si="2"/>
        <v>Saída</v>
      </c>
      <c r="I23" s="25" t="s">
        <v>205</v>
      </c>
    </row>
    <row r="24" hidden="1">
      <c r="A24" s="64">
        <v>45877.0</v>
      </c>
      <c r="B24" s="66" t="s">
        <v>235</v>
      </c>
      <c r="C24" s="66" t="s">
        <v>253</v>
      </c>
      <c r="D24" s="67">
        <v>3.0</v>
      </c>
      <c r="E24" s="66"/>
      <c r="F24" s="66" t="s">
        <v>254</v>
      </c>
      <c r="G24" s="65" t="str">
        <f t="shared" si="1"/>
        <v>MCC046UC0599</v>
      </c>
      <c r="H24" s="35" t="str">
        <f t="shared" si="2"/>
        <v>Saída</v>
      </c>
      <c r="I24" s="25" t="s">
        <v>238</v>
      </c>
    </row>
    <row r="25" hidden="1">
      <c r="A25" s="64">
        <v>45877.0</v>
      </c>
      <c r="B25" s="66" t="s">
        <v>200</v>
      </c>
      <c r="C25" s="66" t="s">
        <v>255</v>
      </c>
      <c r="D25" s="67">
        <v>15.0</v>
      </c>
      <c r="E25" s="66"/>
      <c r="F25" s="66" t="s">
        <v>256</v>
      </c>
      <c r="G25" s="65" t="str">
        <f t="shared" si="1"/>
        <v>MCC046UC0215</v>
      </c>
      <c r="H25" s="35" t="str">
        <f t="shared" si="2"/>
        <v>Saída</v>
      </c>
      <c r="I25" s="25" t="s">
        <v>257</v>
      </c>
    </row>
    <row r="26" hidden="1">
      <c r="A26" s="64">
        <v>45880.0</v>
      </c>
      <c r="B26" s="66" t="s">
        <v>258</v>
      </c>
      <c r="C26" s="66" t="s">
        <v>215</v>
      </c>
      <c r="D26" s="67">
        <v>10.0</v>
      </c>
      <c r="E26" s="66"/>
      <c r="F26" s="66" t="s">
        <v>259</v>
      </c>
      <c r="G26" s="65" t="str">
        <f t="shared" si="1"/>
        <v>MCC046UC0082</v>
      </c>
      <c r="H26" s="35" t="str">
        <f t="shared" si="2"/>
        <v>Saída</v>
      </c>
      <c r="I26" s="25" t="s">
        <v>260</v>
      </c>
    </row>
    <row r="27" hidden="1">
      <c r="A27" s="64">
        <v>45880.0</v>
      </c>
      <c r="B27" s="66" t="s">
        <v>258</v>
      </c>
      <c r="C27" s="66" t="s">
        <v>261</v>
      </c>
      <c r="D27" s="67">
        <v>24.0</v>
      </c>
      <c r="E27" s="66"/>
      <c r="F27" s="66" t="s">
        <v>262</v>
      </c>
      <c r="G27" s="65" t="str">
        <f t="shared" si="1"/>
        <v>EMC015MO0001</v>
      </c>
      <c r="H27" s="35" t="str">
        <f t="shared" si="2"/>
        <v>Saída</v>
      </c>
      <c r="I27" s="25" t="s">
        <v>260</v>
      </c>
    </row>
    <row r="28" hidden="1">
      <c r="A28" s="64">
        <v>45880.0</v>
      </c>
      <c r="B28" s="66" t="s">
        <v>258</v>
      </c>
      <c r="C28" s="66" t="s">
        <v>263</v>
      </c>
      <c r="D28" s="67">
        <v>1.0</v>
      </c>
      <c r="E28" s="66"/>
      <c r="F28" s="66" t="s">
        <v>264</v>
      </c>
      <c r="G28" s="65" t="str">
        <f t="shared" si="1"/>
        <v>MCC015UC0038</v>
      </c>
      <c r="H28" s="35" t="str">
        <f t="shared" si="2"/>
        <v>Saída</v>
      </c>
      <c r="I28" s="25" t="s">
        <v>260</v>
      </c>
    </row>
    <row r="29" hidden="1">
      <c r="A29" s="64">
        <v>45880.0</v>
      </c>
      <c r="B29" s="66" t="s">
        <v>235</v>
      </c>
      <c r="C29" s="66" t="s">
        <v>255</v>
      </c>
      <c r="D29" s="67">
        <v>3.0</v>
      </c>
      <c r="E29" s="66"/>
      <c r="F29" s="66" t="s">
        <v>265</v>
      </c>
      <c r="G29" s="65" t="str">
        <f t="shared" si="1"/>
        <v>MCC046UC0215</v>
      </c>
      <c r="H29" s="35" t="str">
        <f t="shared" si="2"/>
        <v>Saída</v>
      </c>
      <c r="I29" s="25" t="s">
        <v>238</v>
      </c>
    </row>
    <row r="30">
      <c r="A30" s="64">
        <v>45881.0</v>
      </c>
      <c r="B30" s="66" t="s">
        <v>210</v>
      </c>
      <c r="C30" s="66" t="s">
        <v>224</v>
      </c>
      <c r="D30" s="67">
        <v>1.0</v>
      </c>
      <c r="E30" s="66"/>
      <c r="F30" s="66" t="s">
        <v>266</v>
      </c>
      <c r="G30" s="65" t="str">
        <f t="shared" si="1"/>
        <v>MCC015UC0045</v>
      </c>
      <c r="H30" s="35" t="str">
        <f t="shared" si="2"/>
        <v>Saída</v>
      </c>
      <c r="I30" s="25" t="s">
        <v>213</v>
      </c>
    </row>
    <row r="31" hidden="1">
      <c r="A31" s="64">
        <v>45881.0</v>
      </c>
      <c r="B31" s="66" t="s">
        <v>210</v>
      </c>
      <c r="C31" s="66" t="s">
        <v>242</v>
      </c>
      <c r="D31" s="67">
        <v>3.0</v>
      </c>
      <c r="E31" s="66"/>
      <c r="F31" s="66" t="s">
        <v>267</v>
      </c>
      <c r="G31" s="65" t="str">
        <f t="shared" si="1"/>
        <v>MCC046UC0687</v>
      </c>
      <c r="H31" s="35" t="str">
        <f t="shared" si="2"/>
        <v>Saída</v>
      </c>
      <c r="I31" s="25" t="s">
        <v>213</v>
      </c>
    </row>
    <row r="32" hidden="1">
      <c r="A32" s="64">
        <v>45881.0</v>
      </c>
      <c r="B32" s="66" t="s">
        <v>244</v>
      </c>
      <c r="C32" s="66" t="s">
        <v>245</v>
      </c>
      <c r="D32" s="67">
        <v>3.0</v>
      </c>
      <c r="E32" s="66"/>
      <c r="F32" s="66" t="s">
        <v>268</v>
      </c>
      <c r="G32" s="65" t="str">
        <f t="shared" si="1"/>
        <v>MCC015UC0008</v>
      </c>
      <c r="H32" s="35" t="str">
        <f t="shared" si="2"/>
        <v>Saída</v>
      </c>
      <c r="I32" s="25" t="s">
        <v>247</v>
      </c>
    </row>
    <row r="33">
      <c r="A33" s="64">
        <v>45881.0</v>
      </c>
      <c r="B33" s="66" t="s">
        <v>220</v>
      </c>
      <c r="C33" s="66" t="s">
        <v>224</v>
      </c>
      <c r="D33" s="67">
        <v>24.0</v>
      </c>
      <c r="E33" s="66"/>
      <c r="F33" s="66" t="s">
        <v>269</v>
      </c>
      <c r="G33" s="65" t="str">
        <f t="shared" si="1"/>
        <v>MCC015UC0045</v>
      </c>
      <c r="H33" s="35" t="str">
        <f t="shared" si="2"/>
        <v>Saída</v>
      </c>
      <c r="I33" s="25" t="s">
        <v>223</v>
      </c>
    </row>
    <row r="34" hidden="1">
      <c r="A34" s="64">
        <v>45881.0</v>
      </c>
      <c r="B34" s="66" t="s">
        <v>270</v>
      </c>
      <c r="C34" s="66" t="s">
        <v>271</v>
      </c>
      <c r="D34" s="67">
        <v>2.0</v>
      </c>
      <c r="E34" s="66"/>
      <c r="F34" s="66" t="s">
        <v>272</v>
      </c>
      <c r="G34" s="65" t="str">
        <f t="shared" si="1"/>
        <v>MCC046UC0216</v>
      </c>
      <c r="H34" s="35" t="str">
        <f t="shared" si="2"/>
        <v>Saída</v>
      </c>
      <c r="I34" s="25" t="s">
        <v>273</v>
      </c>
    </row>
    <row r="35" hidden="1">
      <c r="A35" s="64">
        <v>45881.0</v>
      </c>
      <c r="B35" s="66" t="s">
        <v>232</v>
      </c>
      <c r="C35" s="66" t="s">
        <v>218</v>
      </c>
      <c r="D35" s="67">
        <v>1.0</v>
      </c>
      <c r="E35" s="66"/>
      <c r="F35" s="66" t="s">
        <v>274</v>
      </c>
      <c r="G35" s="65" t="str">
        <f t="shared" si="1"/>
        <v>MCC046UC0398</v>
      </c>
      <c r="H35" s="35" t="str">
        <f t="shared" si="2"/>
        <v>Saída</v>
      </c>
      <c r="I35" s="25" t="s">
        <v>234</v>
      </c>
    </row>
    <row r="36" hidden="1">
      <c r="A36" s="64">
        <v>45882.0</v>
      </c>
      <c r="B36" s="66" t="s">
        <v>214</v>
      </c>
      <c r="C36" s="66" t="s">
        <v>255</v>
      </c>
      <c r="D36" s="67">
        <v>5.0</v>
      </c>
      <c r="E36" s="66"/>
      <c r="F36" s="66" t="s">
        <v>275</v>
      </c>
      <c r="G36" s="65" t="str">
        <f t="shared" si="1"/>
        <v>MCC046UC0215</v>
      </c>
      <c r="H36" s="35" t="str">
        <f t="shared" si="2"/>
        <v>Saída</v>
      </c>
      <c r="I36" s="25" t="s">
        <v>217</v>
      </c>
    </row>
    <row r="37" hidden="1">
      <c r="A37" s="64">
        <v>45882.0</v>
      </c>
      <c r="B37" s="66" t="s">
        <v>210</v>
      </c>
      <c r="C37" s="66" t="s">
        <v>242</v>
      </c>
      <c r="D37" s="67">
        <v>2.0</v>
      </c>
      <c r="E37" s="66"/>
      <c r="F37" s="66" t="s">
        <v>276</v>
      </c>
      <c r="G37" s="65" t="str">
        <f t="shared" si="1"/>
        <v>MCC046UC0687</v>
      </c>
      <c r="H37" s="35" t="str">
        <f t="shared" si="2"/>
        <v>Saída</v>
      </c>
      <c r="I37" s="25" t="s">
        <v>213</v>
      </c>
    </row>
    <row r="38" hidden="1">
      <c r="A38" s="64">
        <v>45882.0</v>
      </c>
      <c r="B38" s="66" t="s">
        <v>214</v>
      </c>
      <c r="C38" s="66" t="s">
        <v>218</v>
      </c>
      <c r="D38" s="67">
        <v>1.0</v>
      </c>
      <c r="E38" s="66"/>
      <c r="F38" s="66" t="s">
        <v>251</v>
      </c>
      <c r="G38" s="65" t="str">
        <f t="shared" si="1"/>
        <v>MCC046UC0398</v>
      </c>
      <c r="H38" s="35" t="str">
        <f t="shared" si="2"/>
        <v>Saída</v>
      </c>
      <c r="I38" s="25" t="s">
        <v>217</v>
      </c>
    </row>
    <row r="39" hidden="1">
      <c r="A39" s="64">
        <v>45882.0</v>
      </c>
      <c r="B39" s="66" t="s">
        <v>239</v>
      </c>
      <c r="C39" s="66" t="s">
        <v>242</v>
      </c>
      <c r="D39" s="67">
        <v>1.0</v>
      </c>
      <c r="E39" s="66"/>
      <c r="F39" s="66" t="s">
        <v>277</v>
      </c>
      <c r="G39" s="65" t="str">
        <f t="shared" si="1"/>
        <v>MCC046UC0687</v>
      </c>
      <c r="H39" s="35" t="str">
        <f t="shared" si="2"/>
        <v>Saída</v>
      </c>
      <c r="I39" s="25" t="s">
        <v>241</v>
      </c>
    </row>
    <row r="40" hidden="1">
      <c r="A40" s="64">
        <v>45882.0</v>
      </c>
      <c r="B40" s="66" t="s">
        <v>232</v>
      </c>
      <c r="C40" s="66" t="s">
        <v>215</v>
      </c>
      <c r="D40" s="67">
        <v>2.0</v>
      </c>
      <c r="E40" s="66"/>
      <c r="F40" s="66" t="s">
        <v>278</v>
      </c>
      <c r="G40" s="65" t="str">
        <f t="shared" si="1"/>
        <v>MCC046UC0082</v>
      </c>
      <c r="H40" s="35" t="str">
        <f t="shared" si="2"/>
        <v>Saída</v>
      </c>
      <c r="I40" s="25" t="s">
        <v>234</v>
      </c>
    </row>
    <row r="41" hidden="1">
      <c r="A41" s="64">
        <v>45882.0</v>
      </c>
      <c r="B41" s="66" t="s">
        <v>232</v>
      </c>
      <c r="C41" s="66" t="s">
        <v>255</v>
      </c>
      <c r="D41" s="67">
        <v>2.0</v>
      </c>
      <c r="E41" s="66"/>
      <c r="F41" s="66" t="s">
        <v>279</v>
      </c>
      <c r="G41" s="65" t="str">
        <f t="shared" si="1"/>
        <v>MCC046UC0215</v>
      </c>
      <c r="H41" s="35" t="str">
        <f t="shared" si="2"/>
        <v>Saída</v>
      </c>
      <c r="I41" s="25" t="s">
        <v>234</v>
      </c>
    </row>
    <row r="42" hidden="1">
      <c r="A42" s="64">
        <v>45883.0</v>
      </c>
      <c r="B42" s="66" t="s">
        <v>210</v>
      </c>
      <c r="C42" s="66" t="s">
        <v>280</v>
      </c>
      <c r="D42" s="67">
        <v>3.0</v>
      </c>
      <c r="E42" s="66"/>
      <c r="F42" s="66" t="s">
        <v>281</v>
      </c>
      <c r="G42" s="65" t="str">
        <f t="shared" si="1"/>
        <v>MCC049UC0601</v>
      </c>
      <c r="H42" s="35" t="str">
        <f t="shared" si="2"/>
        <v>Saída</v>
      </c>
      <c r="I42" s="25" t="s">
        <v>213</v>
      </c>
    </row>
    <row r="43" hidden="1">
      <c r="A43" s="64">
        <v>45883.0</v>
      </c>
      <c r="B43" s="66" t="s">
        <v>282</v>
      </c>
      <c r="C43" s="66" t="s">
        <v>271</v>
      </c>
      <c r="D43" s="67">
        <v>1.0</v>
      </c>
      <c r="E43" s="66"/>
      <c r="F43" s="66" t="s">
        <v>283</v>
      </c>
      <c r="G43" s="65" t="str">
        <f t="shared" si="1"/>
        <v>MCC046UC0216</v>
      </c>
      <c r="H43" s="35" t="str">
        <f t="shared" si="2"/>
        <v>Saída</v>
      </c>
      <c r="I43" s="25" t="s">
        <v>284</v>
      </c>
    </row>
    <row r="44" hidden="1">
      <c r="A44" s="64">
        <v>45883.0</v>
      </c>
      <c r="B44" s="66" t="s">
        <v>282</v>
      </c>
      <c r="C44" s="66" t="s">
        <v>280</v>
      </c>
      <c r="D44" s="67">
        <v>1.0</v>
      </c>
      <c r="E44" s="66"/>
      <c r="F44" s="66" t="s">
        <v>285</v>
      </c>
      <c r="G44" s="65" t="str">
        <f t="shared" si="1"/>
        <v>MCC049UC0601</v>
      </c>
      <c r="H44" s="35" t="str">
        <f t="shared" si="2"/>
        <v>Saída</v>
      </c>
      <c r="I44" s="25" t="s">
        <v>284</v>
      </c>
    </row>
    <row r="45">
      <c r="A45" s="64">
        <v>45883.0</v>
      </c>
      <c r="B45" s="66" t="s">
        <v>282</v>
      </c>
      <c r="C45" s="66" t="s">
        <v>224</v>
      </c>
      <c r="D45" s="67">
        <v>24.0</v>
      </c>
      <c r="E45" s="66"/>
      <c r="F45" s="66" t="s">
        <v>286</v>
      </c>
      <c r="G45" s="65" t="str">
        <f t="shared" si="1"/>
        <v>MCC015UC0045</v>
      </c>
      <c r="H45" s="35" t="str">
        <f t="shared" si="2"/>
        <v>Saída</v>
      </c>
      <c r="I45" s="25" t="s">
        <v>284</v>
      </c>
    </row>
    <row r="46" hidden="1">
      <c r="A46" s="64">
        <v>45883.0</v>
      </c>
      <c r="B46" s="66" t="s">
        <v>239</v>
      </c>
      <c r="C46" s="66" t="s">
        <v>255</v>
      </c>
      <c r="D46" s="67">
        <v>10.0</v>
      </c>
      <c r="E46" s="66"/>
      <c r="F46" s="66" t="s">
        <v>287</v>
      </c>
      <c r="G46" s="65" t="str">
        <f t="shared" si="1"/>
        <v>MCC046UC0215</v>
      </c>
      <c r="H46" s="35" t="str">
        <f t="shared" si="2"/>
        <v>Saída</v>
      </c>
      <c r="I46" s="25" t="s">
        <v>241</v>
      </c>
    </row>
    <row r="47" hidden="1">
      <c r="A47" s="64">
        <v>45887.0</v>
      </c>
      <c r="B47" s="66" t="s">
        <v>270</v>
      </c>
      <c r="C47" s="66" t="s">
        <v>255</v>
      </c>
      <c r="D47" s="67">
        <v>4.0</v>
      </c>
      <c r="E47" s="66"/>
      <c r="F47" s="66" t="s">
        <v>288</v>
      </c>
      <c r="G47" s="65" t="str">
        <f t="shared" si="1"/>
        <v>MCC046UC0215</v>
      </c>
      <c r="H47" s="35" t="str">
        <f t="shared" si="2"/>
        <v>Saída</v>
      </c>
      <c r="I47" s="25" t="s">
        <v>273</v>
      </c>
    </row>
    <row r="48">
      <c r="A48" s="64">
        <v>45887.0</v>
      </c>
      <c r="B48" s="66" t="s">
        <v>220</v>
      </c>
      <c r="C48" s="66" t="s">
        <v>224</v>
      </c>
      <c r="D48" s="67">
        <v>12.0</v>
      </c>
      <c r="E48" s="66"/>
      <c r="F48" s="66" t="s">
        <v>289</v>
      </c>
      <c r="G48" s="65" t="str">
        <f t="shared" si="1"/>
        <v>MCC015UC0045</v>
      </c>
      <c r="H48" s="35" t="str">
        <f t="shared" si="2"/>
        <v>Saída</v>
      </c>
      <c r="I48" s="25" t="s">
        <v>223</v>
      </c>
    </row>
    <row r="49">
      <c r="A49" s="64">
        <v>45887.0</v>
      </c>
      <c r="B49" s="66" t="s">
        <v>214</v>
      </c>
      <c r="C49" s="66" t="s">
        <v>224</v>
      </c>
      <c r="D49" s="67">
        <v>3.0</v>
      </c>
      <c r="E49" s="66"/>
      <c r="F49" s="66" t="s">
        <v>290</v>
      </c>
      <c r="G49" s="65" t="str">
        <f t="shared" si="1"/>
        <v>MCC015UC0045</v>
      </c>
      <c r="H49" s="35" t="str">
        <f t="shared" si="2"/>
        <v>Saída</v>
      </c>
      <c r="I49" s="25" t="s">
        <v>217</v>
      </c>
    </row>
    <row r="50" hidden="1">
      <c r="A50" s="64">
        <v>45887.0</v>
      </c>
      <c r="B50" s="66" t="s">
        <v>232</v>
      </c>
      <c r="C50" s="66" t="s">
        <v>291</v>
      </c>
      <c r="D50" s="67">
        <v>2.0</v>
      </c>
      <c r="E50" s="66"/>
      <c r="F50" s="66" t="s">
        <v>292</v>
      </c>
      <c r="G50" s="65" t="str">
        <f t="shared" si="1"/>
        <v>MCC046UC0695</v>
      </c>
      <c r="H50" s="35" t="str">
        <f t="shared" si="2"/>
        <v>Saída</v>
      </c>
      <c r="I50" s="25" t="s">
        <v>234</v>
      </c>
    </row>
    <row r="51" hidden="1">
      <c r="A51" s="64">
        <v>45888.0</v>
      </c>
      <c r="B51" s="66" t="s">
        <v>235</v>
      </c>
      <c r="C51" s="66" t="s">
        <v>271</v>
      </c>
      <c r="D51" s="67">
        <v>3.0</v>
      </c>
      <c r="E51" s="66"/>
      <c r="F51" s="66" t="s">
        <v>293</v>
      </c>
      <c r="G51" s="65" t="str">
        <f t="shared" si="1"/>
        <v>MCC046UC0216</v>
      </c>
      <c r="H51" s="35" t="str">
        <f t="shared" si="2"/>
        <v>Saída</v>
      </c>
      <c r="I51" s="25" t="s">
        <v>238</v>
      </c>
    </row>
    <row r="52" hidden="1">
      <c r="A52" s="64">
        <v>45888.0</v>
      </c>
      <c r="B52" s="66" t="s">
        <v>294</v>
      </c>
      <c r="C52" s="66" t="s">
        <v>218</v>
      </c>
      <c r="D52" s="67">
        <v>4.0</v>
      </c>
      <c r="E52" s="66"/>
      <c r="F52" s="66" t="s">
        <v>295</v>
      </c>
      <c r="G52" s="65" t="str">
        <f t="shared" si="1"/>
        <v>MCC046UC0398</v>
      </c>
      <c r="H52" s="35" t="str">
        <f t="shared" si="2"/>
        <v>Saída</v>
      </c>
      <c r="I52" s="25" t="s">
        <v>296</v>
      </c>
    </row>
    <row r="53" hidden="1">
      <c r="A53" s="64">
        <v>45889.0</v>
      </c>
      <c r="B53" s="66" t="s">
        <v>297</v>
      </c>
      <c r="C53" s="66" t="s">
        <v>298</v>
      </c>
      <c r="D53" s="67">
        <v>1.0</v>
      </c>
      <c r="E53" s="66"/>
      <c r="F53" s="66" t="s">
        <v>299</v>
      </c>
      <c r="G53" s="65" t="str">
        <f t="shared" si="1"/>
        <v>MCC046UC0639</v>
      </c>
      <c r="H53" s="35" t="str">
        <f t="shared" si="2"/>
        <v>Saída</v>
      </c>
      <c r="I53" s="25" t="s">
        <v>300</v>
      </c>
    </row>
    <row r="54">
      <c r="A54" s="64">
        <v>45889.0</v>
      </c>
      <c r="B54" s="66" t="s">
        <v>235</v>
      </c>
      <c r="C54" s="66" t="s">
        <v>224</v>
      </c>
      <c r="D54" s="67">
        <v>4.0</v>
      </c>
      <c r="E54" s="66"/>
      <c r="F54" s="66" t="s">
        <v>301</v>
      </c>
      <c r="G54" s="65" t="str">
        <f t="shared" si="1"/>
        <v>MCC015UC0045</v>
      </c>
      <c r="H54" s="35" t="str">
        <f t="shared" si="2"/>
        <v>Saída</v>
      </c>
      <c r="I54" s="25" t="s">
        <v>238</v>
      </c>
    </row>
    <row r="55">
      <c r="A55" s="64">
        <v>45889.0</v>
      </c>
      <c r="B55" s="66" t="s">
        <v>302</v>
      </c>
      <c r="C55" s="66" t="s">
        <v>224</v>
      </c>
      <c r="D55" s="67">
        <v>2.0</v>
      </c>
      <c r="E55" s="66"/>
      <c r="F55" s="66" t="s">
        <v>303</v>
      </c>
      <c r="G55" s="65" t="str">
        <f t="shared" si="1"/>
        <v>MCC015UC0045</v>
      </c>
      <c r="H55" s="35" t="str">
        <f t="shared" si="2"/>
        <v>Saída</v>
      </c>
      <c r="I55" s="25" t="s">
        <v>304</v>
      </c>
    </row>
    <row r="56" hidden="1">
      <c r="A56" s="64">
        <v>45889.0</v>
      </c>
      <c r="B56" s="66" t="s">
        <v>305</v>
      </c>
      <c r="C56" s="66" t="s">
        <v>228</v>
      </c>
      <c r="D56" s="67">
        <v>3.0</v>
      </c>
      <c r="E56" s="66"/>
      <c r="F56" s="66" t="s">
        <v>306</v>
      </c>
      <c r="G56" s="65" t="str">
        <f t="shared" si="1"/>
        <v>MCC046UC0598</v>
      </c>
      <c r="H56" s="35" t="str">
        <f t="shared" si="2"/>
        <v>Saída</v>
      </c>
      <c r="I56" s="25" t="s">
        <v>307</v>
      </c>
    </row>
    <row r="57" hidden="1">
      <c r="A57" s="64">
        <v>45889.0</v>
      </c>
      <c r="B57" s="66" t="s">
        <v>210</v>
      </c>
      <c r="C57" s="66" t="s">
        <v>215</v>
      </c>
      <c r="D57" s="67">
        <v>48.0</v>
      </c>
      <c r="E57" s="66"/>
      <c r="F57" s="66" t="s">
        <v>308</v>
      </c>
      <c r="G57" s="65" t="str">
        <f t="shared" si="1"/>
        <v>MCC046UC0082</v>
      </c>
      <c r="H57" s="35" t="str">
        <f t="shared" si="2"/>
        <v>Saída</v>
      </c>
      <c r="I57" s="25" t="s">
        <v>213</v>
      </c>
    </row>
    <row r="58">
      <c r="A58" s="64">
        <v>45889.0</v>
      </c>
      <c r="B58" s="66" t="s">
        <v>270</v>
      </c>
      <c r="C58" s="66" t="s">
        <v>224</v>
      </c>
      <c r="D58" s="67">
        <v>2.0</v>
      </c>
      <c r="E58" s="66"/>
      <c r="F58" s="66" t="s">
        <v>309</v>
      </c>
      <c r="G58" s="65" t="str">
        <f t="shared" si="1"/>
        <v>MCC015UC0045</v>
      </c>
      <c r="H58" s="35" t="str">
        <f t="shared" si="2"/>
        <v>Saída</v>
      </c>
      <c r="I58" s="25" t="s">
        <v>273</v>
      </c>
    </row>
    <row r="59" hidden="1">
      <c r="A59" s="64">
        <v>45889.0</v>
      </c>
      <c r="B59" s="66" t="s">
        <v>200</v>
      </c>
      <c r="C59" s="66" t="s">
        <v>245</v>
      </c>
      <c r="D59" s="67">
        <v>1.0</v>
      </c>
      <c r="E59" s="66"/>
      <c r="F59" s="66" t="s">
        <v>310</v>
      </c>
      <c r="G59" s="65" t="str">
        <f t="shared" si="1"/>
        <v>MCC015UC0008</v>
      </c>
      <c r="H59" s="35" t="str">
        <f t="shared" si="2"/>
        <v>Saída</v>
      </c>
      <c r="I59" s="25" t="s">
        <v>257</v>
      </c>
    </row>
    <row r="60" hidden="1">
      <c r="A60" s="64">
        <v>45890.0</v>
      </c>
      <c r="B60" s="66" t="s">
        <v>210</v>
      </c>
      <c r="C60" s="66" t="s">
        <v>311</v>
      </c>
      <c r="D60" s="67">
        <v>2.0</v>
      </c>
      <c r="E60" s="66"/>
      <c r="F60" s="66" t="s">
        <v>312</v>
      </c>
      <c r="G60" s="65" t="str">
        <f t="shared" si="1"/>
        <v>MCC046UC0638</v>
      </c>
      <c r="H60" s="35" t="str">
        <f t="shared" si="2"/>
        <v>Saída</v>
      </c>
      <c r="I60" s="25" t="s">
        <v>213</v>
      </c>
    </row>
    <row r="61" hidden="1">
      <c r="A61" s="64">
        <v>45890.0</v>
      </c>
      <c r="B61" s="66" t="s">
        <v>305</v>
      </c>
      <c r="C61" s="66" t="s">
        <v>236</v>
      </c>
      <c r="D61" s="67">
        <v>6.0</v>
      </c>
      <c r="E61" s="66"/>
      <c r="F61" s="66" t="s">
        <v>313</v>
      </c>
      <c r="G61" s="65" t="str">
        <f t="shared" si="1"/>
        <v>MCC046UC0659</v>
      </c>
      <c r="H61" s="35" t="str">
        <f t="shared" si="2"/>
        <v>Saída</v>
      </c>
      <c r="I61" s="25" t="s">
        <v>307</v>
      </c>
    </row>
    <row r="62" hidden="1">
      <c r="A62" s="64">
        <v>45890.0</v>
      </c>
      <c r="B62" s="66" t="s">
        <v>305</v>
      </c>
      <c r="C62" s="66" t="s">
        <v>314</v>
      </c>
      <c r="D62" s="67">
        <v>6.0</v>
      </c>
      <c r="E62" s="66"/>
      <c r="F62" s="66" t="s">
        <v>313</v>
      </c>
      <c r="G62" s="65" t="str">
        <f t="shared" si="1"/>
        <v>MCC015UC0047</v>
      </c>
      <c r="H62" s="35" t="str">
        <f t="shared" si="2"/>
        <v>Saída</v>
      </c>
      <c r="I62" s="25" t="s">
        <v>307</v>
      </c>
    </row>
    <row r="63" hidden="1">
      <c r="A63" s="64">
        <v>45890.0</v>
      </c>
      <c r="B63" s="66" t="s">
        <v>210</v>
      </c>
      <c r="C63" s="66" t="s">
        <v>271</v>
      </c>
      <c r="D63" s="67">
        <v>8.0</v>
      </c>
      <c r="E63" s="66"/>
      <c r="F63" s="66" t="s">
        <v>315</v>
      </c>
      <c r="G63" s="65" t="str">
        <f t="shared" si="1"/>
        <v>MCC046UC0216</v>
      </c>
      <c r="H63" s="35" t="str">
        <f t="shared" si="2"/>
        <v>Saída</v>
      </c>
      <c r="I63" s="25" t="s">
        <v>213</v>
      </c>
    </row>
    <row r="64" hidden="1">
      <c r="A64" s="64">
        <v>45890.0</v>
      </c>
      <c r="B64" s="66" t="s">
        <v>305</v>
      </c>
      <c r="C64" s="66" t="s">
        <v>271</v>
      </c>
      <c r="D64" s="67">
        <v>4.0</v>
      </c>
      <c r="E64" s="66"/>
      <c r="F64" s="66" t="s">
        <v>313</v>
      </c>
      <c r="G64" s="65" t="str">
        <f t="shared" si="1"/>
        <v>MCC046UC0216</v>
      </c>
      <c r="H64" s="35" t="str">
        <f t="shared" si="2"/>
        <v>Saída</v>
      </c>
      <c r="I64" s="25" t="s">
        <v>307</v>
      </c>
    </row>
    <row r="65" hidden="1">
      <c r="A65" s="64">
        <v>45890.0</v>
      </c>
      <c r="B65" s="66" t="s">
        <v>305</v>
      </c>
      <c r="C65" s="66" t="s">
        <v>226</v>
      </c>
      <c r="D65" s="67">
        <v>4.0</v>
      </c>
      <c r="E65" s="66"/>
      <c r="F65" s="66" t="s">
        <v>313</v>
      </c>
      <c r="G65" s="65" t="str">
        <f t="shared" si="1"/>
        <v>MCC046UC0596</v>
      </c>
      <c r="H65" s="35" t="str">
        <f t="shared" si="2"/>
        <v>Saída</v>
      </c>
      <c r="I65" s="25" t="s">
        <v>307</v>
      </c>
    </row>
    <row r="66" hidden="1">
      <c r="A66" s="64">
        <v>45890.0</v>
      </c>
      <c r="B66" s="66" t="s">
        <v>305</v>
      </c>
      <c r="C66" s="66" t="s">
        <v>227</v>
      </c>
      <c r="D66" s="67">
        <v>4.0</v>
      </c>
      <c r="E66" s="66"/>
      <c r="F66" s="66" t="s">
        <v>313</v>
      </c>
      <c r="G66" s="65" t="str">
        <f t="shared" si="1"/>
        <v>MCC046UC0668</v>
      </c>
      <c r="H66" s="35" t="str">
        <f t="shared" si="2"/>
        <v>Saída</v>
      </c>
      <c r="I66" s="25" t="s">
        <v>307</v>
      </c>
    </row>
    <row r="67">
      <c r="A67" s="64">
        <v>45890.0</v>
      </c>
      <c r="B67" s="66" t="s">
        <v>305</v>
      </c>
      <c r="C67" s="66" t="s">
        <v>224</v>
      </c>
      <c r="D67" s="67">
        <v>12.0</v>
      </c>
      <c r="E67" s="66"/>
      <c r="F67" s="66" t="s">
        <v>316</v>
      </c>
      <c r="G67" s="65" t="str">
        <f t="shared" si="1"/>
        <v>MCC015UC0045</v>
      </c>
      <c r="H67" s="35" t="str">
        <f t="shared" si="2"/>
        <v>Saída</v>
      </c>
      <c r="I67" s="25" t="s">
        <v>307</v>
      </c>
    </row>
    <row r="68" hidden="1">
      <c r="A68" s="64">
        <v>45890.0</v>
      </c>
      <c r="B68" s="66" t="s">
        <v>305</v>
      </c>
      <c r="C68" s="66" t="s">
        <v>229</v>
      </c>
      <c r="D68" s="67">
        <v>6.0</v>
      </c>
      <c r="E68" s="66"/>
      <c r="F68" s="66" t="s">
        <v>317</v>
      </c>
      <c r="G68" s="65" t="str">
        <f t="shared" si="1"/>
        <v>MCC046UC0597</v>
      </c>
      <c r="H68" s="35" t="str">
        <f t="shared" si="2"/>
        <v>Saída</v>
      </c>
      <c r="I68" s="25" t="s">
        <v>307</v>
      </c>
    </row>
    <row r="69" hidden="1">
      <c r="A69" s="64">
        <v>45890.0</v>
      </c>
      <c r="B69" s="66" t="s">
        <v>305</v>
      </c>
      <c r="C69" s="66" t="s">
        <v>230</v>
      </c>
      <c r="D69" s="67">
        <v>4.0</v>
      </c>
      <c r="E69" s="66"/>
      <c r="F69" s="66" t="s">
        <v>313</v>
      </c>
      <c r="G69" s="65" t="str">
        <f t="shared" si="1"/>
        <v>MCC046UC0658</v>
      </c>
      <c r="H69" s="35" t="str">
        <f t="shared" si="2"/>
        <v>Saída</v>
      </c>
      <c r="I69" s="25" t="s">
        <v>307</v>
      </c>
    </row>
    <row r="70" hidden="1">
      <c r="A70" s="64">
        <v>45890.0</v>
      </c>
      <c r="B70" s="66" t="s">
        <v>305</v>
      </c>
      <c r="C70" s="66" t="s">
        <v>221</v>
      </c>
      <c r="D70" s="67">
        <v>6.0</v>
      </c>
      <c r="E70" s="66"/>
      <c r="F70" s="66" t="s">
        <v>313</v>
      </c>
      <c r="G70" s="65" t="str">
        <f t="shared" si="1"/>
        <v>MCC049UC0600</v>
      </c>
      <c r="H70" s="35" t="str">
        <f t="shared" si="2"/>
        <v>Saída</v>
      </c>
      <c r="I70" s="25" t="s">
        <v>307</v>
      </c>
    </row>
    <row r="71">
      <c r="A71" s="64">
        <v>45890.0</v>
      </c>
      <c r="B71" s="66" t="s">
        <v>210</v>
      </c>
      <c r="C71" s="66" t="s">
        <v>224</v>
      </c>
      <c r="D71" s="67">
        <v>1.0</v>
      </c>
      <c r="E71" s="66"/>
      <c r="F71" s="66" t="s">
        <v>318</v>
      </c>
      <c r="G71" s="65" t="str">
        <f t="shared" si="1"/>
        <v>MCC015UC0045</v>
      </c>
      <c r="H71" s="35" t="str">
        <f t="shared" si="2"/>
        <v>Saída</v>
      </c>
      <c r="I71" s="25" t="s">
        <v>213</v>
      </c>
    </row>
    <row r="72" hidden="1">
      <c r="A72" s="64">
        <v>45890.0</v>
      </c>
      <c r="B72" s="66" t="s">
        <v>244</v>
      </c>
      <c r="C72" s="66" t="s">
        <v>319</v>
      </c>
      <c r="D72" s="67">
        <v>1.0</v>
      </c>
      <c r="E72" s="66"/>
      <c r="F72" s="66" t="s">
        <v>320</v>
      </c>
      <c r="G72" s="65" t="str">
        <f t="shared" si="1"/>
        <v>MCC049UC0610</v>
      </c>
      <c r="H72" s="35" t="str">
        <f t="shared" si="2"/>
        <v>Saída</v>
      </c>
      <c r="I72" s="25" t="s">
        <v>247</v>
      </c>
    </row>
    <row r="73" hidden="1">
      <c r="A73" s="64">
        <v>45890.0</v>
      </c>
      <c r="B73" s="66" t="s">
        <v>244</v>
      </c>
      <c r="C73" s="66" t="s">
        <v>218</v>
      </c>
      <c r="D73" s="67">
        <v>12.0</v>
      </c>
      <c r="E73" s="66"/>
      <c r="F73" s="66" t="s">
        <v>321</v>
      </c>
      <c r="G73" s="65" t="str">
        <f t="shared" si="1"/>
        <v>MCC046UC0398</v>
      </c>
      <c r="H73" s="35" t="str">
        <f t="shared" si="2"/>
        <v>Saída</v>
      </c>
      <c r="I73" s="25" t="s">
        <v>247</v>
      </c>
    </row>
    <row r="74" hidden="1">
      <c r="A74" s="64">
        <v>45890.0</v>
      </c>
      <c r="B74" s="66" t="s">
        <v>322</v>
      </c>
      <c r="C74" s="66" t="s">
        <v>291</v>
      </c>
      <c r="D74" s="67">
        <v>1.0</v>
      </c>
      <c r="E74" s="66"/>
      <c r="F74" s="66" t="s">
        <v>323</v>
      </c>
      <c r="G74" s="65" t="str">
        <f t="shared" si="1"/>
        <v>MCC046UC0695</v>
      </c>
      <c r="H74" s="35" t="str">
        <f t="shared" si="2"/>
        <v>Saída</v>
      </c>
      <c r="I74" s="25" t="s">
        <v>324</v>
      </c>
    </row>
    <row r="75" hidden="1">
      <c r="A75" s="64">
        <v>45890.0</v>
      </c>
      <c r="B75" s="66" t="s">
        <v>232</v>
      </c>
      <c r="C75" s="66" t="s">
        <v>325</v>
      </c>
      <c r="D75" s="67">
        <v>1.0</v>
      </c>
      <c r="E75" s="66"/>
      <c r="F75" s="66" t="s">
        <v>279</v>
      </c>
      <c r="G75" s="65" t="str">
        <f t="shared" si="1"/>
        <v>MCC046UC0587</v>
      </c>
      <c r="H75" s="35" t="str">
        <f t="shared" si="2"/>
        <v>Saída</v>
      </c>
      <c r="I75" s="25" t="s">
        <v>234</v>
      </c>
    </row>
    <row r="76">
      <c r="A76" s="64">
        <v>45891.0</v>
      </c>
      <c r="B76" s="66" t="s">
        <v>244</v>
      </c>
      <c r="C76" s="66" t="s">
        <v>224</v>
      </c>
      <c r="D76" s="67">
        <v>2.0</v>
      </c>
      <c r="E76" s="66"/>
      <c r="F76" s="66" t="s">
        <v>326</v>
      </c>
      <c r="G76" s="65" t="str">
        <f t="shared" si="1"/>
        <v>MCC015UC0045</v>
      </c>
      <c r="H76" s="35" t="str">
        <f t="shared" si="2"/>
        <v>Saída</v>
      </c>
      <c r="I76" s="25" t="s">
        <v>247</v>
      </c>
    </row>
    <row r="77">
      <c r="A77" s="64">
        <v>45891.0</v>
      </c>
      <c r="B77" s="66" t="s">
        <v>305</v>
      </c>
      <c r="C77" s="66" t="s">
        <v>224</v>
      </c>
      <c r="D77" s="67">
        <v>6.0</v>
      </c>
      <c r="E77" s="66"/>
      <c r="F77" s="66" t="s">
        <v>327</v>
      </c>
      <c r="G77" s="65" t="str">
        <f t="shared" si="1"/>
        <v>MCC015UC0045</v>
      </c>
      <c r="H77" s="35" t="str">
        <f t="shared" si="2"/>
        <v>Saída</v>
      </c>
      <c r="I77" s="25" t="s">
        <v>307</v>
      </c>
    </row>
    <row r="78" hidden="1">
      <c r="A78" s="64">
        <v>45891.0</v>
      </c>
      <c r="B78" s="66" t="s">
        <v>203</v>
      </c>
      <c r="C78" s="66" t="s">
        <v>311</v>
      </c>
      <c r="D78" s="67">
        <v>4.0</v>
      </c>
      <c r="E78" s="66"/>
      <c r="F78" s="66" t="s">
        <v>328</v>
      </c>
      <c r="G78" s="65" t="str">
        <f t="shared" si="1"/>
        <v>MCC046UC0638</v>
      </c>
      <c r="H78" s="35" t="str">
        <f t="shared" si="2"/>
        <v>Saída</v>
      </c>
      <c r="I78" s="25" t="s">
        <v>205</v>
      </c>
    </row>
    <row r="79" hidden="1">
      <c r="A79" s="64">
        <v>45892.0</v>
      </c>
      <c r="B79" s="66" t="s">
        <v>302</v>
      </c>
      <c r="C79" s="66" t="s">
        <v>291</v>
      </c>
      <c r="D79" s="67">
        <v>1.0</v>
      </c>
      <c r="E79" s="66"/>
      <c r="F79" s="66" t="s">
        <v>329</v>
      </c>
      <c r="G79" s="65" t="str">
        <f t="shared" si="1"/>
        <v>MCC046UC0695</v>
      </c>
      <c r="H79" s="35" t="str">
        <f t="shared" si="2"/>
        <v>Saída</v>
      </c>
      <c r="I79" s="25" t="s">
        <v>304</v>
      </c>
    </row>
    <row r="80">
      <c r="A80" s="64">
        <v>45892.0</v>
      </c>
      <c r="B80" s="66" t="s">
        <v>232</v>
      </c>
      <c r="C80" s="66" t="s">
        <v>224</v>
      </c>
      <c r="D80" s="67">
        <v>1.0</v>
      </c>
      <c r="E80" s="66"/>
      <c r="F80" s="66" t="s">
        <v>330</v>
      </c>
      <c r="G80" s="65" t="str">
        <f t="shared" si="1"/>
        <v>MCC015UC0045</v>
      </c>
      <c r="H80" s="35" t="str">
        <f t="shared" si="2"/>
        <v>Saída</v>
      </c>
      <c r="I80" s="25" t="s">
        <v>234</v>
      </c>
    </row>
    <row r="81">
      <c r="A81" s="64">
        <v>45894.0</v>
      </c>
      <c r="B81" s="66" t="s">
        <v>200</v>
      </c>
      <c r="C81" s="66" t="s">
        <v>224</v>
      </c>
      <c r="D81" s="67">
        <v>10.0</v>
      </c>
      <c r="E81" s="66"/>
      <c r="F81" s="66" t="s">
        <v>331</v>
      </c>
      <c r="G81" s="65" t="str">
        <f t="shared" si="1"/>
        <v>MCC015UC0045</v>
      </c>
      <c r="H81" s="35" t="str">
        <f t="shared" si="2"/>
        <v>Saída</v>
      </c>
      <c r="I81" s="25" t="s">
        <v>257</v>
      </c>
    </row>
    <row r="82">
      <c r="A82" s="64">
        <v>45894.0</v>
      </c>
      <c r="B82" s="66" t="s">
        <v>200</v>
      </c>
      <c r="C82" s="66" t="s">
        <v>224</v>
      </c>
      <c r="D82" s="67">
        <v>10.0</v>
      </c>
      <c r="E82" s="66"/>
      <c r="F82" s="66" t="s">
        <v>332</v>
      </c>
      <c r="G82" s="65" t="str">
        <f t="shared" si="1"/>
        <v>MCC015UC0045</v>
      </c>
      <c r="H82" s="35" t="str">
        <f t="shared" si="2"/>
        <v>Saída</v>
      </c>
      <c r="I82" s="25" t="s">
        <v>257</v>
      </c>
    </row>
    <row r="83" hidden="1">
      <c r="A83" s="64">
        <v>45894.0</v>
      </c>
      <c r="B83" s="66" t="s">
        <v>333</v>
      </c>
      <c r="C83" s="66" t="s">
        <v>245</v>
      </c>
      <c r="D83" s="67">
        <v>1.0</v>
      </c>
      <c r="E83" s="66"/>
      <c r="F83" s="66" t="s">
        <v>334</v>
      </c>
      <c r="G83" s="65" t="str">
        <f t="shared" si="1"/>
        <v>MCC015UC0008</v>
      </c>
      <c r="H83" s="35" t="str">
        <f t="shared" si="2"/>
        <v>Saída</v>
      </c>
      <c r="I83" s="25" t="s">
        <v>335</v>
      </c>
    </row>
    <row r="84" hidden="1">
      <c r="A84" s="64">
        <v>45894.0</v>
      </c>
      <c r="B84" s="66" t="s">
        <v>322</v>
      </c>
      <c r="C84" s="66" t="s">
        <v>319</v>
      </c>
      <c r="D84" s="67">
        <v>1.0</v>
      </c>
      <c r="E84" s="66"/>
      <c r="F84" s="66" t="s">
        <v>336</v>
      </c>
      <c r="G84" s="65" t="str">
        <f t="shared" si="1"/>
        <v>MCC049UC0610</v>
      </c>
      <c r="H84" s="35" t="str">
        <f t="shared" si="2"/>
        <v>Saída</v>
      </c>
      <c r="I84" s="25" t="s">
        <v>324</v>
      </c>
    </row>
    <row r="85" hidden="1">
      <c r="A85" s="64">
        <v>45894.0</v>
      </c>
      <c r="B85" s="66" t="s">
        <v>337</v>
      </c>
      <c r="C85" s="66" t="s">
        <v>215</v>
      </c>
      <c r="D85" s="67">
        <v>2.0</v>
      </c>
      <c r="E85" s="66"/>
      <c r="F85" s="66" t="s">
        <v>338</v>
      </c>
      <c r="G85" s="65" t="str">
        <f t="shared" si="1"/>
        <v>MCC046UC0082</v>
      </c>
      <c r="H85" s="35" t="str">
        <f t="shared" si="2"/>
        <v>Saída</v>
      </c>
      <c r="I85" s="25" t="s">
        <v>189</v>
      </c>
    </row>
    <row r="86" hidden="1">
      <c r="A86" s="64">
        <v>45896.0</v>
      </c>
      <c r="B86" s="66" t="s">
        <v>337</v>
      </c>
      <c r="C86" s="66" t="s">
        <v>298</v>
      </c>
      <c r="D86" s="67">
        <v>1.0</v>
      </c>
      <c r="E86" s="66"/>
      <c r="F86" s="66" t="s">
        <v>339</v>
      </c>
      <c r="G86" s="65" t="str">
        <f t="shared" si="1"/>
        <v>MCC046UC0639</v>
      </c>
      <c r="H86" s="35" t="str">
        <f t="shared" si="2"/>
        <v>Saída</v>
      </c>
      <c r="I86" s="25" t="s">
        <v>189</v>
      </c>
    </row>
    <row r="87">
      <c r="A87" s="64">
        <v>45896.0</v>
      </c>
      <c r="B87" s="66" t="s">
        <v>340</v>
      </c>
      <c r="C87" s="66" t="s">
        <v>224</v>
      </c>
      <c r="D87" s="67">
        <v>2.0</v>
      </c>
      <c r="E87" s="66"/>
      <c r="F87" s="66" t="s">
        <v>341</v>
      </c>
      <c r="G87" s="65" t="str">
        <f t="shared" si="1"/>
        <v>MCC015UC0045</v>
      </c>
      <c r="H87" s="35" t="str">
        <f t="shared" si="2"/>
        <v>Saída</v>
      </c>
      <c r="I87" s="25" t="s">
        <v>342</v>
      </c>
    </row>
    <row r="88" hidden="1">
      <c r="A88" s="64">
        <v>45896.0</v>
      </c>
      <c r="B88" s="66" t="s">
        <v>343</v>
      </c>
      <c r="C88" s="66" t="s">
        <v>291</v>
      </c>
      <c r="D88" s="67">
        <v>2.0</v>
      </c>
      <c r="E88" s="66"/>
      <c r="F88" s="66" t="s">
        <v>344</v>
      </c>
      <c r="G88" s="65" t="str">
        <f t="shared" si="1"/>
        <v>MCC046UC0695</v>
      </c>
      <c r="H88" s="35" t="str">
        <f t="shared" si="2"/>
        <v>Saída</v>
      </c>
      <c r="I88" s="25" t="s">
        <v>345</v>
      </c>
    </row>
    <row r="89" hidden="1">
      <c r="A89" s="64">
        <v>45898.0</v>
      </c>
      <c r="B89" s="66" t="s">
        <v>340</v>
      </c>
      <c r="C89" s="66" t="s">
        <v>346</v>
      </c>
      <c r="D89" s="67">
        <v>18.0</v>
      </c>
      <c r="E89" s="66"/>
      <c r="F89" s="66" t="s">
        <v>347</v>
      </c>
      <c r="G89" s="65" t="str">
        <f t="shared" si="1"/>
        <v>MCC049UC0603</v>
      </c>
      <c r="H89" s="35" t="str">
        <f t="shared" si="2"/>
        <v>Saída</v>
      </c>
      <c r="I89" s="25" t="s">
        <v>342</v>
      </c>
    </row>
    <row r="90" hidden="1">
      <c r="A90" s="64">
        <v>45898.0</v>
      </c>
      <c r="B90" s="66" t="s">
        <v>235</v>
      </c>
      <c r="C90" s="66" t="s">
        <v>348</v>
      </c>
      <c r="D90" s="67">
        <v>3.0</v>
      </c>
      <c r="E90" s="66"/>
      <c r="F90" s="66" t="s">
        <v>349</v>
      </c>
      <c r="G90" s="65" t="str">
        <f t="shared" si="1"/>
        <v>MCC049UC0605</v>
      </c>
      <c r="H90" s="35" t="str">
        <f t="shared" si="2"/>
        <v>Saída</v>
      </c>
      <c r="I90" s="25" t="s">
        <v>238</v>
      </c>
    </row>
    <row r="91" hidden="1">
      <c r="A91" s="64">
        <v>45898.0</v>
      </c>
      <c r="B91" s="66" t="s">
        <v>297</v>
      </c>
      <c r="C91" s="66" t="s">
        <v>346</v>
      </c>
      <c r="D91" s="67">
        <v>100.0</v>
      </c>
      <c r="E91" s="66"/>
      <c r="F91" s="66" t="s">
        <v>350</v>
      </c>
      <c r="G91" s="65" t="str">
        <f t="shared" si="1"/>
        <v>MCC049UC0603</v>
      </c>
      <c r="H91" s="35" t="str">
        <f t="shared" si="2"/>
        <v>Saída</v>
      </c>
      <c r="I91" s="25" t="s">
        <v>300</v>
      </c>
    </row>
    <row r="92" hidden="1">
      <c r="A92" s="64">
        <v>45901.0</v>
      </c>
      <c r="B92" s="66" t="s">
        <v>239</v>
      </c>
      <c r="C92" s="66" t="s">
        <v>242</v>
      </c>
      <c r="D92" s="67">
        <v>1.0</v>
      </c>
      <c r="E92" s="66"/>
      <c r="F92" s="66" t="s">
        <v>351</v>
      </c>
      <c r="G92" s="65" t="str">
        <f t="shared" si="1"/>
        <v>MCC046UC0687</v>
      </c>
      <c r="H92" s="35" t="str">
        <f t="shared" si="2"/>
        <v>Saída</v>
      </c>
      <c r="I92" s="25" t="s">
        <v>241</v>
      </c>
    </row>
    <row r="93" hidden="1">
      <c r="A93" s="64">
        <v>45901.0</v>
      </c>
      <c r="B93" s="66" t="s">
        <v>239</v>
      </c>
      <c r="C93" s="66" t="s">
        <v>215</v>
      </c>
      <c r="D93" s="67">
        <v>1.0</v>
      </c>
      <c r="E93" s="66"/>
      <c r="F93" s="66" t="s">
        <v>352</v>
      </c>
      <c r="G93" s="65" t="str">
        <f t="shared" si="1"/>
        <v>MCC046UC0082</v>
      </c>
      <c r="H93" s="35" t="str">
        <f t="shared" si="2"/>
        <v>Saída</v>
      </c>
      <c r="I93" s="25" t="s">
        <v>241</v>
      </c>
    </row>
    <row r="94" hidden="1">
      <c r="A94" s="64">
        <v>45901.0</v>
      </c>
      <c r="B94" s="66" t="s">
        <v>239</v>
      </c>
      <c r="C94" s="66" t="s">
        <v>261</v>
      </c>
      <c r="D94" s="67">
        <v>1.0</v>
      </c>
      <c r="E94" s="66"/>
      <c r="F94" s="66" t="s">
        <v>353</v>
      </c>
      <c r="G94" s="65" t="str">
        <f t="shared" si="1"/>
        <v>EMC015MO0001</v>
      </c>
      <c r="H94" s="35" t="str">
        <f t="shared" si="2"/>
        <v>Saída</v>
      </c>
      <c r="I94" s="25" t="s">
        <v>241</v>
      </c>
    </row>
    <row r="95" hidden="1">
      <c r="A95" s="64">
        <v>45902.0</v>
      </c>
      <c r="B95" s="66" t="s">
        <v>244</v>
      </c>
      <c r="C95" s="66" t="s">
        <v>245</v>
      </c>
      <c r="D95" s="67">
        <v>4.0</v>
      </c>
      <c r="E95" s="66"/>
      <c r="F95" s="66" t="s">
        <v>354</v>
      </c>
      <c r="G95" s="65" t="str">
        <f t="shared" si="1"/>
        <v>MCC015UC0008</v>
      </c>
      <c r="H95" s="35" t="str">
        <f t="shared" si="2"/>
        <v>Saída</v>
      </c>
      <c r="I95" s="25" t="s">
        <v>247</v>
      </c>
    </row>
    <row r="96" hidden="1">
      <c r="A96" s="64">
        <v>45902.0</v>
      </c>
      <c r="B96" s="66" t="s">
        <v>210</v>
      </c>
      <c r="C96" s="66" t="s">
        <v>250</v>
      </c>
      <c r="D96" s="67">
        <v>2.0</v>
      </c>
      <c r="E96" s="66"/>
      <c r="F96" s="66" t="s">
        <v>281</v>
      </c>
      <c r="G96" s="65" t="str">
        <f t="shared" si="1"/>
        <v>MCC046UC0526</v>
      </c>
      <c r="H96" s="35" t="str">
        <f t="shared" si="2"/>
        <v>Saída</v>
      </c>
      <c r="I96" s="25" t="s">
        <v>213</v>
      </c>
    </row>
    <row r="97">
      <c r="A97" s="64">
        <v>45902.0</v>
      </c>
      <c r="B97" s="66" t="s">
        <v>333</v>
      </c>
      <c r="C97" s="66" t="s">
        <v>224</v>
      </c>
      <c r="D97" s="67">
        <v>4.0</v>
      </c>
      <c r="E97" s="66"/>
      <c r="F97" s="66" t="s">
        <v>355</v>
      </c>
      <c r="G97" s="65" t="str">
        <f t="shared" si="1"/>
        <v>MCC015UC0045</v>
      </c>
      <c r="H97" s="35" t="str">
        <f t="shared" si="2"/>
        <v>Saída</v>
      </c>
      <c r="I97" s="25" t="s">
        <v>335</v>
      </c>
    </row>
    <row r="98">
      <c r="A98" s="64">
        <v>45903.0</v>
      </c>
      <c r="B98" s="66" t="s">
        <v>210</v>
      </c>
      <c r="C98" s="66" t="s">
        <v>224</v>
      </c>
      <c r="D98" s="67">
        <v>4.0</v>
      </c>
      <c r="E98" s="66"/>
      <c r="F98" s="66" t="s">
        <v>281</v>
      </c>
      <c r="G98" s="65" t="str">
        <f t="shared" si="1"/>
        <v>MCC015UC0045</v>
      </c>
      <c r="H98" s="35" t="str">
        <f t="shared" si="2"/>
        <v>Saída</v>
      </c>
      <c r="I98" s="25" t="s">
        <v>213</v>
      </c>
    </row>
    <row r="99" hidden="1">
      <c r="A99" s="64">
        <v>45903.0</v>
      </c>
      <c r="B99" s="66" t="s">
        <v>270</v>
      </c>
      <c r="C99" s="66" t="s">
        <v>356</v>
      </c>
      <c r="D99" s="67">
        <v>1.0</v>
      </c>
      <c r="E99" s="66"/>
      <c r="F99" s="66" t="s">
        <v>357</v>
      </c>
      <c r="G99" s="65" t="str">
        <f t="shared" si="1"/>
        <v>MCC046UC0093</v>
      </c>
      <c r="H99" s="35" t="str">
        <f t="shared" si="2"/>
        <v>Saída</v>
      </c>
      <c r="I99" s="25" t="s">
        <v>273</v>
      </c>
    </row>
    <row r="100" hidden="1">
      <c r="A100" s="64">
        <v>45903.0</v>
      </c>
      <c r="B100" s="66" t="s">
        <v>244</v>
      </c>
      <c r="C100" s="66" t="s">
        <v>245</v>
      </c>
      <c r="D100" s="67">
        <v>8.0</v>
      </c>
      <c r="E100" s="66"/>
      <c r="F100" s="66" t="s">
        <v>358</v>
      </c>
      <c r="G100" s="65" t="str">
        <f t="shared" si="1"/>
        <v>MCC015UC0008</v>
      </c>
      <c r="H100" s="35" t="str">
        <f t="shared" si="2"/>
        <v>Saída</v>
      </c>
      <c r="I100" s="25" t="s">
        <v>247</v>
      </c>
    </row>
    <row r="101" hidden="1">
      <c r="A101" s="64">
        <v>45903.0</v>
      </c>
      <c r="B101" s="66" t="s">
        <v>359</v>
      </c>
      <c r="C101" s="66" t="s">
        <v>360</v>
      </c>
      <c r="D101" s="67">
        <v>1.0</v>
      </c>
      <c r="E101" s="66"/>
      <c r="F101" s="66" t="s">
        <v>361</v>
      </c>
      <c r="G101" s="65" t="str">
        <f t="shared" si="1"/>
        <v>MCC049UC0288</v>
      </c>
      <c r="H101" s="35" t="str">
        <f t="shared" si="2"/>
        <v>Saída</v>
      </c>
      <c r="I101" s="25" t="s">
        <v>362</v>
      </c>
    </row>
    <row r="102" hidden="1">
      <c r="A102" s="64">
        <v>45903.0</v>
      </c>
      <c r="B102" s="66" t="s">
        <v>340</v>
      </c>
      <c r="C102" s="66" t="s">
        <v>363</v>
      </c>
      <c r="D102" s="67">
        <v>1.0</v>
      </c>
      <c r="E102" s="66"/>
      <c r="F102" s="66" t="s">
        <v>364</v>
      </c>
      <c r="G102" s="65" t="str">
        <f t="shared" si="1"/>
        <v>MCC015UC0033</v>
      </c>
      <c r="H102" s="35" t="str">
        <f t="shared" si="2"/>
        <v>Saída</v>
      </c>
      <c r="I102" s="25" t="s">
        <v>342</v>
      </c>
    </row>
    <row r="103">
      <c r="A103" s="64">
        <v>45903.0</v>
      </c>
      <c r="B103" s="66" t="s">
        <v>270</v>
      </c>
      <c r="C103" s="66" t="s">
        <v>224</v>
      </c>
      <c r="D103" s="67">
        <v>2.0</v>
      </c>
      <c r="E103" s="66"/>
      <c r="F103" s="66" t="s">
        <v>365</v>
      </c>
      <c r="G103" s="65" t="str">
        <f t="shared" si="1"/>
        <v>MCC015UC0045</v>
      </c>
      <c r="H103" s="35" t="str">
        <f t="shared" si="2"/>
        <v>Saída</v>
      </c>
      <c r="I103" s="25" t="s">
        <v>273</v>
      </c>
    </row>
    <row r="104" hidden="1">
      <c r="A104" s="64">
        <v>45904.0</v>
      </c>
      <c r="B104" s="66" t="s">
        <v>366</v>
      </c>
      <c r="C104" s="66" t="s">
        <v>245</v>
      </c>
      <c r="D104" s="67">
        <v>2.0</v>
      </c>
      <c r="E104" s="66"/>
      <c r="F104" s="66" t="s">
        <v>367</v>
      </c>
      <c r="G104" s="65" t="str">
        <f t="shared" si="1"/>
        <v>MCC015UC0008</v>
      </c>
      <c r="H104" s="35" t="str">
        <f t="shared" si="2"/>
        <v>Saída</v>
      </c>
      <c r="I104" s="25" t="s">
        <v>368</v>
      </c>
    </row>
    <row r="105" hidden="1">
      <c r="A105" s="64">
        <v>45904.0</v>
      </c>
      <c r="B105" s="66" t="s">
        <v>210</v>
      </c>
      <c r="C105" s="66" t="s">
        <v>263</v>
      </c>
      <c r="D105" s="67">
        <v>1.0</v>
      </c>
      <c r="E105" s="66"/>
      <c r="F105" s="66" t="s">
        <v>369</v>
      </c>
      <c r="G105" s="65" t="str">
        <f t="shared" si="1"/>
        <v>MCC015UC0038</v>
      </c>
      <c r="H105" s="35" t="str">
        <f t="shared" si="2"/>
        <v>Saída</v>
      </c>
      <c r="I105" s="25" t="s">
        <v>213</v>
      </c>
    </row>
    <row r="106" hidden="1">
      <c r="A106" s="64">
        <v>45904.0</v>
      </c>
      <c r="B106" s="66" t="s">
        <v>210</v>
      </c>
      <c r="C106" s="66" t="s">
        <v>242</v>
      </c>
      <c r="D106" s="67">
        <v>6.0</v>
      </c>
      <c r="E106" s="66"/>
      <c r="F106" s="66" t="s">
        <v>276</v>
      </c>
      <c r="G106" s="65" t="str">
        <f t="shared" si="1"/>
        <v>MCC046UC0687</v>
      </c>
      <c r="H106" s="35" t="str">
        <f t="shared" si="2"/>
        <v>Saída</v>
      </c>
      <c r="I106" s="25" t="s">
        <v>213</v>
      </c>
    </row>
    <row r="107" hidden="1">
      <c r="A107" s="64">
        <v>45904.0</v>
      </c>
      <c r="B107" s="66" t="s">
        <v>210</v>
      </c>
      <c r="C107" s="66" t="s">
        <v>215</v>
      </c>
      <c r="D107" s="67">
        <v>1.0</v>
      </c>
      <c r="E107" s="66"/>
      <c r="F107" s="66" t="s">
        <v>276</v>
      </c>
      <c r="G107" s="65" t="str">
        <f t="shared" si="1"/>
        <v>MCC046UC0082</v>
      </c>
      <c r="H107" s="35" t="str">
        <f t="shared" si="2"/>
        <v>Saída</v>
      </c>
      <c r="I107" s="25" t="s">
        <v>213</v>
      </c>
    </row>
    <row r="108">
      <c r="A108" s="64">
        <v>45904.0</v>
      </c>
      <c r="B108" s="66" t="s">
        <v>366</v>
      </c>
      <c r="C108" s="66" t="s">
        <v>224</v>
      </c>
      <c r="D108" s="67">
        <v>6.0</v>
      </c>
      <c r="E108" s="66"/>
      <c r="F108" s="66" t="s">
        <v>370</v>
      </c>
      <c r="G108" s="65" t="str">
        <f t="shared" si="1"/>
        <v>MCC015UC0045</v>
      </c>
      <c r="H108" s="35" t="str">
        <f t="shared" si="2"/>
        <v>Saída</v>
      </c>
      <c r="I108" s="25" t="s">
        <v>368</v>
      </c>
    </row>
    <row r="109" hidden="1">
      <c r="A109" s="64">
        <v>45904.0</v>
      </c>
      <c r="B109" s="66" t="s">
        <v>210</v>
      </c>
      <c r="C109" s="66" t="s">
        <v>242</v>
      </c>
      <c r="D109" s="67">
        <v>4.0</v>
      </c>
      <c r="E109" s="66"/>
      <c r="F109" s="66" t="s">
        <v>276</v>
      </c>
      <c r="G109" s="65" t="str">
        <f t="shared" si="1"/>
        <v>MCC046UC0687</v>
      </c>
      <c r="H109" s="35" t="str">
        <f t="shared" si="2"/>
        <v>Saída</v>
      </c>
      <c r="I109" s="25" t="s">
        <v>213</v>
      </c>
    </row>
    <row r="110" hidden="1">
      <c r="A110" s="64">
        <v>45904.0</v>
      </c>
      <c r="B110" s="66" t="s">
        <v>340</v>
      </c>
      <c r="C110" s="66" t="s">
        <v>245</v>
      </c>
      <c r="D110" s="67">
        <v>1.0</v>
      </c>
      <c r="E110" s="66"/>
      <c r="F110" s="66" t="s">
        <v>371</v>
      </c>
      <c r="G110" s="65" t="str">
        <f t="shared" si="1"/>
        <v>MCC015UC0008</v>
      </c>
      <c r="H110" s="35" t="str">
        <f t="shared" si="2"/>
        <v>Saída</v>
      </c>
      <c r="I110" s="25" t="s">
        <v>342</v>
      </c>
    </row>
    <row r="111" hidden="1">
      <c r="A111" s="64">
        <v>45904.0</v>
      </c>
      <c r="B111" s="66" t="s">
        <v>366</v>
      </c>
      <c r="C111" s="66" t="s">
        <v>372</v>
      </c>
      <c r="D111" s="67">
        <v>2.0</v>
      </c>
      <c r="E111" s="66"/>
      <c r="F111" s="66" t="s">
        <v>373</v>
      </c>
      <c r="G111" s="65" t="str">
        <f t="shared" si="1"/>
        <v>MCC046UC0549</v>
      </c>
      <c r="H111" s="35" t="str">
        <f t="shared" si="2"/>
        <v>Saída</v>
      </c>
      <c r="I111" s="25" t="s">
        <v>368</v>
      </c>
    </row>
    <row r="112" hidden="1">
      <c r="A112" s="64">
        <v>45905.0</v>
      </c>
      <c r="B112" s="66" t="s">
        <v>305</v>
      </c>
      <c r="C112" s="66" t="s">
        <v>374</v>
      </c>
      <c r="D112" s="67">
        <v>8.0</v>
      </c>
      <c r="E112" s="66"/>
      <c r="F112" s="66" t="s">
        <v>375</v>
      </c>
      <c r="G112" s="65" t="str">
        <f t="shared" si="1"/>
        <v>MCC046UC0660</v>
      </c>
      <c r="H112" s="35" t="str">
        <f t="shared" si="2"/>
        <v>Saída</v>
      </c>
      <c r="I112" s="25" t="s">
        <v>307</v>
      </c>
    </row>
    <row r="113" hidden="1">
      <c r="A113" s="64">
        <v>45905.0</v>
      </c>
      <c r="B113" s="66" t="s">
        <v>305</v>
      </c>
      <c r="C113" s="66" t="s">
        <v>226</v>
      </c>
      <c r="D113" s="67">
        <v>6.0</v>
      </c>
      <c r="E113" s="66"/>
      <c r="F113" s="66" t="s">
        <v>375</v>
      </c>
      <c r="G113" s="65" t="str">
        <f t="shared" si="1"/>
        <v>MCC046UC0596</v>
      </c>
      <c r="H113" s="35" t="str">
        <f t="shared" si="2"/>
        <v>Saída</v>
      </c>
      <c r="I113" s="25" t="s">
        <v>307</v>
      </c>
    </row>
    <row r="114" hidden="1">
      <c r="A114" s="64">
        <v>45905.0</v>
      </c>
      <c r="B114" s="66" t="s">
        <v>305</v>
      </c>
      <c r="C114" s="66" t="s">
        <v>230</v>
      </c>
      <c r="D114" s="67">
        <v>4.0</v>
      </c>
      <c r="E114" s="66"/>
      <c r="F114" s="66" t="s">
        <v>375</v>
      </c>
      <c r="G114" s="65" t="str">
        <f t="shared" si="1"/>
        <v>MCC046UC0658</v>
      </c>
      <c r="H114" s="35" t="str">
        <f t="shared" si="2"/>
        <v>Saída</v>
      </c>
      <c r="I114" s="25" t="s">
        <v>307</v>
      </c>
    </row>
    <row r="115" hidden="1">
      <c r="A115" s="64">
        <v>45905.0</v>
      </c>
      <c r="B115" s="66" t="s">
        <v>305</v>
      </c>
      <c r="C115" s="66" t="s">
        <v>229</v>
      </c>
      <c r="D115" s="67">
        <v>4.0</v>
      </c>
      <c r="E115" s="66"/>
      <c r="F115" s="66" t="s">
        <v>375</v>
      </c>
      <c r="G115" s="65" t="str">
        <f t="shared" si="1"/>
        <v>MCC046UC0597</v>
      </c>
      <c r="H115" s="35" t="str">
        <f t="shared" si="2"/>
        <v>Saída</v>
      </c>
      <c r="I115" s="25" t="s">
        <v>307</v>
      </c>
    </row>
    <row r="116" hidden="1">
      <c r="A116" s="64">
        <v>45905.0</v>
      </c>
      <c r="B116" s="66" t="s">
        <v>305</v>
      </c>
      <c r="C116" s="66" t="s">
        <v>228</v>
      </c>
      <c r="D116" s="67">
        <v>4.0</v>
      </c>
      <c r="E116" s="66"/>
      <c r="F116" s="66" t="s">
        <v>375</v>
      </c>
      <c r="G116" s="65" t="str">
        <f t="shared" si="1"/>
        <v>MCC046UC0598</v>
      </c>
      <c r="H116" s="35" t="str">
        <f t="shared" si="2"/>
        <v>Saída</v>
      </c>
      <c r="I116" s="25" t="s">
        <v>307</v>
      </c>
    </row>
    <row r="117" hidden="1">
      <c r="A117" s="64">
        <v>45905.0</v>
      </c>
      <c r="B117" s="66" t="s">
        <v>376</v>
      </c>
      <c r="C117" s="66" t="s">
        <v>377</v>
      </c>
      <c r="D117" s="67">
        <v>2.0</v>
      </c>
      <c r="E117" s="66"/>
      <c r="F117" s="66" t="s">
        <v>378</v>
      </c>
      <c r="G117" s="65" t="str">
        <f t="shared" si="1"/>
        <v>MCC046UC0542</v>
      </c>
      <c r="H117" s="35" t="str">
        <f t="shared" si="2"/>
        <v>Saída</v>
      </c>
      <c r="I117" s="25" t="s">
        <v>379</v>
      </c>
    </row>
    <row r="118" hidden="1">
      <c r="A118" s="64">
        <v>45905.0</v>
      </c>
      <c r="B118" s="66" t="s">
        <v>210</v>
      </c>
      <c r="C118" s="66" t="s">
        <v>215</v>
      </c>
      <c r="D118" s="67">
        <v>1.0</v>
      </c>
      <c r="E118" s="66"/>
      <c r="F118" s="66" t="s">
        <v>380</v>
      </c>
      <c r="G118" s="65" t="str">
        <f t="shared" si="1"/>
        <v>MCC046UC0082</v>
      </c>
      <c r="H118" s="35" t="str">
        <f t="shared" si="2"/>
        <v>Saída</v>
      </c>
      <c r="I118" s="25" t="s">
        <v>213</v>
      </c>
    </row>
    <row r="119">
      <c r="A119" s="64">
        <v>45908.0</v>
      </c>
      <c r="B119" s="66" t="s">
        <v>343</v>
      </c>
      <c r="C119" s="66" t="s">
        <v>224</v>
      </c>
      <c r="D119" s="67">
        <v>2.0</v>
      </c>
      <c r="E119" s="66"/>
      <c r="F119" s="66" t="s">
        <v>381</v>
      </c>
      <c r="G119" s="65" t="str">
        <f t="shared" si="1"/>
        <v>MCC015UC0045</v>
      </c>
      <c r="H119" s="35" t="str">
        <f t="shared" si="2"/>
        <v>Saída</v>
      </c>
      <c r="I119" s="25" t="s">
        <v>345</v>
      </c>
    </row>
    <row r="120" hidden="1">
      <c r="A120" s="64">
        <v>45908.0</v>
      </c>
      <c r="B120" s="66" t="s">
        <v>333</v>
      </c>
      <c r="C120" s="66" t="s">
        <v>245</v>
      </c>
      <c r="D120" s="67">
        <v>2.0</v>
      </c>
      <c r="E120" s="66"/>
      <c r="F120" s="66" t="s">
        <v>382</v>
      </c>
      <c r="G120" s="65" t="str">
        <f t="shared" si="1"/>
        <v>MCC015UC0008</v>
      </c>
      <c r="H120" s="35" t="str">
        <f t="shared" si="2"/>
        <v>Saída</v>
      </c>
      <c r="I120" s="25" t="s">
        <v>335</v>
      </c>
    </row>
    <row r="121" hidden="1">
      <c r="A121" s="64">
        <v>45908.0</v>
      </c>
      <c r="B121" s="66" t="s">
        <v>343</v>
      </c>
      <c r="C121" s="66" t="s">
        <v>291</v>
      </c>
      <c r="D121" s="67">
        <v>4.0</v>
      </c>
      <c r="E121" s="66"/>
      <c r="F121" s="66" t="s">
        <v>383</v>
      </c>
      <c r="G121" s="65" t="str">
        <f t="shared" si="1"/>
        <v>MCC046UC0695</v>
      </c>
      <c r="H121" s="35" t="str">
        <f t="shared" si="2"/>
        <v>Saída</v>
      </c>
      <c r="I121" s="25" t="s">
        <v>345</v>
      </c>
    </row>
    <row r="122" hidden="1">
      <c r="A122" s="64">
        <v>45908.0</v>
      </c>
      <c r="B122" s="66" t="s">
        <v>239</v>
      </c>
      <c r="C122" s="66" t="s">
        <v>248</v>
      </c>
      <c r="D122" s="67">
        <v>1.0</v>
      </c>
      <c r="E122" s="66"/>
      <c r="F122" s="66" t="s">
        <v>384</v>
      </c>
      <c r="G122" s="65" t="str">
        <f t="shared" si="1"/>
        <v>MCC046UC0387</v>
      </c>
      <c r="H122" s="35" t="str">
        <f t="shared" si="2"/>
        <v>Saída</v>
      </c>
      <c r="I122" s="25" t="s">
        <v>241</v>
      </c>
    </row>
    <row r="123" hidden="1">
      <c r="A123" s="64">
        <v>45908.0</v>
      </c>
      <c r="B123" s="66" t="s">
        <v>239</v>
      </c>
      <c r="C123" s="66" t="s">
        <v>385</v>
      </c>
      <c r="D123" s="67">
        <v>1.0</v>
      </c>
      <c r="E123" s="66"/>
      <c r="F123" s="66" t="s">
        <v>386</v>
      </c>
      <c r="G123" s="65" t="str">
        <f t="shared" si="1"/>
        <v>MCC046UC0679</v>
      </c>
      <c r="H123" s="35" t="str">
        <f t="shared" si="2"/>
        <v>Saída</v>
      </c>
      <c r="I123" s="25" t="s">
        <v>241</v>
      </c>
    </row>
    <row r="124" hidden="1">
      <c r="A124" s="64">
        <v>45908.0</v>
      </c>
      <c r="B124" s="66" t="s">
        <v>340</v>
      </c>
      <c r="C124" s="66" t="s">
        <v>215</v>
      </c>
      <c r="D124" s="67">
        <v>4.0</v>
      </c>
      <c r="E124" s="66"/>
      <c r="F124" s="66" t="s">
        <v>387</v>
      </c>
      <c r="G124" s="65" t="str">
        <f t="shared" si="1"/>
        <v>MCC046UC0082</v>
      </c>
      <c r="H124" s="35" t="str">
        <f t="shared" si="2"/>
        <v>Saída</v>
      </c>
      <c r="I124" s="25" t="s">
        <v>342</v>
      </c>
    </row>
    <row r="125" hidden="1">
      <c r="A125" s="64">
        <v>45908.0</v>
      </c>
      <c r="B125" s="66" t="s">
        <v>340</v>
      </c>
      <c r="C125" s="66" t="s">
        <v>245</v>
      </c>
      <c r="D125" s="67">
        <v>2.0</v>
      </c>
      <c r="E125" s="66"/>
      <c r="F125" s="66" t="s">
        <v>388</v>
      </c>
      <c r="G125" s="65" t="str">
        <f t="shared" si="1"/>
        <v>MCC015UC0008</v>
      </c>
      <c r="H125" s="35" t="str">
        <f t="shared" si="2"/>
        <v>Saída</v>
      </c>
      <c r="I125" s="25" t="s">
        <v>342</v>
      </c>
    </row>
    <row r="126" hidden="1">
      <c r="A126" s="64">
        <v>45909.0</v>
      </c>
      <c r="B126" s="66" t="s">
        <v>333</v>
      </c>
      <c r="C126" s="66" t="s">
        <v>245</v>
      </c>
      <c r="D126" s="67">
        <v>2.0</v>
      </c>
      <c r="E126" s="66"/>
      <c r="F126" s="66" t="s">
        <v>389</v>
      </c>
      <c r="G126" s="65" t="str">
        <f t="shared" si="1"/>
        <v>MCC015UC0008</v>
      </c>
      <c r="H126" s="35" t="str">
        <f t="shared" si="2"/>
        <v>Saída</v>
      </c>
      <c r="I126" s="25" t="s">
        <v>335</v>
      </c>
    </row>
    <row r="127" hidden="1">
      <c r="A127" s="64">
        <v>45909.0</v>
      </c>
      <c r="B127" s="66" t="s">
        <v>232</v>
      </c>
      <c r="C127" s="66" t="s">
        <v>229</v>
      </c>
      <c r="D127" s="67">
        <v>2.0</v>
      </c>
      <c r="E127" s="66"/>
      <c r="F127" s="66" t="s">
        <v>390</v>
      </c>
      <c r="G127" s="65" t="str">
        <f t="shared" si="1"/>
        <v>MCC046UC0597</v>
      </c>
      <c r="H127" s="35" t="str">
        <f t="shared" si="2"/>
        <v>Saída</v>
      </c>
      <c r="I127" s="25" t="s">
        <v>234</v>
      </c>
    </row>
    <row r="128">
      <c r="A128" s="64">
        <v>45909.0</v>
      </c>
      <c r="B128" s="66" t="s">
        <v>343</v>
      </c>
      <c r="C128" s="66" t="s">
        <v>224</v>
      </c>
      <c r="D128" s="67">
        <v>4.0</v>
      </c>
      <c r="E128" s="66"/>
      <c r="F128" s="66" t="s">
        <v>391</v>
      </c>
      <c r="G128" s="65" t="str">
        <f t="shared" si="1"/>
        <v>MCC015UC0045</v>
      </c>
      <c r="H128" s="35" t="str">
        <f t="shared" si="2"/>
        <v>Saída</v>
      </c>
      <c r="I128" s="25" t="s">
        <v>345</v>
      </c>
    </row>
    <row r="129" hidden="1">
      <c r="A129" s="64">
        <v>45909.0</v>
      </c>
      <c r="B129" s="66" t="s">
        <v>333</v>
      </c>
      <c r="C129" s="66" t="s">
        <v>245</v>
      </c>
      <c r="D129" s="67">
        <v>2.0</v>
      </c>
      <c r="E129" s="66"/>
      <c r="F129" s="66" t="s">
        <v>392</v>
      </c>
      <c r="G129" s="65" t="str">
        <f t="shared" si="1"/>
        <v>MCC015UC0008</v>
      </c>
      <c r="H129" s="35" t="str">
        <f t="shared" si="2"/>
        <v>Saída</v>
      </c>
      <c r="I129" s="25" t="s">
        <v>335</v>
      </c>
    </row>
    <row r="130" hidden="1">
      <c r="A130" s="64">
        <v>45909.0</v>
      </c>
      <c r="B130" s="66" t="s">
        <v>343</v>
      </c>
      <c r="C130" s="66" t="s">
        <v>291</v>
      </c>
      <c r="D130" s="67">
        <v>4.0</v>
      </c>
      <c r="E130" s="66"/>
      <c r="F130" s="66" t="s">
        <v>393</v>
      </c>
      <c r="G130" s="65" t="str">
        <f t="shared" si="1"/>
        <v>MCC046UC0695</v>
      </c>
      <c r="H130" s="35" t="str">
        <f t="shared" si="2"/>
        <v>Saída</v>
      </c>
      <c r="I130" s="25" t="s">
        <v>345</v>
      </c>
    </row>
    <row r="131">
      <c r="A131" s="64">
        <v>45909.0</v>
      </c>
      <c r="B131" s="66" t="s">
        <v>302</v>
      </c>
      <c r="C131" s="66" t="s">
        <v>224</v>
      </c>
      <c r="D131" s="67">
        <v>1.0</v>
      </c>
      <c r="E131" s="66"/>
      <c r="F131" s="66" t="s">
        <v>394</v>
      </c>
      <c r="G131" s="65" t="str">
        <f t="shared" si="1"/>
        <v>MCC015UC0045</v>
      </c>
      <c r="H131" s="35" t="str">
        <f t="shared" si="2"/>
        <v>Saída</v>
      </c>
      <c r="I131" s="25" t="s">
        <v>304</v>
      </c>
    </row>
    <row r="132" hidden="1">
      <c r="A132" s="64">
        <v>45910.0</v>
      </c>
      <c r="B132" s="66" t="s">
        <v>294</v>
      </c>
      <c r="C132" s="66" t="s">
        <v>248</v>
      </c>
      <c r="D132" s="67">
        <v>1.0</v>
      </c>
      <c r="E132" s="66"/>
      <c r="F132" s="66" t="s">
        <v>395</v>
      </c>
      <c r="G132" s="65" t="str">
        <f t="shared" si="1"/>
        <v>MCC046UC0387</v>
      </c>
      <c r="H132" s="35" t="str">
        <f t="shared" si="2"/>
        <v>Saída</v>
      </c>
      <c r="I132" s="25" t="s">
        <v>296</v>
      </c>
    </row>
    <row r="133" hidden="1">
      <c r="A133" s="64">
        <v>45910.0</v>
      </c>
      <c r="B133" s="66" t="s">
        <v>343</v>
      </c>
      <c r="C133" s="66" t="s">
        <v>363</v>
      </c>
      <c r="D133" s="67">
        <v>1.0</v>
      </c>
      <c r="E133" s="66"/>
      <c r="F133" s="66" t="s">
        <v>393</v>
      </c>
      <c r="G133" s="65" t="str">
        <f t="shared" si="1"/>
        <v>MCC015UC0033</v>
      </c>
      <c r="H133" s="35" t="str">
        <f t="shared" si="2"/>
        <v>Saída</v>
      </c>
      <c r="I133" s="25" t="s">
        <v>345</v>
      </c>
    </row>
    <row r="134" hidden="1">
      <c r="A134" s="64">
        <v>45910.0</v>
      </c>
      <c r="B134" s="66" t="s">
        <v>200</v>
      </c>
      <c r="C134" s="66" t="s">
        <v>377</v>
      </c>
      <c r="D134" s="67">
        <v>1.0</v>
      </c>
      <c r="E134" s="66"/>
      <c r="F134" s="66" t="s">
        <v>396</v>
      </c>
      <c r="G134" s="65" t="str">
        <f t="shared" si="1"/>
        <v>MCC046UC0542</v>
      </c>
      <c r="H134" s="35" t="str">
        <f t="shared" si="2"/>
        <v>Saída</v>
      </c>
      <c r="I134" s="25" t="s">
        <v>257</v>
      </c>
    </row>
    <row r="135" hidden="1">
      <c r="A135" s="64">
        <v>45910.0</v>
      </c>
      <c r="B135" s="66" t="s">
        <v>200</v>
      </c>
      <c r="C135" s="66" t="s">
        <v>255</v>
      </c>
      <c r="D135" s="67">
        <v>1.0</v>
      </c>
      <c r="E135" s="66"/>
      <c r="F135" s="66" t="s">
        <v>397</v>
      </c>
      <c r="G135" s="65" t="str">
        <f t="shared" si="1"/>
        <v>MCC046UC0215</v>
      </c>
      <c r="H135" s="35" t="str">
        <f t="shared" si="2"/>
        <v>Saída</v>
      </c>
      <c r="I135" s="25" t="s">
        <v>257</v>
      </c>
    </row>
    <row r="136" hidden="1">
      <c r="A136" s="64">
        <v>45910.0</v>
      </c>
      <c r="B136" s="66" t="s">
        <v>200</v>
      </c>
      <c r="C136" s="66" t="s">
        <v>271</v>
      </c>
      <c r="D136" s="67">
        <v>1.0</v>
      </c>
      <c r="E136" s="66"/>
      <c r="F136" s="66" t="s">
        <v>397</v>
      </c>
      <c r="G136" s="65" t="str">
        <f t="shared" si="1"/>
        <v>MCC046UC0216</v>
      </c>
      <c r="H136" s="35" t="str">
        <f t="shared" si="2"/>
        <v>Saída</v>
      </c>
      <c r="I136" s="25" t="s">
        <v>257</v>
      </c>
    </row>
    <row r="137" hidden="1">
      <c r="A137" s="64">
        <v>45910.0</v>
      </c>
      <c r="B137" s="66" t="s">
        <v>200</v>
      </c>
      <c r="C137" s="66" t="s">
        <v>385</v>
      </c>
      <c r="D137" s="67">
        <v>1.0</v>
      </c>
      <c r="E137" s="66"/>
      <c r="F137" s="66" t="s">
        <v>397</v>
      </c>
      <c r="G137" s="65" t="str">
        <f t="shared" si="1"/>
        <v>MCC046UC0679</v>
      </c>
      <c r="H137" s="35" t="str">
        <f t="shared" si="2"/>
        <v>Saída</v>
      </c>
      <c r="I137" s="25" t="s">
        <v>257</v>
      </c>
    </row>
    <row r="138" hidden="1">
      <c r="A138" s="64">
        <v>45910.0</v>
      </c>
      <c r="B138" s="66" t="s">
        <v>200</v>
      </c>
      <c r="C138" s="66" t="s">
        <v>398</v>
      </c>
      <c r="D138" s="67">
        <v>1.0</v>
      </c>
      <c r="E138" s="66"/>
      <c r="F138" s="66" t="s">
        <v>399</v>
      </c>
      <c r="G138" s="65" t="str">
        <f t="shared" si="1"/>
        <v>MCC046UC0360</v>
      </c>
      <c r="H138" s="35" t="str">
        <f t="shared" si="2"/>
        <v>Saída</v>
      </c>
      <c r="I138" s="25" t="s">
        <v>257</v>
      </c>
    </row>
    <row r="139" hidden="1">
      <c r="A139" s="64">
        <v>45910.0</v>
      </c>
      <c r="B139" s="66" t="s">
        <v>200</v>
      </c>
      <c r="C139" s="66" t="s">
        <v>248</v>
      </c>
      <c r="D139" s="67">
        <v>1.0</v>
      </c>
      <c r="E139" s="66"/>
      <c r="F139" s="66" t="s">
        <v>397</v>
      </c>
      <c r="G139" s="65" t="str">
        <f t="shared" si="1"/>
        <v>MCC046UC0387</v>
      </c>
      <c r="H139" s="35" t="str">
        <f t="shared" si="2"/>
        <v>Saída</v>
      </c>
      <c r="I139" s="25" t="s">
        <v>257</v>
      </c>
    </row>
    <row r="140" hidden="1">
      <c r="A140" s="64">
        <v>45910.0</v>
      </c>
      <c r="B140" s="66" t="s">
        <v>200</v>
      </c>
      <c r="C140" s="66" t="s">
        <v>400</v>
      </c>
      <c r="D140" s="67">
        <v>1.0</v>
      </c>
      <c r="E140" s="66"/>
      <c r="F140" s="66" t="s">
        <v>397</v>
      </c>
      <c r="G140" s="65" t="str">
        <f t="shared" si="1"/>
        <v>MCC046UC0520</v>
      </c>
      <c r="H140" s="35" t="str">
        <f t="shared" si="2"/>
        <v>Saída</v>
      </c>
      <c r="I140" s="25" t="s">
        <v>257</v>
      </c>
    </row>
    <row r="141" hidden="1">
      <c r="A141" s="64">
        <v>45910.0</v>
      </c>
      <c r="B141" s="66" t="s">
        <v>200</v>
      </c>
      <c r="C141" s="66" t="s">
        <v>218</v>
      </c>
      <c r="D141" s="67">
        <v>1.0</v>
      </c>
      <c r="E141" s="66"/>
      <c r="F141" s="66" t="s">
        <v>397</v>
      </c>
      <c r="G141" s="65" t="str">
        <f t="shared" si="1"/>
        <v>MCC046UC0398</v>
      </c>
      <c r="H141" s="35" t="str">
        <f t="shared" si="2"/>
        <v>Saída</v>
      </c>
      <c r="I141" s="25" t="s">
        <v>257</v>
      </c>
    </row>
    <row r="142">
      <c r="A142" s="64">
        <v>45910.0</v>
      </c>
      <c r="B142" s="66" t="s">
        <v>210</v>
      </c>
      <c r="C142" s="66" t="s">
        <v>224</v>
      </c>
      <c r="D142" s="67">
        <v>4.0</v>
      </c>
      <c r="E142" s="66"/>
      <c r="F142" s="66" t="s">
        <v>266</v>
      </c>
      <c r="G142" s="65" t="str">
        <f t="shared" si="1"/>
        <v>MCC015UC0045</v>
      </c>
      <c r="H142" s="35" t="str">
        <f t="shared" si="2"/>
        <v>Saída</v>
      </c>
      <c r="I142" s="25" t="s">
        <v>213</v>
      </c>
    </row>
    <row r="143">
      <c r="A143" s="64">
        <v>45912.0</v>
      </c>
      <c r="B143" s="66" t="s">
        <v>305</v>
      </c>
      <c r="C143" s="66" t="s">
        <v>224</v>
      </c>
      <c r="D143" s="67">
        <v>10.0</v>
      </c>
      <c r="E143" s="66"/>
      <c r="F143" s="66" t="s">
        <v>375</v>
      </c>
      <c r="G143" s="65" t="str">
        <f t="shared" si="1"/>
        <v>MCC015UC0045</v>
      </c>
      <c r="H143" s="35" t="str">
        <f t="shared" si="2"/>
        <v>Saída</v>
      </c>
      <c r="I143" s="25" t="s">
        <v>307</v>
      </c>
    </row>
    <row r="144" hidden="1">
      <c r="A144" s="64">
        <v>45912.0</v>
      </c>
      <c r="B144" s="66" t="s">
        <v>401</v>
      </c>
      <c r="C144" s="66" t="s">
        <v>255</v>
      </c>
      <c r="D144" s="67">
        <v>5.0</v>
      </c>
      <c r="E144" s="66"/>
      <c r="F144" s="66" t="s">
        <v>402</v>
      </c>
      <c r="G144" s="65" t="str">
        <f t="shared" si="1"/>
        <v>MCC046UC0215</v>
      </c>
      <c r="H144" s="35" t="str">
        <f t="shared" si="2"/>
        <v>Saída</v>
      </c>
      <c r="I144" s="25" t="s">
        <v>403</v>
      </c>
    </row>
    <row r="145">
      <c r="A145" s="64">
        <v>45912.0</v>
      </c>
      <c r="B145" s="66" t="s">
        <v>244</v>
      </c>
      <c r="C145" s="66" t="s">
        <v>224</v>
      </c>
      <c r="D145" s="67">
        <v>1.0</v>
      </c>
      <c r="E145" s="66"/>
      <c r="F145" s="66" t="s">
        <v>404</v>
      </c>
      <c r="G145" s="65" t="str">
        <f t="shared" si="1"/>
        <v>MCC015UC0045</v>
      </c>
      <c r="H145" s="35" t="str">
        <f t="shared" si="2"/>
        <v>Saída</v>
      </c>
      <c r="I145" s="25" t="s">
        <v>247</v>
      </c>
    </row>
    <row r="146">
      <c r="A146" s="64">
        <v>45912.0</v>
      </c>
      <c r="B146" s="66" t="s">
        <v>270</v>
      </c>
      <c r="C146" s="66" t="s">
        <v>224</v>
      </c>
      <c r="D146" s="67">
        <v>2.0</v>
      </c>
      <c r="E146" s="66"/>
      <c r="F146" s="66" t="s">
        <v>405</v>
      </c>
      <c r="G146" s="65" t="str">
        <f t="shared" si="1"/>
        <v>MCC015UC0045</v>
      </c>
      <c r="H146" s="35" t="str">
        <f t="shared" si="2"/>
        <v>Saída</v>
      </c>
      <c r="I146" s="25" t="s">
        <v>273</v>
      </c>
    </row>
    <row r="147" hidden="1">
      <c r="A147" s="64">
        <v>45915.0</v>
      </c>
      <c r="B147" s="66" t="s">
        <v>302</v>
      </c>
      <c r="C147" s="66" t="s">
        <v>271</v>
      </c>
      <c r="D147" s="67">
        <v>2.0</v>
      </c>
      <c r="E147" s="66"/>
      <c r="F147" s="66" t="s">
        <v>406</v>
      </c>
      <c r="G147" s="65" t="str">
        <f t="shared" si="1"/>
        <v>MCC046UC0216</v>
      </c>
      <c r="H147" s="35" t="str">
        <f t="shared" si="2"/>
        <v>Saída</v>
      </c>
      <c r="I147" s="25" t="s">
        <v>304</v>
      </c>
    </row>
    <row r="148" hidden="1">
      <c r="A148" s="64">
        <v>45915.0</v>
      </c>
      <c r="B148" s="66" t="s">
        <v>210</v>
      </c>
      <c r="C148" s="66" t="s">
        <v>250</v>
      </c>
      <c r="D148" s="67">
        <v>2.0</v>
      </c>
      <c r="E148" s="66"/>
      <c r="F148" s="66" t="s">
        <v>281</v>
      </c>
      <c r="G148" s="65" t="str">
        <f t="shared" si="1"/>
        <v>MCC046UC0526</v>
      </c>
      <c r="H148" s="35" t="str">
        <f t="shared" si="2"/>
        <v>Saída</v>
      </c>
      <c r="I148" s="25" t="s">
        <v>213</v>
      </c>
    </row>
    <row r="149" hidden="1">
      <c r="A149" s="64">
        <v>45915.0</v>
      </c>
      <c r="B149" s="66" t="s">
        <v>359</v>
      </c>
      <c r="C149" s="66" t="s">
        <v>245</v>
      </c>
      <c r="D149" s="67">
        <v>4.0</v>
      </c>
      <c r="E149" s="66"/>
      <c r="F149" s="66" t="s">
        <v>407</v>
      </c>
      <c r="G149" s="65" t="str">
        <f t="shared" si="1"/>
        <v>MCC015UC0008</v>
      </c>
      <c r="H149" s="35" t="str">
        <f t="shared" si="2"/>
        <v>Saída</v>
      </c>
      <c r="I149" s="25" t="s">
        <v>362</v>
      </c>
    </row>
    <row r="150" hidden="1">
      <c r="A150" s="64">
        <v>45916.0</v>
      </c>
      <c r="B150" s="66" t="s">
        <v>333</v>
      </c>
      <c r="C150" s="66" t="s">
        <v>398</v>
      </c>
      <c r="D150" s="67">
        <v>4.0</v>
      </c>
      <c r="E150" s="66"/>
      <c r="F150" s="66" t="s">
        <v>408</v>
      </c>
      <c r="G150" s="65" t="str">
        <f t="shared" si="1"/>
        <v>MCC046UC0360</v>
      </c>
      <c r="H150" s="35" t="str">
        <f t="shared" si="2"/>
        <v>Saída</v>
      </c>
      <c r="I150" s="25" t="s">
        <v>335</v>
      </c>
    </row>
    <row r="151" hidden="1">
      <c r="A151" s="64">
        <v>45916.0</v>
      </c>
      <c r="B151" s="66" t="s">
        <v>343</v>
      </c>
      <c r="C151" s="66" t="s">
        <v>245</v>
      </c>
      <c r="D151" s="67">
        <v>2.0</v>
      </c>
      <c r="E151" s="66"/>
      <c r="F151" s="66" t="s">
        <v>344</v>
      </c>
      <c r="G151" s="65" t="str">
        <f t="shared" si="1"/>
        <v>MCC015UC0008</v>
      </c>
      <c r="H151" s="35" t="str">
        <f t="shared" si="2"/>
        <v>Saída</v>
      </c>
      <c r="I151" s="25" t="s">
        <v>345</v>
      </c>
    </row>
    <row r="152" hidden="1">
      <c r="A152" s="64">
        <v>45916.0</v>
      </c>
      <c r="B152" s="66" t="s">
        <v>244</v>
      </c>
      <c r="C152" s="66" t="s">
        <v>250</v>
      </c>
      <c r="D152" s="67">
        <v>1.0</v>
      </c>
      <c r="E152" s="66"/>
      <c r="F152" s="66" t="s">
        <v>409</v>
      </c>
      <c r="G152" s="65" t="str">
        <f t="shared" si="1"/>
        <v>MCC046UC0526</v>
      </c>
      <c r="H152" s="35" t="str">
        <f t="shared" si="2"/>
        <v>Saída</v>
      </c>
      <c r="I152" s="25" t="s">
        <v>247</v>
      </c>
    </row>
    <row r="153" hidden="1">
      <c r="A153" s="64">
        <v>45916.0</v>
      </c>
      <c r="B153" s="66" t="s">
        <v>203</v>
      </c>
      <c r="C153" s="66" t="s">
        <v>410</v>
      </c>
      <c r="D153" s="67">
        <v>5.0</v>
      </c>
      <c r="E153" s="66"/>
      <c r="F153" s="66" t="s">
        <v>411</v>
      </c>
      <c r="G153" s="65" t="str">
        <f t="shared" si="1"/>
        <v>MCC049UC0604</v>
      </c>
      <c r="H153" s="35" t="str">
        <f t="shared" si="2"/>
        <v>Saída</v>
      </c>
      <c r="I153" s="25" t="s">
        <v>205</v>
      </c>
    </row>
    <row r="154" hidden="1">
      <c r="A154" s="64">
        <v>45916.0</v>
      </c>
      <c r="B154" s="66" t="s">
        <v>366</v>
      </c>
      <c r="C154" s="66" t="s">
        <v>410</v>
      </c>
      <c r="D154" s="67">
        <v>5.0</v>
      </c>
      <c r="E154" s="66"/>
      <c r="F154" s="66" t="s">
        <v>412</v>
      </c>
      <c r="G154" s="65" t="str">
        <f t="shared" si="1"/>
        <v>MCC049UC0604</v>
      </c>
      <c r="H154" s="35" t="str">
        <f t="shared" si="2"/>
        <v>Saída</v>
      </c>
      <c r="I154" s="25" t="s">
        <v>368</v>
      </c>
    </row>
    <row r="155" hidden="1">
      <c r="A155" s="64">
        <v>45917.0</v>
      </c>
      <c r="B155" s="66" t="s">
        <v>340</v>
      </c>
      <c r="C155" s="66" t="s">
        <v>245</v>
      </c>
      <c r="D155" s="67">
        <v>2.0</v>
      </c>
      <c r="E155" s="66"/>
      <c r="F155" s="66" t="s">
        <v>413</v>
      </c>
      <c r="G155" s="65" t="str">
        <f t="shared" si="1"/>
        <v>MCC015UC0008</v>
      </c>
      <c r="H155" s="35" t="str">
        <f t="shared" si="2"/>
        <v>Saída</v>
      </c>
      <c r="I155" s="25" t="s">
        <v>342</v>
      </c>
    </row>
    <row r="156" hidden="1">
      <c r="A156" s="64">
        <v>45917.0</v>
      </c>
      <c r="B156" s="66" t="s">
        <v>203</v>
      </c>
      <c r="C156" s="66" t="s">
        <v>410</v>
      </c>
      <c r="D156" s="67">
        <v>5.0</v>
      </c>
      <c r="E156" s="66"/>
      <c r="F156" s="66" t="s">
        <v>414</v>
      </c>
      <c r="G156" s="65" t="str">
        <f t="shared" si="1"/>
        <v>MCC049UC0604</v>
      </c>
      <c r="H156" s="35" t="str">
        <f t="shared" si="2"/>
        <v>Saída</v>
      </c>
      <c r="I156" s="25" t="s">
        <v>205</v>
      </c>
    </row>
    <row r="157" hidden="1">
      <c r="A157" s="64">
        <v>45917.0</v>
      </c>
      <c r="B157" s="66" t="s">
        <v>297</v>
      </c>
      <c r="C157" s="66" t="s">
        <v>415</v>
      </c>
      <c r="D157" s="67">
        <v>1.0</v>
      </c>
      <c r="E157" s="66"/>
      <c r="F157" s="66" t="s">
        <v>416</v>
      </c>
      <c r="G157" s="65" t="str">
        <f t="shared" si="1"/>
        <v>MCC049UC0606</v>
      </c>
      <c r="H157" s="35" t="str">
        <f t="shared" si="2"/>
        <v>Saída</v>
      </c>
      <c r="I157" s="25" t="s">
        <v>300</v>
      </c>
    </row>
    <row r="158" hidden="1">
      <c r="A158" s="64">
        <v>45918.0</v>
      </c>
      <c r="B158" s="66" t="s">
        <v>214</v>
      </c>
      <c r="C158" s="66" t="s">
        <v>298</v>
      </c>
      <c r="D158" s="67">
        <v>1.0</v>
      </c>
      <c r="E158" s="66"/>
      <c r="F158" s="66" t="s">
        <v>417</v>
      </c>
      <c r="G158" s="65" t="str">
        <f t="shared" si="1"/>
        <v>MCC046UC0639</v>
      </c>
      <c r="H158" s="35" t="str">
        <f t="shared" si="2"/>
        <v>Saída</v>
      </c>
      <c r="I158" s="25" t="s">
        <v>217</v>
      </c>
    </row>
    <row r="159">
      <c r="A159" s="64">
        <v>45918.0</v>
      </c>
      <c r="B159" s="66" t="s">
        <v>333</v>
      </c>
      <c r="C159" s="66" t="s">
        <v>224</v>
      </c>
      <c r="D159" s="67">
        <v>4.0</v>
      </c>
      <c r="E159" s="66"/>
      <c r="F159" s="66" t="s">
        <v>418</v>
      </c>
      <c r="G159" s="65" t="str">
        <f t="shared" si="1"/>
        <v>MCC015UC0045</v>
      </c>
      <c r="H159" s="35" t="str">
        <f t="shared" si="2"/>
        <v>Saída</v>
      </c>
      <c r="I159" s="25" t="s">
        <v>335</v>
      </c>
    </row>
    <row r="160">
      <c r="A160" s="64">
        <v>45919.0</v>
      </c>
      <c r="B160" s="66" t="s">
        <v>294</v>
      </c>
      <c r="C160" s="66" t="s">
        <v>224</v>
      </c>
      <c r="D160" s="67">
        <v>5.0</v>
      </c>
      <c r="E160" s="66"/>
      <c r="F160" s="66" t="s">
        <v>419</v>
      </c>
      <c r="G160" s="65" t="str">
        <f t="shared" si="1"/>
        <v>MCC015UC0045</v>
      </c>
      <c r="H160" s="35" t="str">
        <f t="shared" si="2"/>
        <v>Saída</v>
      </c>
      <c r="I160" s="25" t="s">
        <v>296</v>
      </c>
    </row>
    <row r="161">
      <c r="A161" s="64">
        <v>45919.0</v>
      </c>
      <c r="B161" s="66" t="s">
        <v>302</v>
      </c>
      <c r="C161" s="66" t="s">
        <v>224</v>
      </c>
      <c r="D161" s="67">
        <v>5.0</v>
      </c>
      <c r="E161" s="66"/>
      <c r="F161" s="66" t="s">
        <v>420</v>
      </c>
      <c r="G161" s="65" t="str">
        <f t="shared" si="1"/>
        <v>MCC015UC0045</v>
      </c>
      <c r="H161" s="35" t="str">
        <f t="shared" si="2"/>
        <v>Saída</v>
      </c>
      <c r="I161" s="25" t="s">
        <v>304</v>
      </c>
    </row>
    <row r="162" hidden="1">
      <c r="A162" s="64">
        <v>45919.0</v>
      </c>
      <c r="B162" s="66" t="s">
        <v>232</v>
      </c>
      <c r="C162" s="66" t="s">
        <v>319</v>
      </c>
      <c r="D162" s="67">
        <v>1.0</v>
      </c>
      <c r="E162" s="66"/>
      <c r="F162" s="66" t="s">
        <v>421</v>
      </c>
      <c r="G162" s="65" t="str">
        <f t="shared" si="1"/>
        <v>MCC049UC0610</v>
      </c>
      <c r="H162" s="35" t="str">
        <f t="shared" si="2"/>
        <v>Saída</v>
      </c>
      <c r="I162" s="25" t="s">
        <v>234</v>
      </c>
    </row>
    <row r="163" hidden="1">
      <c r="A163" s="64">
        <v>45922.0</v>
      </c>
      <c r="B163" s="66" t="s">
        <v>401</v>
      </c>
      <c r="C163" s="66" t="s">
        <v>242</v>
      </c>
      <c r="D163" s="67">
        <v>1.0</v>
      </c>
      <c r="E163" s="66"/>
      <c r="F163" s="66" t="s">
        <v>422</v>
      </c>
      <c r="G163" s="65" t="str">
        <f t="shared" si="1"/>
        <v>MCC046UC0687</v>
      </c>
      <c r="H163" s="35" t="str">
        <f t="shared" si="2"/>
        <v>Saída</v>
      </c>
      <c r="I163" s="25" t="s">
        <v>403</v>
      </c>
    </row>
    <row r="164" hidden="1">
      <c r="A164" s="64">
        <v>45922.0</v>
      </c>
      <c r="B164" s="66" t="s">
        <v>214</v>
      </c>
      <c r="C164" s="66" t="s">
        <v>226</v>
      </c>
      <c r="D164" s="67">
        <v>3.0</v>
      </c>
      <c r="E164" s="66"/>
      <c r="F164" s="66" t="s">
        <v>423</v>
      </c>
      <c r="G164" s="65" t="str">
        <f t="shared" si="1"/>
        <v>MCC046UC0596</v>
      </c>
      <c r="H164" s="35" t="str">
        <f t="shared" si="2"/>
        <v>Saída</v>
      </c>
      <c r="I164" s="25" t="s">
        <v>217</v>
      </c>
    </row>
    <row r="165" hidden="1">
      <c r="A165" s="64">
        <v>45922.0</v>
      </c>
      <c r="B165" s="66" t="s">
        <v>305</v>
      </c>
      <c r="C165" s="66" t="s">
        <v>226</v>
      </c>
      <c r="D165" s="67">
        <v>6.0</v>
      </c>
      <c r="E165" s="66"/>
      <c r="F165" s="66" t="s">
        <v>375</v>
      </c>
      <c r="G165" s="65" t="str">
        <f t="shared" si="1"/>
        <v>MCC046UC0596</v>
      </c>
      <c r="H165" s="35" t="str">
        <f t="shared" si="2"/>
        <v>Saída</v>
      </c>
      <c r="I165" s="25" t="s">
        <v>307</v>
      </c>
    </row>
    <row r="166" hidden="1">
      <c r="A166" s="64">
        <v>45923.0</v>
      </c>
      <c r="B166" s="66" t="s">
        <v>302</v>
      </c>
      <c r="C166" s="66" t="s">
        <v>245</v>
      </c>
      <c r="D166" s="67">
        <v>5.0</v>
      </c>
      <c r="E166" s="66"/>
      <c r="F166" s="66" t="s">
        <v>424</v>
      </c>
      <c r="G166" s="65" t="str">
        <f t="shared" si="1"/>
        <v>MCC015UC0008</v>
      </c>
      <c r="H166" s="35" t="str">
        <f t="shared" si="2"/>
        <v>Saída</v>
      </c>
      <c r="I166" s="25" t="s">
        <v>304</v>
      </c>
    </row>
    <row r="167">
      <c r="A167" s="64">
        <v>45923.0</v>
      </c>
      <c r="B167" s="66" t="s">
        <v>214</v>
      </c>
      <c r="C167" s="66" t="s">
        <v>224</v>
      </c>
      <c r="D167" s="67">
        <v>5.0</v>
      </c>
      <c r="E167" s="66"/>
      <c r="F167" s="66" t="s">
        <v>425</v>
      </c>
      <c r="G167" s="65" t="str">
        <f t="shared" si="1"/>
        <v>MCC015UC0045</v>
      </c>
      <c r="H167" s="35" t="str">
        <f t="shared" si="2"/>
        <v>Saída</v>
      </c>
      <c r="I167" s="25" t="s">
        <v>217</v>
      </c>
    </row>
    <row r="168" hidden="1">
      <c r="A168" s="64">
        <v>45923.0</v>
      </c>
      <c r="B168" s="66" t="s">
        <v>366</v>
      </c>
      <c r="C168" s="66" t="s">
        <v>245</v>
      </c>
      <c r="D168" s="67">
        <v>2.0</v>
      </c>
      <c r="E168" s="66"/>
      <c r="F168" s="66" t="s">
        <v>426</v>
      </c>
      <c r="G168" s="65" t="str">
        <f t="shared" si="1"/>
        <v>MCC015UC0008</v>
      </c>
      <c r="H168" s="35" t="str">
        <f t="shared" si="2"/>
        <v>Saída</v>
      </c>
      <c r="I168" s="25" t="s">
        <v>368</v>
      </c>
    </row>
    <row r="169">
      <c r="A169" s="64">
        <v>45923.0</v>
      </c>
      <c r="B169" s="66" t="s">
        <v>210</v>
      </c>
      <c r="C169" s="66" t="s">
        <v>224</v>
      </c>
      <c r="D169" s="67">
        <v>5.0</v>
      </c>
      <c r="E169" s="66"/>
      <c r="F169" s="66" t="s">
        <v>276</v>
      </c>
      <c r="G169" s="65" t="str">
        <f t="shared" si="1"/>
        <v>MCC015UC0045</v>
      </c>
      <c r="H169" s="35" t="str">
        <f t="shared" si="2"/>
        <v>Saída</v>
      </c>
      <c r="I169" s="25" t="s">
        <v>213</v>
      </c>
    </row>
    <row r="170" hidden="1">
      <c r="A170" s="64">
        <v>45923.0</v>
      </c>
      <c r="B170" s="66" t="s">
        <v>340</v>
      </c>
      <c r="C170" s="66" t="s">
        <v>245</v>
      </c>
      <c r="D170" s="67">
        <v>2.0</v>
      </c>
      <c r="E170" s="66"/>
      <c r="F170" s="66" t="s">
        <v>413</v>
      </c>
      <c r="G170" s="65" t="str">
        <f t="shared" si="1"/>
        <v>MCC015UC0008</v>
      </c>
      <c r="H170" s="35" t="str">
        <f t="shared" si="2"/>
        <v>Saída</v>
      </c>
      <c r="I170" s="25" t="s">
        <v>342</v>
      </c>
    </row>
    <row r="171" hidden="1">
      <c r="A171" s="64">
        <v>45923.0</v>
      </c>
      <c r="B171" s="66" t="s">
        <v>340</v>
      </c>
      <c r="C171" s="66" t="s">
        <v>360</v>
      </c>
      <c r="D171" s="67">
        <v>1.0</v>
      </c>
      <c r="E171" s="66"/>
      <c r="F171" s="66" t="s">
        <v>427</v>
      </c>
      <c r="G171" s="65" t="str">
        <f t="shared" si="1"/>
        <v>MCC049UC0288</v>
      </c>
      <c r="H171" s="35" t="str">
        <f t="shared" si="2"/>
        <v>Saída</v>
      </c>
      <c r="I171" s="25" t="s">
        <v>342</v>
      </c>
    </row>
    <row r="172">
      <c r="A172" s="64">
        <v>45924.0</v>
      </c>
      <c r="B172" s="66" t="s">
        <v>333</v>
      </c>
      <c r="C172" s="66" t="s">
        <v>224</v>
      </c>
      <c r="D172" s="67">
        <v>4.0</v>
      </c>
      <c r="E172" s="66"/>
      <c r="F172" s="66" t="s">
        <v>428</v>
      </c>
      <c r="G172" s="65" t="str">
        <f t="shared" si="1"/>
        <v>MCC015UC0045</v>
      </c>
      <c r="H172" s="35" t="str">
        <f t="shared" si="2"/>
        <v>Saída</v>
      </c>
      <c r="I172" s="25" t="s">
        <v>335</v>
      </c>
    </row>
    <row r="173" hidden="1">
      <c r="A173" s="64">
        <v>45924.0</v>
      </c>
      <c r="B173" s="66" t="s">
        <v>366</v>
      </c>
      <c r="C173" s="66" t="s">
        <v>245</v>
      </c>
      <c r="D173" s="67">
        <v>2.0</v>
      </c>
      <c r="E173" s="66"/>
      <c r="F173" s="66" t="s">
        <v>429</v>
      </c>
      <c r="G173" s="65" t="str">
        <f t="shared" si="1"/>
        <v>MCC015UC0008</v>
      </c>
      <c r="H173" s="35" t="str">
        <f t="shared" si="2"/>
        <v>Saída</v>
      </c>
      <c r="I173" s="25" t="s">
        <v>368</v>
      </c>
    </row>
    <row r="174" hidden="1">
      <c r="A174" s="64">
        <v>45924.0</v>
      </c>
      <c r="B174" s="66" t="s">
        <v>232</v>
      </c>
      <c r="C174" s="66" t="s">
        <v>263</v>
      </c>
      <c r="D174" s="67">
        <v>1.0</v>
      </c>
      <c r="E174" s="66"/>
      <c r="F174" s="66" t="s">
        <v>430</v>
      </c>
      <c r="G174" s="65" t="str">
        <f t="shared" si="1"/>
        <v>MCC015UC0038</v>
      </c>
      <c r="H174" s="35" t="str">
        <f t="shared" si="2"/>
        <v>Saída</v>
      </c>
      <c r="I174" s="25" t="s">
        <v>234</v>
      </c>
    </row>
    <row r="175" hidden="1">
      <c r="A175" s="64">
        <v>45924.0</v>
      </c>
      <c r="B175" s="66" t="s">
        <v>343</v>
      </c>
      <c r="C175" s="66" t="s">
        <v>245</v>
      </c>
      <c r="D175" s="67">
        <v>2.0</v>
      </c>
      <c r="E175" s="66"/>
      <c r="F175" s="66" t="s">
        <v>431</v>
      </c>
      <c r="G175" s="65" t="str">
        <f t="shared" si="1"/>
        <v>MCC015UC0008</v>
      </c>
      <c r="H175" s="35" t="str">
        <f t="shared" si="2"/>
        <v>Saída</v>
      </c>
      <c r="I175" s="25" t="s">
        <v>345</v>
      </c>
    </row>
    <row r="176" hidden="1">
      <c r="A176" s="64">
        <v>45924.0</v>
      </c>
      <c r="B176" s="66" t="s">
        <v>239</v>
      </c>
      <c r="C176" s="66" t="s">
        <v>215</v>
      </c>
      <c r="D176" s="67">
        <v>1.0</v>
      </c>
      <c r="E176" s="66"/>
      <c r="F176" s="66" t="s">
        <v>432</v>
      </c>
      <c r="G176" s="65" t="str">
        <f t="shared" si="1"/>
        <v>MCC046UC0082</v>
      </c>
      <c r="H176" s="35" t="str">
        <f t="shared" si="2"/>
        <v>Saída</v>
      </c>
      <c r="I176" s="25" t="s">
        <v>241</v>
      </c>
    </row>
    <row r="177" hidden="1">
      <c r="A177" s="64">
        <v>45924.0</v>
      </c>
      <c r="B177" s="66" t="s">
        <v>343</v>
      </c>
      <c r="C177" s="66" t="s">
        <v>245</v>
      </c>
      <c r="D177" s="67">
        <v>3.0</v>
      </c>
      <c r="E177" s="66"/>
      <c r="F177" s="66" t="s">
        <v>433</v>
      </c>
      <c r="G177" s="65" t="str">
        <f t="shared" si="1"/>
        <v>MCC015UC0008</v>
      </c>
      <c r="H177" s="35" t="str">
        <f t="shared" si="2"/>
        <v>Saída</v>
      </c>
      <c r="I177" s="25" t="s">
        <v>345</v>
      </c>
    </row>
    <row r="178" hidden="1">
      <c r="A178" s="64">
        <v>45924.0</v>
      </c>
      <c r="B178" s="66" t="s">
        <v>297</v>
      </c>
      <c r="C178" s="66" t="s">
        <v>434</v>
      </c>
      <c r="D178" s="67">
        <v>1.0</v>
      </c>
      <c r="E178" s="66"/>
      <c r="F178" s="66" t="s">
        <v>435</v>
      </c>
      <c r="G178" s="65" t="str">
        <f t="shared" si="1"/>
        <v>MCC046UC0164</v>
      </c>
      <c r="H178" s="35" t="str">
        <f t="shared" si="2"/>
        <v>Saída</v>
      </c>
      <c r="I178" s="25" t="s">
        <v>300</v>
      </c>
    </row>
    <row r="179" hidden="1">
      <c r="A179" s="64">
        <v>45924.0</v>
      </c>
      <c r="B179" s="66" t="s">
        <v>297</v>
      </c>
      <c r="C179" s="66" t="s">
        <v>248</v>
      </c>
      <c r="D179" s="67">
        <v>1.0</v>
      </c>
      <c r="E179" s="66"/>
      <c r="F179" s="66" t="s">
        <v>436</v>
      </c>
      <c r="G179" s="65" t="str">
        <f t="shared" si="1"/>
        <v>MCC046UC0387</v>
      </c>
      <c r="H179" s="35" t="str">
        <f t="shared" si="2"/>
        <v>Saída</v>
      </c>
      <c r="I179" s="25" t="s">
        <v>300</v>
      </c>
    </row>
    <row r="180" hidden="1">
      <c r="A180" s="64">
        <v>45924.0</v>
      </c>
      <c r="B180" s="66" t="s">
        <v>297</v>
      </c>
      <c r="C180" s="66" t="s">
        <v>437</v>
      </c>
      <c r="D180" s="67">
        <v>2.0</v>
      </c>
      <c r="E180" s="66"/>
      <c r="F180" s="66" t="s">
        <v>436</v>
      </c>
      <c r="G180" s="65" t="str">
        <f t="shared" si="1"/>
        <v>MCC046UC0675</v>
      </c>
      <c r="H180" s="35" t="str">
        <f t="shared" si="2"/>
        <v>Saída</v>
      </c>
      <c r="I180" s="25" t="s">
        <v>300</v>
      </c>
    </row>
    <row r="181" hidden="1">
      <c r="A181" s="64">
        <v>45924.0</v>
      </c>
      <c r="B181" s="66" t="s">
        <v>297</v>
      </c>
      <c r="C181" s="66" t="s">
        <v>438</v>
      </c>
      <c r="D181" s="67">
        <v>1.0</v>
      </c>
      <c r="E181" s="66"/>
      <c r="F181" s="66" t="s">
        <v>436</v>
      </c>
      <c r="G181" s="65" t="str">
        <f t="shared" si="1"/>
        <v>MCC046UC0671</v>
      </c>
      <c r="H181" s="35" t="str">
        <f t="shared" si="2"/>
        <v>Saída</v>
      </c>
      <c r="I181" s="25" t="s">
        <v>300</v>
      </c>
    </row>
    <row r="182" hidden="1">
      <c r="A182" s="64">
        <v>45924.0</v>
      </c>
      <c r="B182" s="66" t="s">
        <v>343</v>
      </c>
      <c r="C182" s="66" t="s">
        <v>245</v>
      </c>
      <c r="D182" s="67">
        <v>3.0</v>
      </c>
      <c r="E182" s="66"/>
      <c r="F182" s="66" t="s">
        <v>433</v>
      </c>
      <c r="G182" s="65" t="str">
        <f t="shared" si="1"/>
        <v>MCC015UC0008</v>
      </c>
      <c r="H182" s="35" t="str">
        <f t="shared" si="2"/>
        <v>Saída</v>
      </c>
      <c r="I182" s="25" t="s">
        <v>345</v>
      </c>
    </row>
    <row r="183">
      <c r="A183" s="64">
        <v>45924.0</v>
      </c>
      <c r="B183" s="66" t="s">
        <v>343</v>
      </c>
      <c r="C183" s="66" t="s">
        <v>224</v>
      </c>
      <c r="D183" s="67">
        <v>2.0</v>
      </c>
      <c r="E183" s="66"/>
      <c r="F183" s="66" t="s">
        <v>439</v>
      </c>
      <c r="G183" s="65" t="str">
        <f t="shared" si="1"/>
        <v>MCC015UC0045</v>
      </c>
      <c r="H183" s="35" t="str">
        <f t="shared" si="2"/>
        <v>Saída</v>
      </c>
      <c r="I183" s="25" t="s">
        <v>345</v>
      </c>
    </row>
    <row r="184" hidden="1">
      <c r="A184" s="64">
        <v>45924.0</v>
      </c>
      <c r="B184" s="66" t="s">
        <v>340</v>
      </c>
      <c r="C184" s="66" t="s">
        <v>245</v>
      </c>
      <c r="D184" s="67">
        <v>2.0</v>
      </c>
      <c r="E184" s="66"/>
      <c r="F184" s="66" t="s">
        <v>427</v>
      </c>
      <c r="G184" s="65" t="str">
        <f t="shared" si="1"/>
        <v>MCC015UC0008</v>
      </c>
      <c r="H184" s="35" t="str">
        <f t="shared" si="2"/>
        <v>Saída</v>
      </c>
      <c r="I184" s="25" t="s">
        <v>342</v>
      </c>
    </row>
    <row r="185">
      <c r="A185" s="64">
        <v>45924.0</v>
      </c>
      <c r="B185" s="66" t="s">
        <v>232</v>
      </c>
      <c r="C185" s="66" t="s">
        <v>224</v>
      </c>
      <c r="D185" s="67">
        <v>1.0</v>
      </c>
      <c r="E185" s="66"/>
      <c r="F185" s="66" t="s">
        <v>440</v>
      </c>
      <c r="G185" s="65" t="str">
        <f t="shared" si="1"/>
        <v>MCC015UC0045</v>
      </c>
      <c r="H185" s="35" t="str">
        <f t="shared" si="2"/>
        <v>Saída</v>
      </c>
      <c r="I185" s="25" t="s">
        <v>234</v>
      </c>
    </row>
    <row r="186">
      <c r="A186" s="64">
        <v>45924.0</v>
      </c>
      <c r="B186" s="66" t="s">
        <v>366</v>
      </c>
      <c r="C186" s="66" t="s">
        <v>224</v>
      </c>
      <c r="D186" s="67">
        <v>6.0</v>
      </c>
      <c r="E186" s="66"/>
      <c r="F186" s="66" t="s">
        <v>441</v>
      </c>
      <c r="G186" s="65" t="str">
        <f t="shared" si="1"/>
        <v>MCC015UC0045</v>
      </c>
      <c r="H186" s="35" t="str">
        <f t="shared" si="2"/>
        <v>Saída</v>
      </c>
      <c r="I186" s="25" t="s">
        <v>368</v>
      </c>
    </row>
    <row r="187" hidden="1">
      <c r="A187" s="64">
        <v>45924.0</v>
      </c>
      <c r="B187" s="66" t="s">
        <v>343</v>
      </c>
      <c r="C187" s="66" t="s">
        <v>245</v>
      </c>
      <c r="D187" s="67">
        <v>2.0</v>
      </c>
      <c r="E187" s="66"/>
      <c r="F187" s="66" t="s">
        <v>433</v>
      </c>
      <c r="G187" s="65" t="str">
        <f t="shared" si="1"/>
        <v>MCC015UC0008</v>
      </c>
      <c r="H187" s="35" t="str">
        <f t="shared" si="2"/>
        <v>Saída</v>
      </c>
      <c r="I187" s="25" t="s">
        <v>345</v>
      </c>
    </row>
    <row r="188" hidden="1">
      <c r="A188" s="64">
        <v>45924.0</v>
      </c>
      <c r="B188" s="66" t="s">
        <v>210</v>
      </c>
      <c r="C188" s="66" t="s">
        <v>298</v>
      </c>
      <c r="D188" s="67">
        <v>1.0</v>
      </c>
      <c r="E188" s="66"/>
      <c r="F188" s="66" t="s">
        <v>442</v>
      </c>
      <c r="G188" s="65" t="str">
        <f t="shared" si="1"/>
        <v>MCC046UC0639</v>
      </c>
      <c r="H188" s="35" t="str">
        <f t="shared" si="2"/>
        <v>Saída</v>
      </c>
      <c r="I188" s="25" t="s">
        <v>213</v>
      </c>
    </row>
    <row r="189" hidden="1">
      <c r="A189" s="64">
        <v>45926.0</v>
      </c>
      <c r="B189" s="66" t="s">
        <v>210</v>
      </c>
      <c r="C189" s="66" t="s">
        <v>255</v>
      </c>
      <c r="D189" s="67">
        <v>1.0</v>
      </c>
      <c r="E189" s="66"/>
      <c r="F189" s="66" t="s">
        <v>443</v>
      </c>
      <c r="G189" s="65" t="str">
        <f t="shared" si="1"/>
        <v>MCC046UC0215</v>
      </c>
      <c r="H189" s="35" t="str">
        <f t="shared" si="2"/>
        <v>Saída</v>
      </c>
      <c r="I189" s="25" t="s">
        <v>213</v>
      </c>
    </row>
    <row r="190" hidden="1">
      <c r="A190" s="64">
        <v>45926.0</v>
      </c>
      <c r="B190" s="66" t="s">
        <v>297</v>
      </c>
      <c r="C190" s="66" t="s">
        <v>346</v>
      </c>
      <c r="D190" s="67">
        <v>10.0</v>
      </c>
      <c r="E190" s="66"/>
      <c r="F190" s="66" t="s">
        <v>444</v>
      </c>
      <c r="G190" s="65" t="str">
        <f t="shared" si="1"/>
        <v>MCC049UC0603</v>
      </c>
      <c r="H190" s="35" t="str">
        <f t="shared" si="2"/>
        <v>Saída</v>
      </c>
      <c r="I190" s="25" t="s">
        <v>300</v>
      </c>
    </row>
    <row r="191" hidden="1">
      <c r="A191" s="64">
        <v>45926.0</v>
      </c>
      <c r="B191" s="66" t="s">
        <v>297</v>
      </c>
      <c r="C191" s="66" t="s">
        <v>346</v>
      </c>
      <c r="D191" s="67">
        <v>10.0</v>
      </c>
      <c r="E191" s="66"/>
      <c r="F191" s="66" t="s">
        <v>445</v>
      </c>
      <c r="G191" s="65" t="str">
        <f t="shared" si="1"/>
        <v>MCC049UC0603</v>
      </c>
      <c r="H191" s="35" t="str">
        <f t="shared" si="2"/>
        <v>Saída</v>
      </c>
      <c r="I191" s="25" t="s">
        <v>300</v>
      </c>
    </row>
    <row r="192" hidden="1">
      <c r="A192" s="64">
        <v>45926.0</v>
      </c>
      <c r="B192" s="66" t="s">
        <v>232</v>
      </c>
      <c r="C192" s="66" t="s">
        <v>245</v>
      </c>
      <c r="D192" s="67">
        <v>1.0</v>
      </c>
      <c r="E192" s="66"/>
      <c r="F192" s="66" t="s">
        <v>446</v>
      </c>
      <c r="G192" s="65" t="str">
        <f t="shared" si="1"/>
        <v>MCC015UC0008</v>
      </c>
      <c r="H192" s="35" t="str">
        <f t="shared" si="2"/>
        <v>Saída</v>
      </c>
      <c r="I192" s="25" t="s">
        <v>234</v>
      </c>
    </row>
    <row r="193" hidden="1">
      <c r="A193" s="64">
        <v>45926.0</v>
      </c>
      <c r="B193" s="66" t="s">
        <v>297</v>
      </c>
      <c r="C193" s="66" t="s">
        <v>447</v>
      </c>
      <c r="D193" s="67">
        <v>2.0</v>
      </c>
      <c r="E193" s="66"/>
      <c r="F193" s="66" t="s">
        <v>448</v>
      </c>
      <c r="G193" s="65" t="str">
        <f t="shared" si="1"/>
        <v>EMC015MO0007</v>
      </c>
      <c r="H193" s="35" t="str">
        <f t="shared" si="2"/>
        <v>Saída</v>
      </c>
      <c r="I193" s="25" t="s">
        <v>300</v>
      </c>
    </row>
    <row r="194" hidden="1">
      <c r="A194" s="64">
        <v>45926.0</v>
      </c>
      <c r="B194" s="66" t="s">
        <v>206</v>
      </c>
      <c r="C194" s="66" t="s">
        <v>311</v>
      </c>
      <c r="D194" s="67">
        <v>1.0</v>
      </c>
      <c r="E194" s="66"/>
      <c r="F194" s="66" t="s">
        <v>449</v>
      </c>
      <c r="G194" s="65" t="str">
        <f t="shared" si="1"/>
        <v>MCC046UC0638</v>
      </c>
      <c r="H194" s="35" t="str">
        <f t="shared" si="2"/>
        <v>Saída</v>
      </c>
      <c r="I194" s="25" t="s">
        <v>209</v>
      </c>
    </row>
    <row r="195" hidden="1">
      <c r="A195" s="64">
        <v>45926.0</v>
      </c>
      <c r="B195" s="66" t="s">
        <v>297</v>
      </c>
      <c r="C195" s="66" t="s">
        <v>261</v>
      </c>
      <c r="D195" s="67">
        <v>6.0</v>
      </c>
      <c r="E195" s="66"/>
      <c r="F195" s="66" t="s">
        <v>450</v>
      </c>
      <c r="G195" s="65" t="str">
        <f t="shared" si="1"/>
        <v>EMC015MO0001</v>
      </c>
      <c r="H195" s="35" t="str">
        <f t="shared" si="2"/>
        <v>Saída</v>
      </c>
      <c r="I195" s="25" t="s">
        <v>300</v>
      </c>
    </row>
    <row r="196" hidden="1">
      <c r="A196" s="64">
        <v>45926.0</v>
      </c>
      <c r="B196" s="66" t="s">
        <v>333</v>
      </c>
      <c r="C196" s="66" t="s">
        <v>245</v>
      </c>
      <c r="D196" s="67">
        <v>2.0</v>
      </c>
      <c r="E196" s="66"/>
      <c r="F196" s="66" t="s">
        <v>428</v>
      </c>
      <c r="G196" s="65" t="str">
        <f t="shared" si="1"/>
        <v>MCC015UC0008</v>
      </c>
      <c r="H196" s="35" t="str">
        <f t="shared" si="2"/>
        <v>Saída</v>
      </c>
      <c r="I196" s="25" t="s">
        <v>335</v>
      </c>
    </row>
    <row r="197" hidden="1">
      <c r="A197" s="64">
        <v>45926.0</v>
      </c>
      <c r="B197" s="66" t="s">
        <v>200</v>
      </c>
      <c r="C197" s="66" t="s">
        <v>255</v>
      </c>
      <c r="D197" s="67">
        <v>15.0</v>
      </c>
      <c r="E197" s="66"/>
      <c r="F197" s="66" t="s">
        <v>451</v>
      </c>
      <c r="G197" s="65" t="str">
        <f t="shared" si="1"/>
        <v>MCC046UC0215</v>
      </c>
      <c r="H197" s="35" t="str">
        <f t="shared" si="2"/>
        <v>Saída</v>
      </c>
      <c r="I197" s="25" t="s">
        <v>257</v>
      </c>
    </row>
    <row r="198" hidden="1">
      <c r="A198" s="64">
        <v>45930.0</v>
      </c>
      <c r="B198" s="66" t="s">
        <v>244</v>
      </c>
      <c r="C198" s="66" t="s">
        <v>261</v>
      </c>
      <c r="D198" s="67">
        <v>1.0</v>
      </c>
      <c r="E198" s="66"/>
      <c r="F198" s="66" t="s">
        <v>428</v>
      </c>
      <c r="G198" s="65" t="str">
        <f t="shared" si="1"/>
        <v>EMC015MO0001</v>
      </c>
      <c r="H198" s="35" t="str">
        <f t="shared" si="2"/>
        <v>Saída</v>
      </c>
      <c r="I198" s="25" t="s">
        <v>247</v>
      </c>
    </row>
    <row r="199">
      <c r="A199" s="64">
        <v>45930.0</v>
      </c>
      <c r="B199" s="66" t="s">
        <v>343</v>
      </c>
      <c r="C199" s="66" t="s">
        <v>224</v>
      </c>
      <c r="D199" s="67">
        <v>4.0</v>
      </c>
      <c r="E199" s="66"/>
      <c r="F199" s="66" t="s">
        <v>433</v>
      </c>
      <c r="G199" s="65" t="str">
        <f t="shared" si="1"/>
        <v>MCC015UC0045</v>
      </c>
      <c r="H199" s="35" t="str">
        <f t="shared" si="2"/>
        <v>Saída</v>
      </c>
      <c r="I199" s="25" t="s">
        <v>345</v>
      </c>
    </row>
    <row r="200" hidden="1">
      <c r="A200" s="64">
        <v>45930.0</v>
      </c>
      <c r="B200" s="66" t="s">
        <v>340</v>
      </c>
      <c r="C200" s="66" t="s">
        <v>245</v>
      </c>
      <c r="D200" s="67">
        <v>2.0</v>
      </c>
      <c r="E200" s="66"/>
      <c r="F200" s="66" t="s">
        <v>452</v>
      </c>
      <c r="G200" s="65" t="str">
        <f t="shared" si="1"/>
        <v>MCC015UC0008</v>
      </c>
      <c r="H200" s="35" t="str">
        <f t="shared" si="2"/>
        <v>Saída</v>
      </c>
      <c r="I200" s="25" t="s">
        <v>342</v>
      </c>
    </row>
    <row r="201">
      <c r="A201" s="64">
        <v>45930.0</v>
      </c>
      <c r="B201" s="66" t="s">
        <v>200</v>
      </c>
      <c r="C201" s="66" t="s">
        <v>224</v>
      </c>
      <c r="D201" s="67">
        <v>20.0</v>
      </c>
      <c r="E201" s="66"/>
      <c r="F201" s="66" t="s">
        <v>453</v>
      </c>
      <c r="G201" s="65" t="str">
        <f t="shared" si="1"/>
        <v>MCC015UC0045</v>
      </c>
      <c r="H201" s="35" t="str">
        <f t="shared" si="2"/>
        <v>Saída</v>
      </c>
      <c r="I201" s="25" t="s">
        <v>257</v>
      </c>
    </row>
    <row r="202" hidden="1">
      <c r="A202" s="64">
        <v>45930.0</v>
      </c>
      <c r="B202" s="66" t="s">
        <v>258</v>
      </c>
      <c r="C202" s="66" t="s">
        <v>245</v>
      </c>
      <c r="D202" s="67">
        <v>1.0</v>
      </c>
      <c r="E202" s="66"/>
      <c r="F202" s="66" t="s">
        <v>454</v>
      </c>
      <c r="G202" s="65" t="str">
        <f t="shared" si="1"/>
        <v>MCC015UC0008</v>
      </c>
      <c r="H202" s="35" t="str">
        <f t="shared" si="2"/>
        <v>Saída</v>
      </c>
      <c r="I202" s="25" t="s">
        <v>260</v>
      </c>
    </row>
    <row r="203" hidden="1">
      <c r="A203" s="64">
        <v>45930.0</v>
      </c>
      <c r="B203" s="66" t="s">
        <v>455</v>
      </c>
      <c r="C203" s="66" t="s">
        <v>245</v>
      </c>
      <c r="D203" s="67">
        <v>2.0</v>
      </c>
      <c r="E203" s="66"/>
      <c r="F203" s="66" t="s">
        <v>456</v>
      </c>
      <c r="G203" s="65" t="str">
        <f t="shared" si="1"/>
        <v>MCC015UC0008</v>
      </c>
      <c r="H203" s="35" t="str">
        <f t="shared" si="2"/>
        <v>Saída</v>
      </c>
      <c r="I203" s="25" t="s">
        <v>457</v>
      </c>
    </row>
    <row r="204" hidden="1">
      <c r="A204" s="64">
        <v>45930.0</v>
      </c>
      <c r="B204" s="66" t="s">
        <v>340</v>
      </c>
      <c r="C204" s="66" t="s">
        <v>245</v>
      </c>
      <c r="D204" s="67">
        <v>2.0</v>
      </c>
      <c r="E204" s="66"/>
      <c r="F204" s="66" t="s">
        <v>458</v>
      </c>
      <c r="G204" s="65" t="str">
        <f t="shared" si="1"/>
        <v>MCC015UC0008</v>
      </c>
      <c r="H204" s="35" t="str">
        <f t="shared" si="2"/>
        <v>Saída</v>
      </c>
      <c r="I204" s="25" t="s">
        <v>342</v>
      </c>
    </row>
    <row r="205" hidden="1">
      <c r="A205" s="64">
        <v>45931.0</v>
      </c>
      <c r="B205" s="66" t="s">
        <v>333</v>
      </c>
      <c r="C205" s="66" t="s">
        <v>360</v>
      </c>
      <c r="D205" s="67">
        <v>1.0</v>
      </c>
      <c r="E205" s="66"/>
      <c r="F205" s="66" t="s">
        <v>459</v>
      </c>
      <c r="G205" s="65" t="str">
        <f t="shared" si="1"/>
        <v>MCC049UC0288</v>
      </c>
      <c r="H205" s="35" t="str">
        <f t="shared" si="2"/>
        <v>Saída</v>
      </c>
      <c r="I205" s="25" t="s">
        <v>335</v>
      </c>
    </row>
    <row r="206" hidden="1">
      <c r="A206" s="64">
        <v>45931.0</v>
      </c>
      <c r="B206" s="66" t="s">
        <v>333</v>
      </c>
      <c r="C206" s="66" t="s">
        <v>245</v>
      </c>
      <c r="D206" s="67">
        <v>3.0</v>
      </c>
      <c r="E206" s="66"/>
      <c r="F206" s="66" t="s">
        <v>459</v>
      </c>
      <c r="G206" s="65" t="str">
        <f t="shared" si="1"/>
        <v>MCC015UC0008</v>
      </c>
      <c r="H206" s="35" t="str">
        <f t="shared" si="2"/>
        <v>Saída</v>
      </c>
      <c r="I206" s="25" t="s">
        <v>335</v>
      </c>
    </row>
    <row r="207" hidden="1">
      <c r="A207" s="64">
        <v>45931.0</v>
      </c>
      <c r="B207" s="66" t="s">
        <v>232</v>
      </c>
      <c r="C207" s="66" t="s">
        <v>291</v>
      </c>
      <c r="D207" s="67">
        <v>10.0</v>
      </c>
      <c r="E207" s="66"/>
      <c r="F207" s="66" t="s">
        <v>460</v>
      </c>
      <c r="G207" s="65" t="str">
        <f t="shared" si="1"/>
        <v>MCC046UC0695</v>
      </c>
      <c r="H207" s="35" t="str">
        <f t="shared" si="2"/>
        <v>Saída</v>
      </c>
      <c r="I207" s="25" t="s">
        <v>234</v>
      </c>
    </row>
    <row r="208">
      <c r="A208" s="64">
        <v>45931.0</v>
      </c>
      <c r="B208" s="66" t="s">
        <v>232</v>
      </c>
      <c r="C208" s="66" t="s">
        <v>224</v>
      </c>
      <c r="D208" s="67">
        <v>2.0</v>
      </c>
      <c r="E208" s="66"/>
      <c r="F208" s="66" t="s">
        <v>461</v>
      </c>
      <c r="G208" s="65" t="str">
        <f t="shared" si="1"/>
        <v>MCC015UC0045</v>
      </c>
      <c r="H208" s="35" t="str">
        <f t="shared" si="2"/>
        <v>Saída</v>
      </c>
      <c r="I208" s="25" t="s">
        <v>234</v>
      </c>
    </row>
    <row r="209" hidden="1">
      <c r="A209" s="64">
        <v>45931.0</v>
      </c>
      <c r="B209" s="66" t="s">
        <v>366</v>
      </c>
      <c r="C209" s="66" t="s">
        <v>346</v>
      </c>
      <c r="D209" s="67">
        <v>1.0</v>
      </c>
      <c r="E209" s="66"/>
      <c r="F209" s="66" t="s">
        <v>462</v>
      </c>
      <c r="G209" s="65" t="str">
        <f t="shared" si="1"/>
        <v>MCC049UC0603</v>
      </c>
      <c r="H209" s="35" t="str">
        <f t="shared" si="2"/>
        <v>Saída</v>
      </c>
      <c r="I209" s="25" t="s">
        <v>368</v>
      </c>
    </row>
    <row r="210">
      <c r="A210" s="64">
        <v>45931.0</v>
      </c>
      <c r="B210" s="66" t="s">
        <v>232</v>
      </c>
      <c r="C210" s="66" t="s">
        <v>224</v>
      </c>
      <c r="D210" s="67">
        <v>4.0</v>
      </c>
      <c r="E210" s="66"/>
      <c r="F210" s="66" t="s">
        <v>463</v>
      </c>
      <c r="G210" s="65" t="str">
        <f t="shared" si="1"/>
        <v>MCC015UC0045</v>
      </c>
      <c r="H210" s="35" t="str">
        <f t="shared" si="2"/>
        <v>Saída</v>
      </c>
      <c r="I210" s="25" t="s">
        <v>234</v>
      </c>
    </row>
    <row r="211" hidden="1">
      <c r="A211" s="64">
        <v>45931.0</v>
      </c>
      <c r="B211" s="66" t="s">
        <v>235</v>
      </c>
      <c r="C211" s="66" t="s">
        <v>245</v>
      </c>
      <c r="D211" s="67">
        <v>3.0</v>
      </c>
      <c r="E211" s="66"/>
      <c r="F211" s="66" t="s">
        <v>464</v>
      </c>
      <c r="G211" s="65" t="str">
        <f t="shared" si="1"/>
        <v>MCC015UC0008</v>
      </c>
      <c r="H211" s="35" t="str">
        <f t="shared" si="2"/>
        <v>Saída</v>
      </c>
      <c r="I211" s="25" t="s">
        <v>238</v>
      </c>
    </row>
    <row r="212" hidden="1">
      <c r="A212" s="64">
        <v>45931.0</v>
      </c>
      <c r="B212" s="66" t="s">
        <v>359</v>
      </c>
      <c r="C212" s="66" t="s">
        <v>245</v>
      </c>
      <c r="D212" s="67">
        <v>6.0</v>
      </c>
      <c r="E212" s="66"/>
      <c r="F212" s="66" t="s">
        <v>465</v>
      </c>
      <c r="G212" s="65" t="str">
        <f t="shared" si="1"/>
        <v>MCC015UC0008</v>
      </c>
      <c r="H212" s="35" t="str">
        <f t="shared" si="2"/>
        <v>Saída</v>
      </c>
      <c r="I212" s="25" t="s">
        <v>362</v>
      </c>
    </row>
    <row r="213">
      <c r="A213" s="64">
        <v>45931.0</v>
      </c>
      <c r="B213" s="66" t="s">
        <v>232</v>
      </c>
      <c r="C213" s="66" t="s">
        <v>224</v>
      </c>
      <c r="D213" s="67">
        <v>4.0</v>
      </c>
      <c r="E213" s="66"/>
      <c r="F213" s="66" t="s">
        <v>466</v>
      </c>
      <c r="G213" s="65" t="str">
        <f t="shared" si="1"/>
        <v>MCC015UC0045</v>
      </c>
      <c r="H213" s="35" t="str">
        <f t="shared" si="2"/>
        <v>Saída</v>
      </c>
      <c r="I213" s="25" t="s">
        <v>234</v>
      </c>
    </row>
    <row r="214">
      <c r="A214" s="64">
        <v>45931.0</v>
      </c>
      <c r="B214" s="66" t="s">
        <v>232</v>
      </c>
      <c r="C214" s="66" t="s">
        <v>224</v>
      </c>
      <c r="D214" s="67">
        <v>2.0</v>
      </c>
      <c r="E214" s="66"/>
      <c r="F214" s="66" t="s">
        <v>467</v>
      </c>
      <c r="G214" s="65" t="str">
        <f t="shared" si="1"/>
        <v>MCC015UC0045</v>
      </c>
      <c r="H214" s="35" t="str">
        <f t="shared" si="2"/>
        <v>Saída</v>
      </c>
      <c r="I214" s="25" t="s">
        <v>234</v>
      </c>
    </row>
    <row r="215" hidden="1">
      <c r="A215" s="64">
        <v>46051.0</v>
      </c>
      <c r="B215" s="66" t="s">
        <v>468</v>
      </c>
      <c r="C215" s="66" t="s">
        <v>226</v>
      </c>
      <c r="D215" s="67">
        <v>2.0</v>
      </c>
      <c r="E215" s="66" t="s">
        <v>182</v>
      </c>
      <c r="F215" s="66" t="s">
        <v>469</v>
      </c>
      <c r="G215" s="65" t="str">
        <f t="shared" si="1"/>
        <v>MCC046UC0596</v>
      </c>
      <c r="H215" s="35" t="str">
        <f t="shared" si="2"/>
        <v>Saída</v>
      </c>
      <c r="I215" s="25" t="s">
        <v>470</v>
      </c>
    </row>
    <row r="216" hidden="1">
      <c r="A216" s="64">
        <v>45931.0</v>
      </c>
      <c r="B216" s="66" t="s">
        <v>203</v>
      </c>
      <c r="C216" s="66" t="s">
        <v>280</v>
      </c>
      <c r="D216" s="67">
        <v>1.0</v>
      </c>
      <c r="E216" s="66" t="s">
        <v>180</v>
      </c>
      <c r="F216" s="66" t="s">
        <v>471</v>
      </c>
      <c r="G216" s="65" t="str">
        <f t="shared" si="1"/>
        <v>MCC049UC0601</v>
      </c>
      <c r="H216" s="35" t="str">
        <f t="shared" si="2"/>
        <v>Saída</v>
      </c>
      <c r="I216" s="25" t="s">
        <v>205</v>
      </c>
    </row>
    <row r="217" hidden="1">
      <c r="A217" s="64">
        <v>45931.0</v>
      </c>
      <c r="B217" s="66" t="s">
        <v>333</v>
      </c>
      <c r="C217" s="66" t="s">
        <v>255</v>
      </c>
      <c r="D217" s="67">
        <v>2.0</v>
      </c>
      <c r="E217" s="66" t="s">
        <v>180</v>
      </c>
      <c r="F217" s="66" t="s">
        <v>428</v>
      </c>
      <c r="G217" s="65" t="str">
        <f t="shared" si="1"/>
        <v>MCC046UC0215</v>
      </c>
      <c r="H217" s="35" t="str">
        <f t="shared" si="2"/>
        <v>Saída</v>
      </c>
      <c r="I217" s="25" t="s">
        <v>335</v>
      </c>
    </row>
    <row r="218" hidden="1">
      <c r="A218" s="64">
        <v>45931.0</v>
      </c>
      <c r="B218" s="66" t="s">
        <v>366</v>
      </c>
      <c r="C218" s="66" t="s">
        <v>348</v>
      </c>
      <c r="D218" s="67">
        <v>2.0</v>
      </c>
      <c r="E218" s="66" t="s">
        <v>181</v>
      </c>
      <c r="F218" s="66" t="s">
        <v>472</v>
      </c>
      <c r="G218" s="65" t="str">
        <f t="shared" si="1"/>
        <v>MCC049UC0605</v>
      </c>
      <c r="H218" s="35" t="str">
        <f t="shared" si="2"/>
        <v>Saída</v>
      </c>
      <c r="I218" s="25" t="s">
        <v>368</v>
      </c>
    </row>
    <row r="219" hidden="1">
      <c r="A219" s="64">
        <v>45931.0</v>
      </c>
      <c r="B219" s="66" t="s">
        <v>232</v>
      </c>
      <c r="C219" s="66" t="s">
        <v>263</v>
      </c>
      <c r="D219" s="67">
        <v>1.0</v>
      </c>
      <c r="E219" s="66" t="s">
        <v>182</v>
      </c>
      <c r="F219" s="66" t="s">
        <v>330</v>
      </c>
      <c r="G219" s="65" t="str">
        <f t="shared" si="1"/>
        <v>MCC015UC0038</v>
      </c>
      <c r="H219" s="35" t="str">
        <f t="shared" si="2"/>
        <v>Saída</v>
      </c>
      <c r="I219" s="25" t="s">
        <v>234</v>
      </c>
    </row>
    <row r="220" hidden="1">
      <c r="A220" s="64">
        <v>45931.0</v>
      </c>
      <c r="B220" s="66" t="s">
        <v>333</v>
      </c>
      <c r="C220" s="66" t="s">
        <v>298</v>
      </c>
      <c r="D220" s="67">
        <v>1.0</v>
      </c>
      <c r="E220" s="66" t="s">
        <v>180</v>
      </c>
      <c r="F220" s="66" t="s">
        <v>428</v>
      </c>
      <c r="G220" s="65" t="str">
        <f t="shared" si="1"/>
        <v>MCC046UC0639</v>
      </c>
      <c r="H220" s="35" t="str">
        <f t="shared" si="2"/>
        <v>Saída</v>
      </c>
      <c r="I220" s="25" t="s">
        <v>335</v>
      </c>
    </row>
    <row r="221" hidden="1">
      <c r="A221" s="64">
        <v>45936.0</v>
      </c>
      <c r="B221" s="66" t="s">
        <v>297</v>
      </c>
      <c r="C221" s="66" t="s">
        <v>245</v>
      </c>
      <c r="D221" s="67">
        <v>2.0</v>
      </c>
      <c r="E221" s="66" t="s">
        <v>180</v>
      </c>
      <c r="F221" s="66" t="s">
        <v>473</v>
      </c>
      <c r="G221" s="65" t="str">
        <f t="shared" si="1"/>
        <v>MCC015UC0008</v>
      </c>
      <c r="H221" s="35" t="str">
        <f t="shared" si="2"/>
        <v>Saída</v>
      </c>
      <c r="I221" s="25" t="s">
        <v>300</v>
      </c>
    </row>
    <row r="222" hidden="1">
      <c r="A222" s="64">
        <v>45936.0</v>
      </c>
      <c r="B222" s="66" t="s">
        <v>270</v>
      </c>
      <c r="C222" s="66" t="s">
        <v>474</v>
      </c>
      <c r="D222" s="67">
        <v>2.0</v>
      </c>
      <c r="E222" s="66" t="s">
        <v>180</v>
      </c>
      <c r="F222" s="66" t="s">
        <v>475</v>
      </c>
      <c r="G222" s="65" t="str">
        <f t="shared" si="1"/>
        <v>MCC046UC0525</v>
      </c>
      <c r="H222" s="35" t="str">
        <f t="shared" si="2"/>
        <v>Saída</v>
      </c>
      <c r="I222" s="25" t="s">
        <v>273</v>
      </c>
    </row>
    <row r="223" hidden="1">
      <c r="A223" s="64">
        <v>45936.0</v>
      </c>
      <c r="B223" s="66" t="s">
        <v>270</v>
      </c>
      <c r="C223" s="66" t="s">
        <v>255</v>
      </c>
      <c r="D223" s="67">
        <v>2.0</v>
      </c>
      <c r="E223" s="66" t="s">
        <v>180</v>
      </c>
      <c r="F223" s="66" t="s">
        <v>475</v>
      </c>
      <c r="G223" s="65" t="str">
        <f t="shared" si="1"/>
        <v>MCC046UC0215</v>
      </c>
      <c r="H223" s="35" t="str">
        <f t="shared" si="2"/>
        <v>Saída</v>
      </c>
      <c r="I223" s="25" t="s">
        <v>273</v>
      </c>
    </row>
    <row r="224" hidden="1">
      <c r="A224" s="64">
        <v>45936.0</v>
      </c>
      <c r="B224" s="66" t="s">
        <v>359</v>
      </c>
      <c r="C224" s="66" t="s">
        <v>263</v>
      </c>
      <c r="D224" s="67">
        <v>10.0</v>
      </c>
      <c r="E224" s="66" t="s">
        <v>183</v>
      </c>
      <c r="F224" s="66" t="s">
        <v>476</v>
      </c>
      <c r="G224" s="65" t="str">
        <f t="shared" si="1"/>
        <v>MCC015UC0038</v>
      </c>
      <c r="H224" s="35" t="str">
        <f t="shared" si="2"/>
        <v>Saída</v>
      </c>
      <c r="I224" s="25" t="s">
        <v>362</v>
      </c>
    </row>
    <row r="225" hidden="1">
      <c r="A225" s="64">
        <v>45936.0</v>
      </c>
      <c r="B225" s="66" t="s">
        <v>337</v>
      </c>
      <c r="C225" s="66" t="s">
        <v>245</v>
      </c>
      <c r="D225" s="67">
        <v>26.0</v>
      </c>
      <c r="E225" s="66" t="s">
        <v>180</v>
      </c>
      <c r="F225" s="66" t="s">
        <v>477</v>
      </c>
      <c r="G225" s="65" t="str">
        <f t="shared" si="1"/>
        <v>MCC015UC0008</v>
      </c>
      <c r="H225" s="35" t="str">
        <f t="shared" si="2"/>
        <v>Saída</v>
      </c>
      <c r="I225" s="25" t="s">
        <v>189</v>
      </c>
    </row>
    <row r="226" hidden="1">
      <c r="A226" s="64">
        <v>45936.0</v>
      </c>
      <c r="B226" s="66" t="s">
        <v>337</v>
      </c>
      <c r="C226" s="66" t="s">
        <v>245</v>
      </c>
      <c r="D226" s="67">
        <v>2.0</v>
      </c>
      <c r="E226" s="66" t="s">
        <v>183</v>
      </c>
      <c r="F226" s="66" t="s">
        <v>477</v>
      </c>
      <c r="G226" s="65" t="str">
        <f t="shared" si="1"/>
        <v>MCC015UC0008</v>
      </c>
      <c r="H226" s="35" t="str">
        <f t="shared" si="2"/>
        <v>Saída</v>
      </c>
      <c r="I226" s="25" t="s">
        <v>189</v>
      </c>
    </row>
    <row r="227" hidden="1">
      <c r="A227" s="64">
        <v>45936.0</v>
      </c>
      <c r="B227" s="66" t="s">
        <v>337</v>
      </c>
      <c r="C227" s="66" t="s">
        <v>263</v>
      </c>
      <c r="D227" s="67">
        <v>2.0</v>
      </c>
      <c r="E227" s="66" t="s">
        <v>182</v>
      </c>
      <c r="F227" s="66" t="s">
        <v>478</v>
      </c>
      <c r="G227" s="65" t="str">
        <f t="shared" si="1"/>
        <v>MCC015UC0038</v>
      </c>
      <c r="H227" s="35" t="str">
        <f t="shared" si="2"/>
        <v>Saída</v>
      </c>
      <c r="I227" s="25" t="s">
        <v>189</v>
      </c>
    </row>
    <row r="228" hidden="1">
      <c r="A228" s="64">
        <v>45936.0</v>
      </c>
      <c r="B228" s="66" t="s">
        <v>366</v>
      </c>
      <c r="C228" s="66" t="s">
        <v>245</v>
      </c>
      <c r="D228" s="67">
        <v>3.0</v>
      </c>
      <c r="E228" s="66" t="s">
        <v>181</v>
      </c>
      <c r="F228" s="66" t="s">
        <v>479</v>
      </c>
      <c r="G228" s="65" t="str">
        <f t="shared" si="1"/>
        <v>MCC015UC0008</v>
      </c>
      <c r="H228" s="35" t="str">
        <f t="shared" si="2"/>
        <v>Saída</v>
      </c>
      <c r="I228" s="25" t="s">
        <v>368</v>
      </c>
    </row>
    <row r="229" hidden="1">
      <c r="A229" s="64">
        <v>45936.0</v>
      </c>
      <c r="B229" s="66" t="s">
        <v>210</v>
      </c>
      <c r="C229" s="66" t="s">
        <v>253</v>
      </c>
      <c r="D229" s="67">
        <v>1.0</v>
      </c>
      <c r="E229" s="66" t="s">
        <v>182</v>
      </c>
      <c r="F229" s="66" t="s">
        <v>480</v>
      </c>
      <c r="G229" s="65" t="str">
        <f t="shared" si="1"/>
        <v>MCC046UC0599</v>
      </c>
      <c r="H229" s="35" t="str">
        <f t="shared" si="2"/>
        <v>Saída</v>
      </c>
      <c r="I229" s="25" t="s">
        <v>213</v>
      </c>
    </row>
    <row r="230">
      <c r="A230" s="64">
        <v>45936.0</v>
      </c>
      <c r="B230" s="66" t="s">
        <v>343</v>
      </c>
      <c r="C230" s="66" t="s">
        <v>224</v>
      </c>
      <c r="D230" s="67">
        <v>4.0</v>
      </c>
      <c r="E230" s="66" t="s">
        <v>180</v>
      </c>
      <c r="F230" s="66" t="s">
        <v>481</v>
      </c>
      <c r="G230" s="65" t="str">
        <f t="shared" si="1"/>
        <v>MCC015UC0045</v>
      </c>
      <c r="H230" s="35" t="str">
        <f t="shared" si="2"/>
        <v>Saída</v>
      </c>
      <c r="I230" s="25" t="s">
        <v>345</v>
      </c>
    </row>
    <row r="231" hidden="1">
      <c r="A231" s="64">
        <v>45936.0</v>
      </c>
      <c r="B231" s="66" t="s">
        <v>232</v>
      </c>
      <c r="C231" s="66" t="s">
        <v>245</v>
      </c>
      <c r="D231" s="67">
        <v>1.0</v>
      </c>
      <c r="E231" s="66" t="s">
        <v>183</v>
      </c>
      <c r="F231" s="66" t="s">
        <v>482</v>
      </c>
      <c r="G231" s="65" t="str">
        <f t="shared" si="1"/>
        <v>MCC015UC0008</v>
      </c>
      <c r="H231" s="35" t="str">
        <f t="shared" si="2"/>
        <v>Saída</v>
      </c>
      <c r="I231" s="25" t="s">
        <v>234</v>
      </c>
    </row>
    <row r="232" hidden="1">
      <c r="A232" s="64">
        <v>45936.0</v>
      </c>
      <c r="B232" s="66" t="s">
        <v>322</v>
      </c>
      <c r="C232" s="66" t="s">
        <v>410</v>
      </c>
      <c r="D232" s="67">
        <v>4.0</v>
      </c>
      <c r="E232" s="66" t="s">
        <v>183</v>
      </c>
      <c r="F232" s="66" t="s">
        <v>483</v>
      </c>
      <c r="G232" s="65" t="str">
        <f t="shared" si="1"/>
        <v>MCC049UC0604</v>
      </c>
      <c r="H232" s="35" t="str">
        <f t="shared" si="2"/>
        <v>Saída</v>
      </c>
      <c r="I232" s="25" t="s">
        <v>324</v>
      </c>
    </row>
    <row r="233" hidden="1">
      <c r="A233" s="64">
        <v>45936.0</v>
      </c>
      <c r="B233" s="66" t="s">
        <v>210</v>
      </c>
      <c r="C233" s="66" t="s">
        <v>415</v>
      </c>
      <c r="D233" s="67">
        <v>2.0</v>
      </c>
      <c r="E233" s="66" t="s">
        <v>183</v>
      </c>
      <c r="F233" s="66" t="s">
        <v>484</v>
      </c>
      <c r="G233" s="65" t="str">
        <f t="shared" si="1"/>
        <v>MCC049UC0606</v>
      </c>
      <c r="H233" s="35" t="str">
        <f t="shared" si="2"/>
        <v>Saída</v>
      </c>
      <c r="I233" s="25" t="s">
        <v>213</v>
      </c>
    </row>
    <row r="234">
      <c r="A234" s="64">
        <v>45936.0</v>
      </c>
      <c r="B234" s="66" t="s">
        <v>232</v>
      </c>
      <c r="C234" s="66" t="s">
        <v>224</v>
      </c>
      <c r="D234" s="67">
        <v>4.0</v>
      </c>
      <c r="E234" s="66" t="s">
        <v>183</v>
      </c>
      <c r="F234" s="66" t="s">
        <v>482</v>
      </c>
      <c r="G234" s="65" t="str">
        <f t="shared" si="1"/>
        <v>MCC015UC0045</v>
      </c>
      <c r="H234" s="35" t="str">
        <f t="shared" si="2"/>
        <v>Saída</v>
      </c>
      <c r="I234" s="25" t="s">
        <v>234</v>
      </c>
    </row>
    <row r="235" hidden="1">
      <c r="A235" s="64">
        <v>45936.0</v>
      </c>
      <c r="B235" s="66" t="s">
        <v>232</v>
      </c>
      <c r="C235" s="66" t="s">
        <v>245</v>
      </c>
      <c r="D235" s="67">
        <v>1.0</v>
      </c>
      <c r="E235" s="66" t="s">
        <v>183</v>
      </c>
      <c r="F235" s="66" t="s">
        <v>485</v>
      </c>
      <c r="G235" s="65" t="str">
        <f t="shared" si="1"/>
        <v>MCC015UC0008</v>
      </c>
      <c r="H235" s="35" t="str">
        <f t="shared" si="2"/>
        <v>Saída</v>
      </c>
      <c r="I235" s="25" t="s">
        <v>234</v>
      </c>
    </row>
    <row r="236" hidden="1">
      <c r="A236" s="64">
        <v>45936.0</v>
      </c>
      <c r="B236" s="66" t="s">
        <v>210</v>
      </c>
      <c r="C236" s="66" t="s">
        <v>291</v>
      </c>
      <c r="D236" s="67">
        <v>6.0</v>
      </c>
      <c r="E236" s="66" t="s">
        <v>182</v>
      </c>
      <c r="F236" s="66" t="s">
        <v>486</v>
      </c>
      <c r="G236" s="65" t="str">
        <f t="shared" si="1"/>
        <v>MCC046UC0695</v>
      </c>
      <c r="H236" s="35" t="str">
        <f t="shared" si="2"/>
        <v>Saída</v>
      </c>
      <c r="I236" s="25" t="s">
        <v>213</v>
      </c>
    </row>
    <row r="237" hidden="1">
      <c r="A237" s="64">
        <v>45936.0</v>
      </c>
      <c r="B237" s="66" t="s">
        <v>343</v>
      </c>
      <c r="C237" s="66" t="s">
        <v>363</v>
      </c>
      <c r="D237" s="67">
        <v>1.0</v>
      </c>
      <c r="E237" s="66" t="s">
        <v>180</v>
      </c>
      <c r="F237" s="66" t="s">
        <v>487</v>
      </c>
      <c r="G237" s="65" t="str">
        <f t="shared" si="1"/>
        <v>MCC015UC0033</v>
      </c>
      <c r="H237" s="35" t="str">
        <f t="shared" si="2"/>
        <v>Saída</v>
      </c>
      <c r="I237" s="25" t="s">
        <v>345</v>
      </c>
    </row>
    <row r="238" hidden="1">
      <c r="A238" s="64">
        <v>45936.0</v>
      </c>
      <c r="B238" s="66" t="s">
        <v>297</v>
      </c>
      <c r="C238" s="66" t="s">
        <v>363</v>
      </c>
      <c r="D238" s="67">
        <v>2.0</v>
      </c>
      <c r="E238" s="66" t="s">
        <v>180</v>
      </c>
      <c r="F238" s="66" t="s">
        <v>488</v>
      </c>
      <c r="G238" s="65" t="str">
        <f t="shared" si="1"/>
        <v>MCC015UC0033</v>
      </c>
      <c r="H238" s="35" t="str">
        <f t="shared" si="2"/>
        <v>Saída</v>
      </c>
      <c r="I238" s="25" t="s">
        <v>300</v>
      </c>
    </row>
    <row r="239" hidden="1">
      <c r="A239" s="64">
        <v>45936.0</v>
      </c>
      <c r="B239" s="66" t="s">
        <v>343</v>
      </c>
      <c r="C239" s="66" t="s">
        <v>255</v>
      </c>
      <c r="D239" s="67">
        <v>4.0</v>
      </c>
      <c r="E239" s="66" t="s">
        <v>180</v>
      </c>
      <c r="F239" s="66" t="s">
        <v>433</v>
      </c>
      <c r="G239" s="65" t="str">
        <f t="shared" si="1"/>
        <v>MCC046UC0215</v>
      </c>
      <c r="H239" s="35" t="str">
        <f t="shared" si="2"/>
        <v>Saída</v>
      </c>
      <c r="I239" s="25" t="s">
        <v>345</v>
      </c>
    </row>
    <row r="240">
      <c r="A240" s="64">
        <v>45936.0</v>
      </c>
      <c r="B240" s="66" t="s">
        <v>270</v>
      </c>
      <c r="C240" s="66" t="s">
        <v>224</v>
      </c>
      <c r="D240" s="67">
        <v>3.0</v>
      </c>
      <c r="E240" s="66" t="s">
        <v>180</v>
      </c>
      <c r="F240" s="66" t="s">
        <v>489</v>
      </c>
      <c r="G240" s="65" t="str">
        <f t="shared" si="1"/>
        <v>MCC015UC0045</v>
      </c>
      <c r="H240" s="35" t="str">
        <f t="shared" si="2"/>
        <v>Saída</v>
      </c>
      <c r="I240" s="25" t="s">
        <v>273</v>
      </c>
    </row>
    <row r="241" hidden="1">
      <c r="A241" s="64">
        <v>45939.0</v>
      </c>
      <c r="B241" s="66" t="s">
        <v>343</v>
      </c>
      <c r="C241" s="66" t="s">
        <v>245</v>
      </c>
      <c r="D241" s="67">
        <v>10.0</v>
      </c>
      <c r="E241" s="66" t="s">
        <v>180</v>
      </c>
      <c r="F241" s="66" t="s">
        <v>433</v>
      </c>
      <c r="G241" s="65" t="str">
        <f t="shared" si="1"/>
        <v>MCC015UC0008</v>
      </c>
      <c r="H241" s="35" t="str">
        <f t="shared" si="2"/>
        <v>Saída</v>
      </c>
      <c r="I241" s="25" t="s">
        <v>345</v>
      </c>
    </row>
    <row r="242" hidden="1">
      <c r="A242" s="64">
        <v>45939.0</v>
      </c>
      <c r="B242" s="66" t="s">
        <v>343</v>
      </c>
      <c r="C242" s="66" t="s">
        <v>291</v>
      </c>
      <c r="D242" s="67">
        <v>10.0</v>
      </c>
      <c r="E242" s="66" t="s">
        <v>180</v>
      </c>
      <c r="F242" s="66" t="s">
        <v>439</v>
      </c>
      <c r="G242" s="65" t="str">
        <f t="shared" si="1"/>
        <v>MCC046UC0695</v>
      </c>
      <c r="H242" s="35" t="str">
        <f t="shared" si="2"/>
        <v>Saída</v>
      </c>
      <c r="I242" s="25" t="s">
        <v>345</v>
      </c>
    </row>
    <row r="243">
      <c r="A243" s="64">
        <v>45939.0</v>
      </c>
      <c r="B243" s="66" t="s">
        <v>333</v>
      </c>
      <c r="C243" s="66" t="s">
        <v>224</v>
      </c>
      <c r="D243" s="67">
        <v>4.0</v>
      </c>
      <c r="E243" s="66" t="s">
        <v>180</v>
      </c>
      <c r="F243" s="66" t="s">
        <v>490</v>
      </c>
      <c r="G243" s="65" t="str">
        <f t="shared" si="1"/>
        <v>MCC015UC0045</v>
      </c>
      <c r="H243" s="35" t="str">
        <f t="shared" si="2"/>
        <v>Saída</v>
      </c>
      <c r="I243" s="25" t="s">
        <v>335</v>
      </c>
    </row>
    <row r="244" hidden="1">
      <c r="A244" s="64">
        <v>45939.0</v>
      </c>
      <c r="B244" s="66" t="s">
        <v>270</v>
      </c>
      <c r="C244" s="66" t="s">
        <v>360</v>
      </c>
      <c r="D244" s="67">
        <v>3.0</v>
      </c>
      <c r="E244" s="66" t="s">
        <v>180</v>
      </c>
      <c r="F244" s="66" t="s">
        <v>491</v>
      </c>
      <c r="G244" s="65" t="str">
        <f t="shared" si="1"/>
        <v>MCC049UC0288</v>
      </c>
      <c r="H244" s="35" t="str">
        <f t="shared" si="2"/>
        <v>Saída</v>
      </c>
      <c r="I244" s="25" t="s">
        <v>273</v>
      </c>
    </row>
    <row r="245" hidden="1">
      <c r="A245" s="64">
        <v>45939.0</v>
      </c>
      <c r="B245" s="66" t="s">
        <v>366</v>
      </c>
      <c r="C245" s="66" t="s">
        <v>245</v>
      </c>
      <c r="D245" s="67">
        <v>2.0</v>
      </c>
      <c r="E245" s="66" t="s">
        <v>181</v>
      </c>
      <c r="F245" s="66" t="s">
        <v>492</v>
      </c>
      <c r="G245" s="65" t="str">
        <f t="shared" si="1"/>
        <v>MCC015UC0008</v>
      </c>
      <c r="H245" s="35" t="str">
        <f t="shared" si="2"/>
        <v>Saída</v>
      </c>
      <c r="I245" s="25" t="s">
        <v>368</v>
      </c>
    </row>
    <row r="246">
      <c r="A246" s="64">
        <v>45939.0</v>
      </c>
      <c r="B246" s="66" t="s">
        <v>366</v>
      </c>
      <c r="C246" s="66" t="s">
        <v>224</v>
      </c>
      <c r="D246" s="67">
        <v>8.0</v>
      </c>
      <c r="E246" s="66" t="s">
        <v>181</v>
      </c>
      <c r="F246" s="66" t="s">
        <v>493</v>
      </c>
      <c r="G246" s="65" t="str">
        <f t="shared" si="1"/>
        <v>MCC015UC0045</v>
      </c>
      <c r="H246" s="35" t="str">
        <f t="shared" si="2"/>
        <v>Saída</v>
      </c>
      <c r="I246" s="25" t="s">
        <v>368</v>
      </c>
    </row>
    <row r="247" hidden="1">
      <c r="A247" s="64">
        <v>45939.0</v>
      </c>
      <c r="B247" s="66" t="s">
        <v>366</v>
      </c>
      <c r="C247" s="66" t="s">
        <v>372</v>
      </c>
      <c r="D247" s="67">
        <v>2.0</v>
      </c>
      <c r="E247" s="66" t="s">
        <v>181</v>
      </c>
      <c r="F247" s="66" t="s">
        <v>494</v>
      </c>
      <c r="G247" s="65" t="str">
        <f t="shared" si="1"/>
        <v>MCC046UC0549</v>
      </c>
      <c r="H247" s="35" t="str">
        <f t="shared" si="2"/>
        <v>Saída</v>
      </c>
      <c r="I247" s="25" t="s">
        <v>368</v>
      </c>
    </row>
    <row r="248" hidden="1">
      <c r="A248" s="64">
        <v>45939.0</v>
      </c>
      <c r="B248" s="66" t="s">
        <v>210</v>
      </c>
      <c r="C248" s="66" t="s">
        <v>415</v>
      </c>
      <c r="D248" s="67">
        <v>1.0</v>
      </c>
      <c r="E248" s="66" t="s">
        <v>183</v>
      </c>
      <c r="F248" s="66" t="s">
        <v>495</v>
      </c>
      <c r="G248" s="65" t="str">
        <f t="shared" si="1"/>
        <v>MCC049UC0606</v>
      </c>
      <c r="H248" s="35" t="str">
        <f t="shared" si="2"/>
        <v>Saída</v>
      </c>
      <c r="I248" s="25" t="s">
        <v>213</v>
      </c>
    </row>
    <row r="249" hidden="1">
      <c r="A249" s="64">
        <v>45939.0</v>
      </c>
      <c r="B249" s="66" t="s">
        <v>297</v>
      </c>
      <c r="C249" s="66" t="s">
        <v>245</v>
      </c>
      <c r="D249" s="67">
        <v>6.0</v>
      </c>
      <c r="E249" s="66" t="s">
        <v>180</v>
      </c>
      <c r="F249" s="66" t="s">
        <v>496</v>
      </c>
      <c r="G249" s="65" t="str">
        <f t="shared" si="1"/>
        <v>MCC015UC0008</v>
      </c>
      <c r="H249" s="35" t="str">
        <f t="shared" si="2"/>
        <v>Saída</v>
      </c>
      <c r="I249" s="25" t="s">
        <v>300</v>
      </c>
    </row>
    <row r="250" hidden="1">
      <c r="A250" s="64">
        <v>45939.0</v>
      </c>
      <c r="B250" s="66" t="s">
        <v>244</v>
      </c>
      <c r="C250" s="66" t="s">
        <v>319</v>
      </c>
      <c r="D250" s="67">
        <v>1.0</v>
      </c>
      <c r="E250" s="66" t="s">
        <v>183</v>
      </c>
      <c r="F250" s="66" t="s">
        <v>497</v>
      </c>
      <c r="G250" s="65" t="str">
        <f t="shared" si="1"/>
        <v>MCC049UC0610</v>
      </c>
      <c r="H250" s="35" t="str">
        <f t="shared" si="2"/>
        <v>Saída</v>
      </c>
      <c r="I250" s="25" t="s">
        <v>247</v>
      </c>
    </row>
    <row r="251" hidden="1">
      <c r="A251" s="64">
        <v>45939.0</v>
      </c>
      <c r="B251" s="66" t="s">
        <v>270</v>
      </c>
      <c r="C251" s="66" t="s">
        <v>498</v>
      </c>
      <c r="D251" s="67">
        <v>3.0</v>
      </c>
      <c r="E251" s="66" t="s">
        <v>180</v>
      </c>
      <c r="F251" s="66" t="s">
        <v>499</v>
      </c>
      <c r="G251" s="65" t="str">
        <f t="shared" si="1"/>
        <v>MCC049UC0607</v>
      </c>
      <c r="H251" s="35" t="str">
        <f t="shared" si="2"/>
        <v>Saída</v>
      </c>
      <c r="I251" s="25" t="s">
        <v>273</v>
      </c>
    </row>
    <row r="252" hidden="1">
      <c r="A252" s="64">
        <v>45939.0</v>
      </c>
      <c r="B252" s="66" t="s">
        <v>333</v>
      </c>
      <c r="C252" s="66" t="s">
        <v>319</v>
      </c>
      <c r="D252" s="67">
        <v>1.0</v>
      </c>
      <c r="E252" s="66" t="s">
        <v>180</v>
      </c>
      <c r="F252" s="66" t="s">
        <v>500</v>
      </c>
      <c r="G252" s="65" t="str">
        <f t="shared" si="1"/>
        <v>MCC049UC0610</v>
      </c>
      <c r="H252" s="35" t="str">
        <f t="shared" si="2"/>
        <v>Saída</v>
      </c>
      <c r="I252" s="25" t="s">
        <v>335</v>
      </c>
    </row>
    <row r="253" hidden="1">
      <c r="A253" s="64">
        <v>45939.0</v>
      </c>
      <c r="B253" s="66" t="s">
        <v>235</v>
      </c>
      <c r="C253" s="66" t="s">
        <v>245</v>
      </c>
      <c r="D253" s="67">
        <v>3.0</v>
      </c>
      <c r="E253" s="66" t="s">
        <v>184</v>
      </c>
      <c r="F253" s="66" t="s">
        <v>501</v>
      </c>
      <c r="G253" s="65" t="str">
        <f t="shared" si="1"/>
        <v>MCC015UC0008</v>
      </c>
      <c r="H253" s="35" t="str">
        <f t="shared" si="2"/>
        <v>Saída</v>
      </c>
      <c r="I253" s="25" t="s">
        <v>238</v>
      </c>
    </row>
    <row r="254" hidden="1">
      <c r="A254" s="64">
        <v>45939.0</v>
      </c>
      <c r="B254" s="66" t="s">
        <v>232</v>
      </c>
      <c r="C254" s="66" t="s">
        <v>245</v>
      </c>
      <c r="D254" s="67">
        <v>3.0</v>
      </c>
      <c r="E254" s="66" t="s">
        <v>183</v>
      </c>
      <c r="F254" s="66" t="s">
        <v>502</v>
      </c>
      <c r="G254" s="65" t="str">
        <f t="shared" si="1"/>
        <v>MCC015UC0008</v>
      </c>
      <c r="H254" s="35" t="str">
        <f t="shared" si="2"/>
        <v>Saída</v>
      </c>
      <c r="I254" s="25" t="s">
        <v>234</v>
      </c>
    </row>
    <row r="255" hidden="1">
      <c r="A255" s="64">
        <v>45939.0</v>
      </c>
      <c r="B255" s="66" t="s">
        <v>232</v>
      </c>
      <c r="C255" s="66" t="s">
        <v>263</v>
      </c>
      <c r="D255" s="67">
        <v>1.0</v>
      </c>
      <c r="E255" s="66" t="s">
        <v>182</v>
      </c>
      <c r="F255" s="66" t="s">
        <v>503</v>
      </c>
      <c r="G255" s="65" t="str">
        <f t="shared" si="1"/>
        <v>MCC015UC0038</v>
      </c>
      <c r="H255" s="35" t="str">
        <f t="shared" si="2"/>
        <v>Saída</v>
      </c>
      <c r="I255" s="25" t="s">
        <v>234</v>
      </c>
    </row>
    <row r="256" hidden="1">
      <c r="A256" s="64">
        <v>45939.0</v>
      </c>
      <c r="B256" s="66" t="s">
        <v>376</v>
      </c>
      <c r="C256" s="66" t="s">
        <v>311</v>
      </c>
      <c r="D256" s="67">
        <v>1.0</v>
      </c>
      <c r="E256" s="66" t="s">
        <v>184</v>
      </c>
      <c r="F256" s="66" t="s">
        <v>504</v>
      </c>
      <c r="G256" s="65" t="str">
        <f t="shared" si="1"/>
        <v>MCC046UC0638</v>
      </c>
      <c r="H256" s="35" t="str">
        <f t="shared" si="2"/>
        <v>Saída</v>
      </c>
      <c r="I256" s="25" t="s">
        <v>379</v>
      </c>
    </row>
    <row r="257" hidden="1">
      <c r="A257" s="64">
        <v>45939.0</v>
      </c>
      <c r="B257" s="66" t="s">
        <v>297</v>
      </c>
      <c r="C257" s="66" t="s">
        <v>385</v>
      </c>
      <c r="D257" s="67">
        <v>1.0</v>
      </c>
      <c r="E257" s="66" t="s">
        <v>180</v>
      </c>
      <c r="F257" s="66" t="s">
        <v>496</v>
      </c>
      <c r="G257" s="65" t="str">
        <f t="shared" si="1"/>
        <v>MCC046UC0679</v>
      </c>
      <c r="H257" s="35" t="str">
        <f t="shared" si="2"/>
        <v>Saída</v>
      </c>
      <c r="I257" s="25" t="s">
        <v>300</v>
      </c>
    </row>
    <row r="258" hidden="1">
      <c r="A258" s="64">
        <v>45939.0</v>
      </c>
      <c r="B258" s="66" t="s">
        <v>232</v>
      </c>
      <c r="C258" s="66" t="s">
        <v>245</v>
      </c>
      <c r="D258" s="67">
        <v>1.0</v>
      </c>
      <c r="E258" s="66" t="s">
        <v>183</v>
      </c>
      <c r="F258" s="66" t="s">
        <v>505</v>
      </c>
      <c r="G258" s="65" t="str">
        <f t="shared" si="1"/>
        <v>MCC015UC0008</v>
      </c>
      <c r="H258" s="35" t="str">
        <f t="shared" si="2"/>
        <v>Saída</v>
      </c>
      <c r="I258" s="25" t="s">
        <v>234</v>
      </c>
    </row>
    <row r="259" hidden="1">
      <c r="A259" s="64">
        <v>45939.0</v>
      </c>
      <c r="B259" s="66" t="s">
        <v>244</v>
      </c>
      <c r="C259" s="66" t="s">
        <v>245</v>
      </c>
      <c r="D259" s="67">
        <v>8.0</v>
      </c>
      <c r="E259" s="66" t="s">
        <v>183</v>
      </c>
      <c r="F259" s="66" t="s">
        <v>506</v>
      </c>
      <c r="G259" s="65" t="str">
        <f t="shared" si="1"/>
        <v>MCC015UC0008</v>
      </c>
      <c r="H259" s="35" t="str">
        <f t="shared" si="2"/>
        <v>Saída</v>
      </c>
      <c r="I259" s="25" t="s">
        <v>247</v>
      </c>
    </row>
    <row r="260" hidden="1">
      <c r="A260" s="64">
        <v>45939.0</v>
      </c>
      <c r="B260" s="66" t="s">
        <v>203</v>
      </c>
      <c r="C260" s="66" t="s">
        <v>507</v>
      </c>
      <c r="D260" s="67">
        <v>1.0</v>
      </c>
      <c r="E260" s="66" t="s">
        <v>180</v>
      </c>
      <c r="F260" s="66" t="s">
        <v>508</v>
      </c>
      <c r="G260" s="65" t="str">
        <f t="shared" si="1"/>
        <v>MCC046UC0540</v>
      </c>
      <c r="H260" s="35" t="str">
        <f t="shared" si="2"/>
        <v>Saída</v>
      </c>
      <c r="I260" s="25" t="s">
        <v>205</v>
      </c>
    </row>
    <row r="261" hidden="1">
      <c r="A261" s="64">
        <v>45944.0</v>
      </c>
      <c r="B261" s="66" t="s">
        <v>232</v>
      </c>
      <c r="C261" s="66" t="s">
        <v>245</v>
      </c>
      <c r="D261" s="67">
        <v>3.0</v>
      </c>
      <c r="E261" s="66" t="s">
        <v>183</v>
      </c>
      <c r="F261" s="66" t="s">
        <v>509</v>
      </c>
      <c r="G261" s="65" t="str">
        <f t="shared" si="1"/>
        <v>MCC015UC0008</v>
      </c>
      <c r="H261" s="35" t="str">
        <f t="shared" si="2"/>
        <v>Saída</v>
      </c>
      <c r="I261" s="25" t="s">
        <v>234</v>
      </c>
    </row>
    <row r="262" hidden="1">
      <c r="A262" s="64">
        <v>45944.0</v>
      </c>
      <c r="B262" s="66" t="s">
        <v>343</v>
      </c>
      <c r="C262" s="66" t="s">
        <v>245</v>
      </c>
      <c r="D262" s="67">
        <v>20.0</v>
      </c>
      <c r="E262" s="66" t="s">
        <v>180</v>
      </c>
      <c r="F262" s="66" t="s">
        <v>344</v>
      </c>
      <c r="G262" s="65" t="str">
        <f t="shared" si="1"/>
        <v>MCC015UC0008</v>
      </c>
      <c r="H262" s="35" t="str">
        <f t="shared" si="2"/>
        <v>Saída</v>
      </c>
      <c r="I262" s="25" t="s">
        <v>345</v>
      </c>
    </row>
    <row r="263">
      <c r="A263" s="64">
        <v>45944.0</v>
      </c>
      <c r="B263" s="66" t="s">
        <v>270</v>
      </c>
      <c r="C263" s="66" t="s">
        <v>224</v>
      </c>
      <c r="D263" s="67">
        <v>3.0</v>
      </c>
      <c r="E263" s="66" t="s">
        <v>180</v>
      </c>
      <c r="F263" s="66" t="s">
        <v>510</v>
      </c>
      <c r="G263" s="65" t="str">
        <f t="shared" si="1"/>
        <v>MCC015UC0045</v>
      </c>
      <c r="H263" s="35" t="str">
        <f t="shared" si="2"/>
        <v>Saída</v>
      </c>
      <c r="I263" s="25" t="s">
        <v>273</v>
      </c>
    </row>
    <row r="264">
      <c r="A264" s="64">
        <v>45944.0</v>
      </c>
      <c r="B264" s="66" t="s">
        <v>305</v>
      </c>
      <c r="C264" s="66" t="s">
        <v>224</v>
      </c>
      <c r="D264" s="67">
        <v>24.0</v>
      </c>
      <c r="E264" s="66" t="s">
        <v>184</v>
      </c>
      <c r="F264" s="66" t="s">
        <v>511</v>
      </c>
      <c r="G264" s="65" t="str">
        <f t="shared" si="1"/>
        <v>MCC015UC0045</v>
      </c>
      <c r="H264" s="35" t="str">
        <f t="shared" si="2"/>
        <v>Saída</v>
      </c>
      <c r="I264" s="25" t="s">
        <v>307</v>
      </c>
    </row>
    <row r="265" hidden="1">
      <c r="A265" s="64">
        <v>45944.0</v>
      </c>
      <c r="B265" s="66" t="s">
        <v>305</v>
      </c>
      <c r="C265" s="66" t="s">
        <v>221</v>
      </c>
      <c r="D265" s="67">
        <v>12.0</v>
      </c>
      <c r="E265" s="66" t="s">
        <v>184</v>
      </c>
      <c r="F265" s="66" t="s">
        <v>511</v>
      </c>
      <c r="G265" s="65" t="str">
        <f t="shared" si="1"/>
        <v>MCC049UC0600</v>
      </c>
      <c r="H265" s="35" t="str">
        <f t="shared" si="2"/>
        <v>Saída</v>
      </c>
      <c r="I265" s="25" t="s">
        <v>307</v>
      </c>
    </row>
    <row r="266" hidden="1">
      <c r="A266" s="64">
        <v>45944.0</v>
      </c>
      <c r="B266" s="66" t="s">
        <v>305</v>
      </c>
      <c r="C266" s="66" t="s">
        <v>221</v>
      </c>
      <c r="D266" s="67">
        <v>12.0</v>
      </c>
      <c r="E266" s="66" t="s">
        <v>184</v>
      </c>
      <c r="F266" s="66" t="s">
        <v>512</v>
      </c>
      <c r="G266" s="65" t="str">
        <f t="shared" si="1"/>
        <v>MCC049UC0600</v>
      </c>
      <c r="H266" s="35" t="str">
        <f t="shared" si="2"/>
        <v>Saída</v>
      </c>
      <c r="I266" s="25" t="s">
        <v>307</v>
      </c>
    </row>
    <row r="267" hidden="1">
      <c r="A267" s="64">
        <v>45944.0</v>
      </c>
      <c r="B267" s="66" t="s">
        <v>297</v>
      </c>
      <c r="C267" s="66" t="s">
        <v>245</v>
      </c>
      <c r="D267" s="67">
        <v>6.0</v>
      </c>
      <c r="E267" s="66" t="s">
        <v>180</v>
      </c>
      <c r="F267" s="66" t="s">
        <v>496</v>
      </c>
      <c r="G267" s="65" t="str">
        <f t="shared" si="1"/>
        <v>MCC015UC0008</v>
      </c>
      <c r="H267" s="35" t="str">
        <f t="shared" si="2"/>
        <v>Saída</v>
      </c>
      <c r="I267" s="25" t="s">
        <v>300</v>
      </c>
    </row>
    <row r="268" hidden="1">
      <c r="A268" s="64">
        <v>45944.0</v>
      </c>
      <c r="B268" s="66" t="s">
        <v>294</v>
      </c>
      <c r="C268" s="66" t="s">
        <v>255</v>
      </c>
      <c r="D268" s="67">
        <v>7.0</v>
      </c>
      <c r="E268" s="66" t="s">
        <v>184</v>
      </c>
      <c r="F268" s="66" t="s">
        <v>513</v>
      </c>
      <c r="G268" s="65" t="str">
        <f t="shared" si="1"/>
        <v>MCC046UC0215</v>
      </c>
      <c r="H268" s="35" t="str">
        <f t="shared" si="2"/>
        <v>Saída</v>
      </c>
      <c r="I268" s="25" t="s">
        <v>296</v>
      </c>
    </row>
    <row r="269" hidden="1">
      <c r="A269" s="64">
        <v>45944.0</v>
      </c>
      <c r="B269" s="66" t="s">
        <v>297</v>
      </c>
      <c r="C269" s="66" t="s">
        <v>245</v>
      </c>
      <c r="D269" s="67">
        <v>6.0</v>
      </c>
      <c r="E269" s="66" t="s">
        <v>180</v>
      </c>
      <c r="F269" s="66" t="s">
        <v>496</v>
      </c>
      <c r="G269" s="65" t="str">
        <f t="shared" si="1"/>
        <v>MCC015UC0008</v>
      </c>
      <c r="H269" s="35" t="str">
        <f t="shared" si="2"/>
        <v>Saída</v>
      </c>
      <c r="I269" s="25" t="s">
        <v>300</v>
      </c>
    </row>
    <row r="270" hidden="1">
      <c r="A270" s="64">
        <v>45944.0</v>
      </c>
      <c r="B270" s="66" t="s">
        <v>232</v>
      </c>
      <c r="C270" s="66" t="s">
        <v>245</v>
      </c>
      <c r="D270" s="67">
        <v>2.0</v>
      </c>
      <c r="E270" s="66" t="s">
        <v>183</v>
      </c>
      <c r="F270" s="66" t="s">
        <v>514</v>
      </c>
      <c r="G270" s="65" t="str">
        <f t="shared" si="1"/>
        <v>MCC015UC0008</v>
      </c>
      <c r="H270" s="35" t="str">
        <f t="shared" si="2"/>
        <v>Saída</v>
      </c>
      <c r="I270" s="25" t="s">
        <v>234</v>
      </c>
    </row>
    <row r="271" hidden="1">
      <c r="A271" s="64">
        <v>45944.0</v>
      </c>
      <c r="B271" s="66" t="s">
        <v>515</v>
      </c>
      <c r="C271" s="66" t="s">
        <v>245</v>
      </c>
      <c r="D271" s="67">
        <v>2.0</v>
      </c>
      <c r="E271" s="66" t="s">
        <v>183</v>
      </c>
      <c r="F271" s="66" t="s">
        <v>516</v>
      </c>
      <c r="G271" s="65" t="str">
        <f t="shared" si="1"/>
        <v>MCC015UC0008</v>
      </c>
      <c r="H271" s="35" t="str">
        <f t="shared" si="2"/>
        <v>Saída</v>
      </c>
      <c r="I271" s="25" t="s">
        <v>517</v>
      </c>
    </row>
    <row r="272" hidden="1">
      <c r="A272" s="64">
        <v>45944.0</v>
      </c>
      <c r="B272" s="66" t="s">
        <v>297</v>
      </c>
      <c r="C272" s="66" t="s">
        <v>346</v>
      </c>
      <c r="D272" s="67">
        <v>6.0</v>
      </c>
      <c r="E272" s="66" t="s">
        <v>180</v>
      </c>
      <c r="F272" s="66" t="s">
        <v>496</v>
      </c>
      <c r="G272" s="65" t="str">
        <f t="shared" si="1"/>
        <v>MCC049UC0603</v>
      </c>
      <c r="H272" s="35" t="str">
        <f t="shared" si="2"/>
        <v>Saída</v>
      </c>
      <c r="I272" s="25" t="s">
        <v>300</v>
      </c>
    </row>
    <row r="273">
      <c r="A273" s="64">
        <v>45944.0</v>
      </c>
      <c r="B273" s="66" t="s">
        <v>343</v>
      </c>
      <c r="C273" s="66" t="s">
        <v>224</v>
      </c>
      <c r="D273" s="67">
        <v>8.0</v>
      </c>
      <c r="E273" s="66" t="s">
        <v>180</v>
      </c>
      <c r="F273" s="66" t="s">
        <v>433</v>
      </c>
      <c r="G273" s="65" t="str">
        <f t="shared" si="1"/>
        <v>MCC015UC0045</v>
      </c>
      <c r="H273" s="35" t="str">
        <f t="shared" si="2"/>
        <v>Saída</v>
      </c>
      <c r="I273" s="25" t="s">
        <v>345</v>
      </c>
    </row>
    <row r="274" hidden="1">
      <c r="A274" s="64">
        <v>45944.0</v>
      </c>
      <c r="B274" s="66" t="s">
        <v>322</v>
      </c>
      <c r="C274" s="66" t="s">
        <v>518</v>
      </c>
      <c r="D274" s="67">
        <v>20.0</v>
      </c>
      <c r="E274" s="66" t="s">
        <v>183</v>
      </c>
      <c r="F274" s="66" t="s">
        <v>519</v>
      </c>
      <c r="G274" s="65" t="str">
        <f t="shared" si="1"/>
        <v>MCC049UC0602</v>
      </c>
      <c r="H274" s="35" t="str">
        <f t="shared" si="2"/>
        <v>Saída</v>
      </c>
      <c r="I274" s="25" t="s">
        <v>324</v>
      </c>
    </row>
    <row r="275" hidden="1">
      <c r="A275" s="64">
        <v>45945.0</v>
      </c>
      <c r="B275" s="66" t="s">
        <v>270</v>
      </c>
      <c r="C275" s="66" t="s">
        <v>520</v>
      </c>
      <c r="D275" s="67">
        <v>1.0</v>
      </c>
      <c r="E275" s="66" t="s">
        <v>180</v>
      </c>
      <c r="F275" s="66" t="s">
        <v>521</v>
      </c>
      <c r="G275" s="65" t="str">
        <f t="shared" si="1"/>
        <v>MCC049UC0393</v>
      </c>
      <c r="H275" s="35" t="str">
        <f t="shared" si="2"/>
        <v>Saída</v>
      </c>
      <c r="I275" s="25" t="s">
        <v>273</v>
      </c>
    </row>
    <row r="276" hidden="1">
      <c r="A276" s="64">
        <v>45945.0</v>
      </c>
      <c r="B276" s="66" t="s">
        <v>210</v>
      </c>
      <c r="C276" s="66" t="s">
        <v>410</v>
      </c>
      <c r="D276" s="67">
        <v>1.0</v>
      </c>
      <c r="E276" s="66" t="s">
        <v>183</v>
      </c>
      <c r="F276" s="66" t="s">
        <v>522</v>
      </c>
      <c r="G276" s="65" t="str">
        <f t="shared" si="1"/>
        <v>MCC049UC0604</v>
      </c>
      <c r="H276" s="35" t="str">
        <f t="shared" si="2"/>
        <v>Saída</v>
      </c>
      <c r="I276" s="25" t="s">
        <v>213</v>
      </c>
    </row>
    <row r="277" hidden="1">
      <c r="A277" s="64">
        <v>45945.0</v>
      </c>
      <c r="B277" s="66" t="s">
        <v>232</v>
      </c>
      <c r="C277" s="66" t="s">
        <v>346</v>
      </c>
      <c r="D277" s="67">
        <v>2.0</v>
      </c>
      <c r="E277" s="66" t="s">
        <v>183</v>
      </c>
      <c r="F277" s="66" t="s">
        <v>523</v>
      </c>
      <c r="G277" s="65" t="str">
        <f t="shared" si="1"/>
        <v>MCC049UC0603</v>
      </c>
      <c r="H277" s="35" t="str">
        <f t="shared" si="2"/>
        <v>Saída</v>
      </c>
      <c r="I277" s="25" t="s">
        <v>234</v>
      </c>
    </row>
    <row r="278" hidden="1">
      <c r="A278" s="64">
        <v>45945.0</v>
      </c>
      <c r="B278" s="66" t="s">
        <v>297</v>
      </c>
      <c r="C278" s="66" t="s">
        <v>498</v>
      </c>
      <c r="D278" s="67">
        <v>2.0</v>
      </c>
      <c r="E278" s="66" t="s">
        <v>180</v>
      </c>
      <c r="F278" s="66" t="s">
        <v>496</v>
      </c>
      <c r="G278" s="65" t="str">
        <f t="shared" si="1"/>
        <v>MCC049UC0607</v>
      </c>
      <c r="H278" s="35" t="str">
        <f t="shared" si="2"/>
        <v>Saída</v>
      </c>
      <c r="I278" s="25" t="s">
        <v>300</v>
      </c>
    </row>
    <row r="279">
      <c r="A279" s="64">
        <v>45945.0</v>
      </c>
      <c r="B279" s="66" t="s">
        <v>297</v>
      </c>
      <c r="C279" s="66" t="s">
        <v>224</v>
      </c>
      <c r="D279" s="67">
        <v>6.0</v>
      </c>
      <c r="E279" s="66" t="s">
        <v>180</v>
      </c>
      <c r="F279" s="66" t="s">
        <v>496</v>
      </c>
      <c r="G279" s="65" t="str">
        <f t="shared" si="1"/>
        <v>MCC015UC0045</v>
      </c>
      <c r="H279" s="35" t="str">
        <f t="shared" si="2"/>
        <v>Saída</v>
      </c>
      <c r="I279" s="25" t="s">
        <v>300</v>
      </c>
    </row>
    <row r="280" hidden="1">
      <c r="A280" s="64">
        <v>45945.0</v>
      </c>
      <c r="B280" s="66" t="s">
        <v>297</v>
      </c>
      <c r="C280" s="66" t="s">
        <v>215</v>
      </c>
      <c r="D280" s="67">
        <v>2.0</v>
      </c>
      <c r="E280" s="66" t="s">
        <v>180</v>
      </c>
      <c r="F280" s="66" t="s">
        <v>496</v>
      </c>
      <c r="G280" s="65" t="str">
        <f t="shared" si="1"/>
        <v>MCC046UC0082</v>
      </c>
      <c r="H280" s="35" t="str">
        <f t="shared" si="2"/>
        <v>Saída</v>
      </c>
      <c r="I280" s="25" t="s">
        <v>300</v>
      </c>
    </row>
    <row r="281" hidden="1">
      <c r="A281" s="64">
        <v>45945.0</v>
      </c>
      <c r="B281" s="66" t="s">
        <v>366</v>
      </c>
      <c r="C281" s="66" t="s">
        <v>245</v>
      </c>
      <c r="D281" s="67">
        <v>2.0</v>
      </c>
      <c r="E281" s="66" t="s">
        <v>181</v>
      </c>
      <c r="F281" s="66" t="s">
        <v>524</v>
      </c>
      <c r="G281" s="65" t="str">
        <f t="shared" si="1"/>
        <v>MCC015UC0008</v>
      </c>
      <c r="H281" s="35" t="str">
        <f t="shared" si="2"/>
        <v>Saída</v>
      </c>
      <c r="I281" s="25" t="s">
        <v>368</v>
      </c>
    </row>
    <row r="282" hidden="1">
      <c r="A282" s="64">
        <v>45945.0</v>
      </c>
      <c r="B282" s="66" t="s">
        <v>232</v>
      </c>
      <c r="C282" s="66" t="s">
        <v>245</v>
      </c>
      <c r="D282" s="67">
        <v>3.0</v>
      </c>
      <c r="E282" s="66" t="s">
        <v>183</v>
      </c>
      <c r="F282" s="66" t="s">
        <v>525</v>
      </c>
      <c r="G282" s="65" t="str">
        <f t="shared" si="1"/>
        <v>MCC015UC0008</v>
      </c>
      <c r="H282" s="35" t="str">
        <f t="shared" si="2"/>
        <v>Saída</v>
      </c>
      <c r="I282" s="25" t="s">
        <v>234</v>
      </c>
    </row>
    <row r="283">
      <c r="A283" s="64">
        <v>45945.0</v>
      </c>
      <c r="B283" s="66" t="s">
        <v>270</v>
      </c>
      <c r="C283" s="66" t="s">
        <v>224</v>
      </c>
      <c r="D283" s="67">
        <v>1.0</v>
      </c>
      <c r="E283" s="66" t="s">
        <v>180</v>
      </c>
      <c r="F283" s="66" t="s">
        <v>526</v>
      </c>
      <c r="G283" s="65" t="str">
        <f t="shared" si="1"/>
        <v>MCC015UC0045</v>
      </c>
      <c r="H283" s="35" t="str">
        <f t="shared" si="2"/>
        <v>Saída</v>
      </c>
      <c r="I283" s="25" t="s">
        <v>273</v>
      </c>
    </row>
    <row r="284" hidden="1">
      <c r="A284" s="64">
        <v>45945.0</v>
      </c>
      <c r="B284" s="66" t="s">
        <v>343</v>
      </c>
      <c r="C284" s="66" t="s">
        <v>245</v>
      </c>
      <c r="D284" s="67">
        <v>25.0</v>
      </c>
      <c r="E284" s="66" t="s">
        <v>180</v>
      </c>
      <c r="F284" s="66" t="s">
        <v>433</v>
      </c>
      <c r="G284" s="65" t="str">
        <f t="shared" si="1"/>
        <v>MCC015UC0008</v>
      </c>
      <c r="H284" s="35" t="str">
        <f t="shared" si="2"/>
        <v>Saída</v>
      </c>
      <c r="I284" s="25" t="s">
        <v>345</v>
      </c>
    </row>
    <row r="285" hidden="1">
      <c r="A285" s="64">
        <v>45945.0</v>
      </c>
      <c r="B285" s="66" t="s">
        <v>210</v>
      </c>
      <c r="C285" s="66" t="s">
        <v>410</v>
      </c>
      <c r="D285" s="67">
        <v>1.0</v>
      </c>
      <c r="E285" s="66" t="s">
        <v>183</v>
      </c>
      <c r="F285" s="66" t="s">
        <v>527</v>
      </c>
      <c r="G285" s="65" t="str">
        <f t="shared" si="1"/>
        <v>MCC049UC0604</v>
      </c>
      <c r="H285" s="35" t="str">
        <f t="shared" si="2"/>
        <v>Saída</v>
      </c>
      <c r="I285" s="25" t="s">
        <v>213</v>
      </c>
    </row>
    <row r="286">
      <c r="A286" s="64">
        <v>45945.0</v>
      </c>
      <c r="B286" s="66" t="s">
        <v>359</v>
      </c>
      <c r="C286" s="66" t="s">
        <v>224</v>
      </c>
      <c r="D286" s="67">
        <v>4.0</v>
      </c>
      <c r="E286" s="66" t="s">
        <v>182</v>
      </c>
      <c r="F286" s="66" t="s">
        <v>528</v>
      </c>
      <c r="G286" s="65" t="str">
        <f t="shared" si="1"/>
        <v>MCC015UC0045</v>
      </c>
      <c r="H286" s="35" t="str">
        <f t="shared" si="2"/>
        <v>Saída</v>
      </c>
      <c r="I286" s="25" t="s">
        <v>362</v>
      </c>
    </row>
    <row r="287" hidden="1">
      <c r="A287" s="64">
        <v>45945.0</v>
      </c>
      <c r="B287" s="66" t="s">
        <v>210</v>
      </c>
      <c r="C287" s="66" t="s">
        <v>291</v>
      </c>
      <c r="D287" s="67">
        <v>10.0</v>
      </c>
      <c r="E287" s="66" t="s">
        <v>182</v>
      </c>
      <c r="F287" s="66" t="s">
        <v>529</v>
      </c>
      <c r="G287" s="65" t="str">
        <f t="shared" si="1"/>
        <v>MCC046UC0695</v>
      </c>
      <c r="H287" s="35" t="str">
        <f t="shared" si="2"/>
        <v>Saída</v>
      </c>
      <c r="I287" s="25" t="s">
        <v>213</v>
      </c>
    </row>
    <row r="288">
      <c r="A288" s="64">
        <v>45945.0</v>
      </c>
      <c r="B288" s="66" t="s">
        <v>232</v>
      </c>
      <c r="C288" s="66" t="s">
        <v>224</v>
      </c>
      <c r="D288" s="67">
        <v>11.0</v>
      </c>
      <c r="E288" s="66" t="s">
        <v>182</v>
      </c>
      <c r="F288" s="66" t="s">
        <v>530</v>
      </c>
      <c r="G288" s="65" t="str">
        <f t="shared" si="1"/>
        <v>MCC015UC0045</v>
      </c>
      <c r="H288" s="35" t="str">
        <f t="shared" si="2"/>
        <v>Saída</v>
      </c>
      <c r="I288" s="25" t="s">
        <v>234</v>
      </c>
    </row>
    <row r="289" hidden="1">
      <c r="A289" s="64">
        <v>45945.0</v>
      </c>
      <c r="B289" s="66" t="s">
        <v>232</v>
      </c>
      <c r="C289" s="66" t="s">
        <v>245</v>
      </c>
      <c r="D289" s="67">
        <v>10.0</v>
      </c>
      <c r="E289" s="66" t="s">
        <v>183</v>
      </c>
      <c r="F289" s="66" t="s">
        <v>531</v>
      </c>
      <c r="G289" s="65" t="str">
        <f t="shared" si="1"/>
        <v>MCC015UC0008</v>
      </c>
      <c r="H289" s="35" t="str">
        <f t="shared" si="2"/>
        <v>Saída</v>
      </c>
      <c r="I289" s="25" t="s">
        <v>234</v>
      </c>
    </row>
    <row r="290">
      <c r="A290" s="64">
        <v>45945.0</v>
      </c>
      <c r="B290" s="66" t="s">
        <v>235</v>
      </c>
      <c r="C290" s="66" t="s">
        <v>224</v>
      </c>
      <c r="D290" s="67">
        <v>20.0</v>
      </c>
      <c r="E290" s="66" t="s">
        <v>184</v>
      </c>
      <c r="F290" s="66" t="s">
        <v>532</v>
      </c>
      <c r="G290" s="65" t="str">
        <f t="shared" si="1"/>
        <v>MCC015UC0045</v>
      </c>
      <c r="H290" s="35" t="str">
        <f t="shared" si="2"/>
        <v>Saída</v>
      </c>
      <c r="I290" s="25" t="s">
        <v>238</v>
      </c>
    </row>
    <row r="291" hidden="1">
      <c r="A291" s="64">
        <v>45945.0</v>
      </c>
      <c r="B291" s="66" t="s">
        <v>210</v>
      </c>
      <c r="C291" s="66" t="s">
        <v>263</v>
      </c>
      <c r="D291" s="67">
        <v>1.0</v>
      </c>
      <c r="E291" s="66" t="s">
        <v>182</v>
      </c>
      <c r="F291" s="66" t="s">
        <v>533</v>
      </c>
      <c r="G291" s="65" t="str">
        <f t="shared" si="1"/>
        <v>MCC015UC0038</v>
      </c>
      <c r="H291" s="35" t="str">
        <f t="shared" si="2"/>
        <v>Saída</v>
      </c>
      <c r="I291" s="25" t="s">
        <v>213</v>
      </c>
    </row>
    <row r="292">
      <c r="A292" s="64">
        <v>45945.0</v>
      </c>
      <c r="B292" s="66" t="s">
        <v>235</v>
      </c>
      <c r="C292" s="66" t="s">
        <v>224</v>
      </c>
      <c r="D292" s="67">
        <v>4.0</v>
      </c>
      <c r="E292" s="66" t="s">
        <v>184</v>
      </c>
      <c r="F292" s="66" t="s">
        <v>534</v>
      </c>
      <c r="G292" s="65" t="str">
        <f t="shared" si="1"/>
        <v>MCC015UC0045</v>
      </c>
      <c r="H292" s="35" t="str">
        <f t="shared" si="2"/>
        <v>Saída</v>
      </c>
      <c r="I292" s="25" t="s">
        <v>238</v>
      </c>
    </row>
    <row r="293" hidden="1">
      <c r="A293" s="64">
        <v>45951.0</v>
      </c>
      <c r="B293" s="66" t="s">
        <v>333</v>
      </c>
      <c r="C293" s="66" t="s">
        <v>434</v>
      </c>
      <c r="D293" s="67">
        <v>1.0</v>
      </c>
      <c r="E293" s="66" t="s">
        <v>180</v>
      </c>
      <c r="F293" s="66" t="s">
        <v>535</v>
      </c>
      <c r="G293" s="65" t="str">
        <f t="shared" si="1"/>
        <v>MCC046UC0164</v>
      </c>
      <c r="H293" s="35" t="str">
        <f t="shared" si="2"/>
        <v>Saída</v>
      </c>
      <c r="I293" s="25" t="s">
        <v>335</v>
      </c>
    </row>
    <row r="294">
      <c r="A294" s="64">
        <v>45951.0</v>
      </c>
      <c r="B294" s="66" t="s">
        <v>270</v>
      </c>
      <c r="C294" s="66" t="s">
        <v>224</v>
      </c>
      <c r="D294" s="67">
        <v>3.0</v>
      </c>
      <c r="E294" s="66" t="s">
        <v>180</v>
      </c>
      <c r="F294" s="66" t="s">
        <v>536</v>
      </c>
      <c r="G294" s="65" t="str">
        <f t="shared" si="1"/>
        <v>MCC015UC0045</v>
      </c>
      <c r="H294" s="35" t="str">
        <f t="shared" si="2"/>
        <v>Saída</v>
      </c>
      <c r="I294" s="25" t="s">
        <v>273</v>
      </c>
    </row>
    <row r="295" hidden="1">
      <c r="A295" s="64">
        <v>45951.0</v>
      </c>
      <c r="B295" s="66" t="s">
        <v>206</v>
      </c>
      <c r="C295" s="66" t="s">
        <v>298</v>
      </c>
      <c r="D295" s="67">
        <v>1.0</v>
      </c>
      <c r="E295" s="66" t="s">
        <v>181</v>
      </c>
      <c r="F295" s="66" t="s">
        <v>537</v>
      </c>
      <c r="G295" s="65" t="str">
        <f t="shared" si="1"/>
        <v>MCC046UC0639</v>
      </c>
      <c r="H295" s="35" t="str">
        <f t="shared" si="2"/>
        <v>Saída</v>
      </c>
      <c r="I295" s="25" t="s">
        <v>209</v>
      </c>
    </row>
    <row r="296" hidden="1">
      <c r="A296" s="64">
        <v>45951.0</v>
      </c>
      <c r="B296" s="66" t="s">
        <v>297</v>
      </c>
      <c r="C296" s="66" t="s">
        <v>245</v>
      </c>
      <c r="D296" s="67">
        <v>8.0</v>
      </c>
      <c r="E296" s="66" t="s">
        <v>180</v>
      </c>
      <c r="F296" s="66" t="s">
        <v>496</v>
      </c>
      <c r="G296" s="65" t="str">
        <f t="shared" si="1"/>
        <v>MCC015UC0008</v>
      </c>
      <c r="H296" s="35" t="str">
        <f t="shared" si="2"/>
        <v>Saída</v>
      </c>
      <c r="I296" s="25" t="s">
        <v>300</v>
      </c>
    </row>
    <row r="297" hidden="1">
      <c r="A297" s="64">
        <v>45951.0</v>
      </c>
      <c r="B297" s="66" t="s">
        <v>343</v>
      </c>
      <c r="C297" s="66" t="s">
        <v>245</v>
      </c>
      <c r="D297" s="67">
        <v>30.0</v>
      </c>
      <c r="E297" s="66" t="s">
        <v>180</v>
      </c>
      <c r="F297" s="66" t="s">
        <v>439</v>
      </c>
      <c r="G297" s="65" t="str">
        <f t="shared" si="1"/>
        <v>MCC015UC0008</v>
      </c>
      <c r="H297" s="35" t="str">
        <f t="shared" si="2"/>
        <v>Saída</v>
      </c>
      <c r="I297" s="25" t="s">
        <v>345</v>
      </c>
    </row>
    <row r="298" hidden="1">
      <c r="A298" s="64">
        <v>45951.0</v>
      </c>
      <c r="B298" s="66" t="s">
        <v>340</v>
      </c>
      <c r="C298" s="66" t="s">
        <v>245</v>
      </c>
      <c r="D298" s="67">
        <v>10.0</v>
      </c>
      <c r="E298" s="66" t="s">
        <v>180</v>
      </c>
      <c r="F298" s="66" t="s">
        <v>538</v>
      </c>
      <c r="G298" s="65" t="str">
        <f t="shared" si="1"/>
        <v>MCC015UC0008</v>
      </c>
      <c r="H298" s="35" t="str">
        <f t="shared" si="2"/>
        <v>Saída</v>
      </c>
      <c r="I298" s="25" t="s">
        <v>342</v>
      </c>
    </row>
    <row r="299" hidden="1">
      <c r="A299" s="64">
        <v>45951.0</v>
      </c>
      <c r="B299" s="66" t="s">
        <v>515</v>
      </c>
      <c r="C299" s="66" t="s">
        <v>245</v>
      </c>
      <c r="D299" s="67">
        <v>5.0</v>
      </c>
      <c r="E299" s="66" t="s">
        <v>183</v>
      </c>
      <c r="F299" s="66" t="s">
        <v>539</v>
      </c>
      <c r="G299" s="65" t="str">
        <f t="shared" si="1"/>
        <v>MCC015UC0008</v>
      </c>
      <c r="H299" s="35" t="str">
        <f t="shared" si="2"/>
        <v>Saída</v>
      </c>
      <c r="I299" s="25" t="s">
        <v>517</v>
      </c>
    </row>
    <row r="300" hidden="1">
      <c r="A300" s="64">
        <v>45951.0</v>
      </c>
      <c r="B300" s="66" t="s">
        <v>302</v>
      </c>
      <c r="C300" s="66" t="s">
        <v>245</v>
      </c>
      <c r="D300" s="67">
        <v>5.0</v>
      </c>
      <c r="E300" s="66" t="s">
        <v>180</v>
      </c>
      <c r="F300" s="66" t="s">
        <v>540</v>
      </c>
      <c r="G300" s="65" t="str">
        <f t="shared" si="1"/>
        <v>MCC015UC0008</v>
      </c>
      <c r="H300" s="35" t="str">
        <f t="shared" si="2"/>
        <v>Saída</v>
      </c>
      <c r="I300" s="25" t="s">
        <v>304</v>
      </c>
    </row>
    <row r="301" hidden="1">
      <c r="A301" s="64">
        <v>45951.0</v>
      </c>
      <c r="B301" s="66" t="s">
        <v>232</v>
      </c>
      <c r="C301" s="66" t="s">
        <v>325</v>
      </c>
      <c r="D301" s="67">
        <v>1.0</v>
      </c>
      <c r="E301" s="66" t="s">
        <v>183</v>
      </c>
      <c r="F301" s="66" t="s">
        <v>541</v>
      </c>
      <c r="G301" s="65" t="str">
        <f t="shared" si="1"/>
        <v>MCC046UC0587</v>
      </c>
      <c r="H301" s="35" t="str">
        <f t="shared" si="2"/>
        <v>Saída</v>
      </c>
      <c r="I301" s="25" t="s">
        <v>234</v>
      </c>
    </row>
    <row r="302" hidden="1">
      <c r="A302" s="64">
        <v>45951.0</v>
      </c>
      <c r="B302" s="66" t="s">
        <v>244</v>
      </c>
      <c r="C302" s="66" t="s">
        <v>245</v>
      </c>
      <c r="D302" s="67">
        <v>5.0</v>
      </c>
      <c r="E302" s="66" t="s">
        <v>183</v>
      </c>
      <c r="F302" s="66" t="s">
        <v>542</v>
      </c>
      <c r="G302" s="65" t="str">
        <f t="shared" si="1"/>
        <v>MCC015UC0008</v>
      </c>
      <c r="H302" s="35" t="str">
        <f t="shared" si="2"/>
        <v>Saída</v>
      </c>
      <c r="I302" s="25" t="s">
        <v>247</v>
      </c>
    </row>
    <row r="303" hidden="1">
      <c r="A303" s="64">
        <v>45951.0</v>
      </c>
      <c r="B303" s="66" t="s">
        <v>302</v>
      </c>
      <c r="C303" s="66" t="s">
        <v>245</v>
      </c>
      <c r="D303" s="67">
        <v>15.0</v>
      </c>
      <c r="E303" s="66" t="s">
        <v>180</v>
      </c>
      <c r="F303" s="66" t="s">
        <v>543</v>
      </c>
      <c r="G303" s="65" t="str">
        <f t="shared" si="1"/>
        <v>MCC015UC0008</v>
      </c>
      <c r="H303" s="35" t="str">
        <f t="shared" si="2"/>
        <v>Saída</v>
      </c>
      <c r="I303" s="25" t="s">
        <v>304</v>
      </c>
    </row>
    <row r="304" hidden="1">
      <c r="A304" s="64">
        <v>45951.0</v>
      </c>
      <c r="B304" s="66" t="s">
        <v>337</v>
      </c>
      <c r="C304" s="66" t="s">
        <v>447</v>
      </c>
      <c r="D304" s="67">
        <v>6.0</v>
      </c>
      <c r="E304" s="66" t="s">
        <v>182</v>
      </c>
      <c r="F304" s="66" t="s">
        <v>544</v>
      </c>
      <c r="G304" s="65" t="str">
        <f t="shared" si="1"/>
        <v>EMC015MO0007</v>
      </c>
      <c r="H304" s="35" t="str">
        <f t="shared" si="2"/>
        <v>Saída</v>
      </c>
      <c r="I304" s="25" t="s">
        <v>189</v>
      </c>
    </row>
    <row r="305" hidden="1">
      <c r="A305" s="64">
        <v>45951.0</v>
      </c>
      <c r="B305" s="66" t="s">
        <v>337</v>
      </c>
      <c r="C305" s="66" t="s">
        <v>291</v>
      </c>
      <c r="D305" s="67">
        <v>4.0</v>
      </c>
      <c r="E305" s="66" t="s">
        <v>182</v>
      </c>
      <c r="F305" s="66" t="s">
        <v>545</v>
      </c>
      <c r="G305" s="65" t="str">
        <f t="shared" si="1"/>
        <v>MCC046UC0695</v>
      </c>
      <c r="H305" s="35" t="str">
        <f t="shared" si="2"/>
        <v>Saída</v>
      </c>
      <c r="I305" s="25" t="s">
        <v>189</v>
      </c>
    </row>
    <row r="306" hidden="1">
      <c r="A306" s="64">
        <v>45951.0</v>
      </c>
      <c r="B306" s="66" t="s">
        <v>333</v>
      </c>
      <c r="C306" s="66" t="s">
        <v>363</v>
      </c>
      <c r="D306" s="67">
        <v>1.0</v>
      </c>
      <c r="E306" s="66" t="s">
        <v>180</v>
      </c>
      <c r="F306" s="66" t="s">
        <v>546</v>
      </c>
      <c r="G306" s="65" t="str">
        <f t="shared" si="1"/>
        <v>MCC015UC0033</v>
      </c>
      <c r="H306" s="35" t="str">
        <f t="shared" si="2"/>
        <v>Saída</v>
      </c>
      <c r="I306" s="25" t="s">
        <v>335</v>
      </c>
    </row>
    <row r="307" hidden="1">
      <c r="A307" s="64">
        <v>45951.0</v>
      </c>
      <c r="B307" s="66" t="s">
        <v>282</v>
      </c>
      <c r="C307" s="66" t="s">
        <v>250</v>
      </c>
      <c r="D307" s="67">
        <v>1.0</v>
      </c>
      <c r="E307" s="66" t="s">
        <v>184</v>
      </c>
      <c r="F307" s="66" t="s">
        <v>547</v>
      </c>
      <c r="G307" s="65" t="str">
        <f t="shared" si="1"/>
        <v>MCC046UC0526</v>
      </c>
      <c r="H307" s="35" t="str">
        <f t="shared" si="2"/>
        <v>Saída</v>
      </c>
      <c r="I307" s="25" t="s">
        <v>284</v>
      </c>
    </row>
    <row r="308" hidden="1">
      <c r="A308" s="64">
        <v>45951.0</v>
      </c>
      <c r="B308" s="66" t="s">
        <v>270</v>
      </c>
      <c r="C308" s="66" t="s">
        <v>474</v>
      </c>
      <c r="D308" s="67">
        <v>1.0</v>
      </c>
      <c r="E308" s="66" t="s">
        <v>180</v>
      </c>
      <c r="F308" s="66" t="s">
        <v>548</v>
      </c>
      <c r="G308" s="65" t="str">
        <f t="shared" si="1"/>
        <v>MCC046UC0525</v>
      </c>
      <c r="H308" s="35" t="str">
        <f t="shared" si="2"/>
        <v>Saída</v>
      </c>
      <c r="I308" s="25" t="s">
        <v>273</v>
      </c>
    </row>
    <row r="309" hidden="1">
      <c r="A309" s="64">
        <v>45951.0</v>
      </c>
      <c r="B309" s="66" t="s">
        <v>343</v>
      </c>
      <c r="C309" s="66" t="s">
        <v>261</v>
      </c>
      <c r="D309" s="67">
        <v>1.0</v>
      </c>
      <c r="E309" s="66" t="s">
        <v>180</v>
      </c>
      <c r="F309" s="66" t="s">
        <v>481</v>
      </c>
      <c r="G309" s="65" t="str">
        <f t="shared" si="1"/>
        <v>EMC015MO0001</v>
      </c>
      <c r="H309" s="35" t="str">
        <f t="shared" si="2"/>
        <v>Saída</v>
      </c>
      <c r="I309" s="25" t="s">
        <v>345</v>
      </c>
    </row>
    <row r="310" hidden="1">
      <c r="A310" s="64">
        <v>45951.0</v>
      </c>
      <c r="B310" s="66" t="s">
        <v>333</v>
      </c>
      <c r="C310" s="66" t="s">
        <v>218</v>
      </c>
      <c r="D310" s="67">
        <v>1.0</v>
      </c>
      <c r="E310" s="66" t="s">
        <v>180</v>
      </c>
      <c r="F310" s="66" t="s">
        <v>549</v>
      </c>
      <c r="G310" s="65" t="str">
        <f t="shared" si="1"/>
        <v>MCC046UC0398</v>
      </c>
      <c r="H310" s="35" t="str">
        <f t="shared" si="2"/>
        <v>Saída</v>
      </c>
      <c r="I310" s="25" t="s">
        <v>335</v>
      </c>
    </row>
    <row r="311" hidden="1">
      <c r="A311" s="64">
        <v>45951.0</v>
      </c>
      <c r="B311" s="66" t="s">
        <v>232</v>
      </c>
      <c r="C311" s="66" t="s">
        <v>218</v>
      </c>
      <c r="D311" s="67">
        <v>2.0</v>
      </c>
      <c r="E311" s="66" t="s">
        <v>183</v>
      </c>
      <c r="F311" s="66" t="s">
        <v>550</v>
      </c>
      <c r="G311" s="65" t="str">
        <f t="shared" si="1"/>
        <v>MCC046UC0398</v>
      </c>
      <c r="H311" s="35" t="str">
        <f t="shared" si="2"/>
        <v>Saída</v>
      </c>
      <c r="I311" s="25" t="s">
        <v>234</v>
      </c>
    </row>
    <row r="312" hidden="1">
      <c r="A312" s="64">
        <v>45951.0</v>
      </c>
      <c r="B312" s="66" t="s">
        <v>337</v>
      </c>
      <c r="C312" s="66" t="s">
        <v>311</v>
      </c>
      <c r="D312" s="67">
        <v>2.0</v>
      </c>
      <c r="E312" s="66" t="s">
        <v>184</v>
      </c>
      <c r="F312" s="66" t="s">
        <v>551</v>
      </c>
      <c r="G312" s="65" t="str">
        <f t="shared" si="1"/>
        <v>MCC046UC0638</v>
      </c>
      <c r="H312" s="35" t="str">
        <f t="shared" si="2"/>
        <v>Saída</v>
      </c>
      <c r="I312" s="25" t="s">
        <v>189</v>
      </c>
    </row>
    <row r="313" hidden="1">
      <c r="A313" s="64">
        <v>45951.0</v>
      </c>
      <c r="B313" s="66" t="s">
        <v>302</v>
      </c>
      <c r="C313" s="66" t="s">
        <v>363</v>
      </c>
      <c r="D313" s="67">
        <v>1.0</v>
      </c>
      <c r="E313" s="66" t="s">
        <v>180</v>
      </c>
      <c r="F313" s="66" t="s">
        <v>552</v>
      </c>
      <c r="G313" s="65" t="str">
        <f t="shared" si="1"/>
        <v>MCC015UC0033</v>
      </c>
      <c r="H313" s="35" t="str">
        <f t="shared" si="2"/>
        <v>Saída</v>
      </c>
      <c r="I313" s="25" t="s">
        <v>304</v>
      </c>
    </row>
    <row r="314" hidden="1">
      <c r="A314" s="64">
        <v>45951.0</v>
      </c>
      <c r="B314" s="66" t="s">
        <v>210</v>
      </c>
      <c r="C314" s="66" t="s">
        <v>263</v>
      </c>
      <c r="D314" s="67">
        <v>1.0</v>
      </c>
      <c r="E314" s="66" t="s">
        <v>182</v>
      </c>
      <c r="F314" s="66" t="s">
        <v>369</v>
      </c>
      <c r="G314" s="65" t="str">
        <f t="shared" si="1"/>
        <v>MCC015UC0038</v>
      </c>
      <c r="H314" s="35" t="str">
        <f t="shared" si="2"/>
        <v>Saída</v>
      </c>
      <c r="I314" s="25" t="s">
        <v>213</v>
      </c>
    </row>
    <row r="315" hidden="1">
      <c r="A315" s="64">
        <v>45951.0</v>
      </c>
      <c r="B315" s="66" t="s">
        <v>340</v>
      </c>
      <c r="C315" s="66" t="s">
        <v>363</v>
      </c>
      <c r="D315" s="67">
        <v>1.0</v>
      </c>
      <c r="E315" s="66" t="s">
        <v>180</v>
      </c>
      <c r="F315" s="66" t="s">
        <v>553</v>
      </c>
      <c r="G315" s="65" t="str">
        <f t="shared" si="1"/>
        <v>MCC015UC0033</v>
      </c>
      <c r="H315" s="35" t="str">
        <f t="shared" si="2"/>
        <v>Saída</v>
      </c>
      <c r="I315" s="25" t="s">
        <v>342</v>
      </c>
    </row>
    <row r="316" hidden="1">
      <c r="A316" s="64">
        <v>45951.0</v>
      </c>
      <c r="B316" s="66" t="s">
        <v>232</v>
      </c>
      <c r="C316" s="66" t="s">
        <v>363</v>
      </c>
      <c r="D316" s="67">
        <v>1.0</v>
      </c>
      <c r="E316" s="66" t="s">
        <v>183</v>
      </c>
      <c r="F316" s="66" t="s">
        <v>554</v>
      </c>
      <c r="G316" s="65" t="str">
        <f t="shared" si="1"/>
        <v>MCC015UC0033</v>
      </c>
      <c r="H316" s="35" t="str">
        <f t="shared" si="2"/>
        <v>Saída</v>
      </c>
      <c r="I316" s="25" t="s">
        <v>234</v>
      </c>
    </row>
    <row r="317" hidden="1">
      <c r="A317" s="64">
        <v>45951.0</v>
      </c>
      <c r="B317" s="66" t="s">
        <v>210</v>
      </c>
      <c r="C317" s="66" t="s">
        <v>291</v>
      </c>
      <c r="D317" s="67">
        <v>24.0</v>
      </c>
      <c r="E317" s="66" t="s">
        <v>182</v>
      </c>
      <c r="F317" s="66" t="s">
        <v>276</v>
      </c>
      <c r="G317" s="65" t="str">
        <f t="shared" si="1"/>
        <v>MCC046UC0695</v>
      </c>
      <c r="H317" s="35" t="str">
        <f t="shared" si="2"/>
        <v>Saída</v>
      </c>
      <c r="I317" s="25" t="s">
        <v>213</v>
      </c>
    </row>
    <row r="318" hidden="1">
      <c r="A318" s="64">
        <v>45951.0</v>
      </c>
      <c r="B318" s="66" t="s">
        <v>210</v>
      </c>
      <c r="C318" s="66" t="s">
        <v>215</v>
      </c>
      <c r="D318" s="67">
        <v>1.0</v>
      </c>
      <c r="E318" s="66" t="s">
        <v>182</v>
      </c>
      <c r="F318" s="66" t="s">
        <v>555</v>
      </c>
      <c r="G318" s="65" t="str">
        <f t="shared" si="1"/>
        <v>MCC046UC0082</v>
      </c>
      <c r="H318" s="35" t="str">
        <f t="shared" si="2"/>
        <v>Saída</v>
      </c>
      <c r="I318" s="25" t="s">
        <v>213</v>
      </c>
    </row>
    <row r="319" hidden="1">
      <c r="A319" s="64">
        <v>45951.0</v>
      </c>
      <c r="B319" s="66" t="s">
        <v>210</v>
      </c>
      <c r="C319" s="66" t="s">
        <v>215</v>
      </c>
      <c r="D319" s="67">
        <v>1.0</v>
      </c>
      <c r="E319" s="66" t="s">
        <v>182</v>
      </c>
      <c r="F319" s="66" t="s">
        <v>556</v>
      </c>
      <c r="G319" s="65" t="str">
        <f t="shared" si="1"/>
        <v>MCC046UC0082</v>
      </c>
      <c r="H319" s="35" t="str">
        <f t="shared" si="2"/>
        <v>Saída</v>
      </c>
      <c r="I319" s="25" t="s">
        <v>213</v>
      </c>
    </row>
    <row r="320">
      <c r="A320" s="64">
        <v>45951.0</v>
      </c>
      <c r="B320" s="66" t="s">
        <v>333</v>
      </c>
      <c r="C320" s="66" t="s">
        <v>224</v>
      </c>
      <c r="D320" s="67">
        <v>4.0</v>
      </c>
      <c r="E320" s="66" t="s">
        <v>180</v>
      </c>
      <c r="F320" s="66" t="s">
        <v>557</v>
      </c>
      <c r="G320" s="65" t="str">
        <f t="shared" si="1"/>
        <v>MCC015UC0045</v>
      </c>
      <c r="H320" s="35" t="str">
        <f t="shared" si="2"/>
        <v>Saída</v>
      </c>
      <c r="I320" s="25" t="s">
        <v>335</v>
      </c>
    </row>
    <row r="321" hidden="1">
      <c r="A321" s="64">
        <v>45953.0</v>
      </c>
      <c r="B321" s="66" t="s">
        <v>302</v>
      </c>
      <c r="C321" s="66" t="s">
        <v>363</v>
      </c>
      <c r="D321" s="67">
        <v>2.0</v>
      </c>
      <c r="E321" s="66" t="s">
        <v>180</v>
      </c>
      <c r="F321" s="66" t="s">
        <v>558</v>
      </c>
      <c r="G321" s="65" t="str">
        <f t="shared" si="1"/>
        <v>MCC015UC0033</v>
      </c>
      <c r="H321" s="35" t="str">
        <f t="shared" si="2"/>
        <v>Saída</v>
      </c>
      <c r="I321" s="25" t="s">
        <v>304</v>
      </c>
    </row>
    <row r="322" hidden="1">
      <c r="A322" s="64">
        <v>45953.0</v>
      </c>
      <c r="B322" s="66" t="s">
        <v>244</v>
      </c>
      <c r="C322" s="66" t="s">
        <v>245</v>
      </c>
      <c r="D322" s="67">
        <v>15.0</v>
      </c>
      <c r="E322" s="66" t="s">
        <v>183</v>
      </c>
      <c r="F322" s="66" t="s">
        <v>559</v>
      </c>
      <c r="G322" s="65" t="str">
        <f t="shared" si="1"/>
        <v>MCC015UC0008</v>
      </c>
      <c r="H322" s="35" t="str">
        <f t="shared" si="2"/>
        <v>Saída</v>
      </c>
      <c r="I322" s="25" t="s">
        <v>247</v>
      </c>
    </row>
    <row r="323" hidden="1">
      <c r="A323" s="64">
        <v>45953.0</v>
      </c>
      <c r="B323" s="66" t="s">
        <v>232</v>
      </c>
      <c r="C323" s="66" t="s">
        <v>245</v>
      </c>
      <c r="D323" s="67">
        <v>7.0</v>
      </c>
      <c r="E323" s="66" t="s">
        <v>183</v>
      </c>
      <c r="F323" s="66" t="s">
        <v>560</v>
      </c>
      <c r="G323" s="65" t="str">
        <f t="shared" si="1"/>
        <v>MCC015UC0008</v>
      </c>
      <c r="H323" s="35" t="str">
        <f t="shared" si="2"/>
        <v>Saída</v>
      </c>
      <c r="I323" s="25" t="s">
        <v>234</v>
      </c>
    </row>
    <row r="324" hidden="1">
      <c r="A324" s="64">
        <v>45953.0</v>
      </c>
      <c r="B324" s="66" t="s">
        <v>235</v>
      </c>
      <c r="C324" s="66" t="s">
        <v>228</v>
      </c>
      <c r="D324" s="67">
        <v>5.0</v>
      </c>
      <c r="E324" s="66" t="s">
        <v>184</v>
      </c>
      <c r="F324" s="66" t="s">
        <v>301</v>
      </c>
      <c r="G324" s="65" t="str">
        <f t="shared" si="1"/>
        <v>MCC046UC0598</v>
      </c>
      <c r="H324" s="35" t="str">
        <f t="shared" si="2"/>
        <v>Saída</v>
      </c>
      <c r="I324" s="25" t="s">
        <v>238</v>
      </c>
    </row>
    <row r="325" hidden="1">
      <c r="A325" s="64">
        <v>45953.0</v>
      </c>
      <c r="B325" s="66" t="s">
        <v>235</v>
      </c>
      <c r="C325" s="66" t="s">
        <v>253</v>
      </c>
      <c r="D325" s="67">
        <v>5.0</v>
      </c>
      <c r="E325" s="66" t="s">
        <v>184</v>
      </c>
      <c r="F325" s="66" t="s">
        <v>301</v>
      </c>
      <c r="G325" s="65" t="str">
        <f t="shared" si="1"/>
        <v>MCC046UC0599</v>
      </c>
      <c r="H325" s="35" t="str">
        <f t="shared" si="2"/>
        <v>Saída</v>
      </c>
      <c r="I325" s="25" t="s">
        <v>238</v>
      </c>
    </row>
    <row r="326" hidden="1">
      <c r="A326" s="64">
        <v>45953.0</v>
      </c>
      <c r="B326" s="66" t="s">
        <v>235</v>
      </c>
      <c r="C326" s="66" t="s">
        <v>226</v>
      </c>
      <c r="D326" s="67">
        <v>5.0</v>
      </c>
      <c r="E326" s="66" t="s">
        <v>184</v>
      </c>
      <c r="F326" s="66" t="s">
        <v>301</v>
      </c>
      <c r="G326" s="65" t="str">
        <f t="shared" si="1"/>
        <v>MCC046UC0596</v>
      </c>
      <c r="H326" s="35" t="str">
        <f t="shared" si="2"/>
        <v>Saída</v>
      </c>
      <c r="I326" s="25" t="s">
        <v>238</v>
      </c>
    </row>
    <row r="327" hidden="1">
      <c r="A327" s="64">
        <v>45953.0</v>
      </c>
      <c r="B327" s="66" t="s">
        <v>235</v>
      </c>
      <c r="C327" s="66" t="s">
        <v>227</v>
      </c>
      <c r="D327" s="67">
        <v>5.0</v>
      </c>
      <c r="E327" s="66" t="s">
        <v>184</v>
      </c>
      <c r="F327" s="66" t="s">
        <v>301</v>
      </c>
      <c r="G327" s="65" t="str">
        <f t="shared" si="1"/>
        <v>MCC046UC0668</v>
      </c>
      <c r="H327" s="35" t="str">
        <f t="shared" si="2"/>
        <v>Saída</v>
      </c>
      <c r="I327" s="25" t="s">
        <v>238</v>
      </c>
    </row>
    <row r="328" hidden="1">
      <c r="A328" s="64">
        <v>45953.0</v>
      </c>
      <c r="B328" s="66" t="s">
        <v>235</v>
      </c>
      <c r="C328" s="66" t="s">
        <v>230</v>
      </c>
      <c r="D328" s="67">
        <v>5.0</v>
      </c>
      <c r="E328" s="66" t="s">
        <v>184</v>
      </c>
      <c r="F328" s="66" t="s">
        <v>301</v>
      </c>
      <c r="G328" s="65" t="str">
        <f t="shared" si="1"/>
        <v>MCC046UC0658</v>
      </c>
      <c r="H328" s="35" t="str">
        <f t="shared" si="2"/>
        <v>Saída</v>
      </c>
      <c r="I328" s="25" t="s">
        <v>238</v>
      </c>
    </row>
    <row r="329" hidden="1">
      <c r="A329" s="64">
        <v>45953.0</v>
      </c>
      <c r="B329" s="66" t="s">
        <v>235</v>
      </c>
      <c r="C329" s="66" t="s">
        <v>229</v>
      </c>
      <c r="D329" s="67">
        <v>5.0</v>
      </c>
      <c r="E329" s="66" t="s">
        <v>184</v>
      </c>
      <c r="F329" s="66" t="s">
        <v>301</v>
      </c>
      <c r="G329" s="65" t="str">
        <f t="shared" si="1"/>
        <v>MCC046UC0597</v>
      </c>
      <c r="H329" s="35" t="str">
        <f t="shared" si="2"/>
        <v>Saída</v>
      </c>
      <c r="I329" s="25" t="s">
        <v>238</v>
      </c>
    </row>
    <row r="330" hidden="1">
      <c r="A330" s="64">
        <v>45953.0</v>
      </c>
      <c r="B330" s="66" t="s">
        <v>235</v>
      </c>
      <c r="C330" s="66" t="s">
        <v>231</v>
      </c>
      <c r="D330" s="67">
        <v>5.0</v>
      </c>
      <c r="E330" s="66" t="s">
        <v>184</v>
      </c>
      <c r="F330" s="66" t="s">
        <v>301</v>
      </c>
      <c r="G330" s="65" t="str">
        <f t="shared" si="1"/>
        <v>MCC049UC0516</v>
      </c>
      <c r="H330" s="35" t="str">
        <f t="shared" si="2"/>
        <v>Saída</v>
      </c>
      <c r="I330" s="25" t="s">
        <v>238</v>
      </c>
    </row>
    <row r="331" hidden="1">
      <c r="A331" s="64">
        <v>45953.0</v>
      </c>
      <c r="B331" s="66" t="s">
        <v>232</v>
      </c>
      <c r="C331" s="66" t="s">
        <v>245</v>
      </c>
      <c r="D331" s="67">
        <v>10.0</v>
      </c>
      <c r="E331" s="66" t="s">
        <v>183</v>
      </c>
      <c r="F331" s="66" t="s">
        <v>561</v>
      </c>
      <c r="G331" s="65" t="str">
        <f t="shared" si="1"/>
        <v>MCC015UC0008</v>
      </c>
      <c r="H331" s="35" t="str">
        <f t="shared" si="2"/>
        <v>Saída</v>
      </c>
      <c r="I331" s="25" t="s">
        <v>234</v>
      </c>
    </row>
    <row r="332">
      <c r="A332" s="64">
        <v>45953.0</v>
      </c>
      <c r="B332" s="66" t="s">
        <v>302</v>
      </c>
      <c r="C332" s="66" t="s">
        <v>224</v>
      </c>
      <c r="D332" s="67">
        <v>5.0</v>
      </c>
      <c r="E332" s="66" t="s">
        <v>180</v>
      </c>
      <c r="F332" s="66" t="s">
        <v>562</v>
      </c>
      <c r="G332" s="65" t="str">
        <f t="shared" si="1"/>
        <v>MCC015UC0045</v>
      </c>
      <c r="H332" s="35" t="str">
        <f t="shared" si="2"/>
        <v>Saída</v>
      </c>
      <c r="I332" s="25" t="s">
        <v>304</v>
      </c>
    </row>
    <row r="333" hidden="1">
      <c r="A333" s="64">
        <v>45953.0</v>
      </c>
      <c r="B333" s="66" t="s">
        <v>270</v>
      </c>
      <c r="C333" s="66" t="s">
        <v>498</v>
      </c>
      <c r="D333" s="67">
        <v>2.0</v>
      </c>
      <c r="E333" s="66" t="s">
        <v>180</v>
      </c>
      <c r="F333" s="66" t="s">
        <v>563</v>
      </c>
      <c r="G333" s="65" t="str">
        <f t="shared" si="1"/>
        <v>MCC049UC0607</v>
      </c>
      <c r="H333" s="35" t="str">
        <f t="shared" si="2"/>
        <v>Saída</v>
      </c>
      <c r="I333" s="25" t="s">
        <v>273</v>
      </c>
    </row>
    <row r="334" hidden="1">
      <c r="A334" s="64">
        <v>45953.0</v>
      </c>
      <c r="B334" s="66" t="s">
        <v>455</v>
      </c>
      <c r="C334" s="66" t="s">
        <v>245</v>
      </c>
      <c r="D334" s="67">
        <v>2.0</v>
      </c>
      <c r="E334" s="66" t="s">
        <v>184</v>
      </c>
      <c r="F334" s="66" t="s">
        <v>564</v>
      </c>
      <c r="G334" s="65" t="str">
        <f t="shared" si="1"/>
        <v>MCC015UC0008</v>
      </c>
      <c r="H334" s="35" t="str">
        <f t="shared" si="2"/>
        <v>Saída</v>
      </c>
      <c r="I334" s="25" t="s">
        <v>457</v>
      </c>
    </row>
    <row r="335" hidden="1">
      <c r="A335" s="64">
        <v>45953.0</v>
      </c>
      <c r="B335" s="66" t="s">
        <v>297</v>
      </c>
      <c r="C335" s="66" t="s">
        <v>245</v>
      </c>
      <c r="D335" s="67">
        <v>8.0</v>
      </c>
      <c r="E335" s="66" t="s">
        <v>180</v>
      </c>
      <c r="F335" s="66" t="s">
        <v>496</v>
      </c>
      <c r="G335" s="65" t="str">
        <f t="shared" si="1"/>
        <v>MCC015UC0008</v>
      </c>
      <c r="H335" s="35" t="str">
        <f t="shared" si="2"/>
        <v>Saída</v>
      </c>
      <c r="I335" s="25" t="s">
        <v>300</v>
      </c>
    </row>
    <row r="336" hidden="1">
      <c r="A336" s="64">
        <v>45953.0</v>
      </c>
      <c r="B336" s="66" t="s">
        <v>232</v>
      </c>
      <c r="C336" s="66" t="s">
        <v>215</v>
      </c>
      <c r="D336" s="67">
        <v>4.0</v>
      </c>
      <c r="E336" s="66" t="s">
        <v>182</v>
      </c>
      <c r="F336" s="66" t="s">
        <v>460</v>
      </c>
      <c r="G336" s="65" t="str">
        <f t="shared" si="1"/>
        <v>MCC046UC0082</v>
      </c>
      <c r="H336" s="35" t="str">
        <f t="shared" si="2"/>
        <v>Saída</v>
      </c>
      <c r="I336" s="25" t="s">
        <v>234</v>
      </c>
    </row>
    <row r="337" hidden="1">
      <c r="A337" s="64">
        <v>45953.0</v>
      </c>
      <c r="B337" s="66" t="s">
        <v>333</v>
      </c>
      <c r="C337" s="66" t="s">
        <v>245</v>
      </c>
      <c r="D337" s="67">
        <v>30.0</v>
      </c>
      <c r="E337" s="66" t="s">
        <v>180</v>
      </c>
      <c r="F337" s="66" t="s">
        <v>565</v>
      </c>
      <c r="G337" s="65" t="str">
        <f t="shared" si="1"/>
        <v>MCC015UC0008</v>
      </c>
      <c r="H337" s="35" t="str">
        <f t="shared" si="2"/>
        <v>Saída</v>
      </c>
      <c r="I337" s="25" t="s">
        <v>335</v>
      </c>
    </row>
    <row r="338" hidden="1">
      <c r="A338" s="64">
        <v>45953.0</v>
      </c>
      <c r="B338" s="66" t="s">
        <v>359</v>
      </c>
      <c r="C338" s="66" t="s">
        <v>360</v>
      </c>
      <c r="D338" s="67">
        <v>2.0</v>
      </c>
      <c r="E338" s="66" t="s">
        <v>184</v>
      </c>
      <c r="F338" s="66" t="s">
        <v>566</v>
      </c>
      <c r="G338" s="65" t="str">
        <f t="shared" si="1"/>
        <v>MCC049UC0288</v>
      </c>
      <c r="H338" s="35" t="str">
        <f t="shared" si="2"/>
        <v>Saída</v>
      </c>
      <c r="I338" s="25" t="s">
        <v>362</v>
      </c>
    </row>
    <row r="339" hidden="1">
      <c r="A339" s="64">
        <v>45953.0</v>
      </c>
      <c r="B339" s="66" t="s">
        <v>210</v>
      </c>
      <c r="C339" s="66" t="s">
        <v>263</v>
      </c>
      <c r="D339" s="67">
        <v>1.0</v>
      </c>
      <c r="E339" s="66" t="s">
        <v>182</v>
      </c>
      <c r="F339" s="66" t="s">
        <v>369</v>
      </c>
      <c r="G339" s="65" t="str">
        <f t="shared" si="1"/>
        <v>MCC015UC0038</v>
      </c>
      <c r="H339" s="35" t="str">
        <f t="shared" si="2"/>
        <v>Saída</v>
      </c>
      <c r="I339" s="25" t="s">
        <v>213</v>
      </c>
    </row>
    <row r="340" hidden="1">
      <c r="A340" s="64">
        <v>45953.0</v>
      </c>
      <c r="B340" s="66" t="s">
        <v>210</v>
      </c>
      <c r="C340" s="66" t="s">
        <v>346</v>
      </c>
      <c r="D340" s="67">
        <v>1.0</v>
      </c>
      <c r="E340" s="66" t="s">
        <v>182</v>
      </c>
      <c r="F340" s="66" t="s">
        <v>567</v>
      </c>
      <c r="G340" s="65" t="str">
        <f t="shared" si="1"/>
        <v>MCC049UC0603</v>
      </c>
      <c r="H340" s="35" t="str">
        <f t="shared" si="2"/>
        <v>Saída</v>
      </c>
      <c r="I340" s="25" t="s">
        <v>213</v>
      </c>
    </row>
    <row r="341" hidden="1">
      <c r="A341" s="64">
        <v>45953.0</v>
      </c>
      <c r="B341" s="66" t="s">
        <v>210</v>
      </c>
      <c r="C341" s="66" t="s">
        <v>518</v>
      </c>
      <c r="D341" s="67">
        <v>1.0</v>
      </c>
      <c r="E341" s="66" t="s">
        <v>182</v>
      </c>
      <c r="F341" s="66" t="s">
        <v>567</v>
      </c>
      <c r="G341" s="65" t="str">
        <f t="shared" si="1"/>
        <v>MCC049UC0602</v>
      </c>
      <c r="H341" s="35" t="str">
        <f t="shared" si="2"/>
        <v>Saída</v>
      </c>
      <c r="I341" s="25" t="s">
        <v>213</v>
      </c>
    </row>
    <row r="342">
      <c r="A342" s="64">
        <v>45953.0</v>
      </c>
      <c r="B342" s="66" t="s">
        <v>270</v>
      </c>
      <c r="C342" s="66" t="s">
        <v>224</v>
      </c>
      <c r="D342" s="67">
        <v>4.0</v>
      </c>
      <c r="E342" s="66" t="s">
        <v>180</v>
      </c>
      <c r="F342" s="66" t="s">
        <v>568</v>
      </c>
      <c r="G342" s="65" t="str">
        <f t="shared" si="1"/>
        <v>MCC015UC0045</v>
      </c>
      <c r="H342" s="35" t="str">
        <f t="shared" si="2"/>
        <v>Saída</v>
      </c>
      <c r="I342" s="25" t="s">
        <v>273</v>
      </c>
    </row>
    <row r="343" hidden="1">
      <c r="A343" s="64">
        <v>45959.0</v>
      </c>
      <c r="B343" s="66" t="s">
        <v>366</v>
      </c>
      <c r="C343" s="66" t="s">
        <v>245</v>
      </c>
      <c r="D343" s="67">
        <v>8.0</v>
      </c>
      <c r="E343" s="66" t="s">
        <v>181</v>
      </c>
      <c r="F343" s="66" t="s">
        <v>569</v>
      </c>
      <c r="G343" s="65" t="str">
        <f t="shared" si="1"/>
        <v>MCC015UC0008</v>
      </c>
      <c r="H343" s="35" t="str">
        <f t="shared" si="2"/>
        <v>Saída</v>
      </c>
      <c r="I343" s="25" t="s">
        <v>368</v>
      </c>
    </row>
    <row r="344">
      <c r="A344" s="64">
        <v>45959.0</v>
      </c>
      <c r="B344" s="66" t="s">
        <v>366</v>
      </c>
      <c r="C344" s="66" t="s">
        <v>224</v>
      </c>
      <c r="D344" s="67">
        <v>8.0</v>
      </c>
      <c r="E344" s="66" t="s">
        <v>181</v>
      </c>
      <c r="F344" s="66" t="s">
        <v>570</v>
      </c>
      <c r="G344" s="65" t="str">
        <f t="shared" si="1"/>
        <v>MCC015UC0045</v>
      </c>
      <c r="H344" s="35" t="str">
        <f t="shared" si="2"/>
        <v>Saída</v>
      </c>
      <c r="I344" s="25" t="s">
        <v>368</v>
      </c>
    </row>
    <row r="345" hidden="1">
      <c r="A345" s="64">
        <v>45959.0</v>
      </c>
      <c r="B345" s="66" t="s">
        <v>305</v>
      </c>
      <c r="C345" s="66" t="s">
        <v>360</v>
      </c>
      <c r="D345" s="67">
        <v>1.0</v>
      </c>
      <c r="E345" s="66" t="s">
        <v>183</v>
      </c>
      <c r="F345" s="66" t="s">
        <v>571</v>
      </c>
      <c r="G345" s="65" t="str">
        <f t="shared" si="1"/>
        <v>MCC049UC0288</v>
      </c>
      <c r="H345" s="35" t="str">
        <f t="shared" si="2"/>
        <v>Saída</v>
      </c>
      <c r="I345" s="25" t="s">
        <v>307</v>
      </c>
    </row>
    <row r="346">
      <c r="A346" s="64">
        <v>45959.0</v>
      </c>
      <c r="B346" s="66" t="s">
        <v>333</v>
      </c>
      <c r="C346" s="66" t="s">
        <v>224</v>
      </c>
      <c r="D346" s="67">
        <v>4.0</v>
      </c>
      <c r="E346" s="66" t="s">
        <v>180</v>
      </c>
      <c r="F346" s="66" t="s">
        <v>572</v>
      </c>
      <c r="G346" s="65" t="str">
        <f t="shared" si="1"/>
        <v>MCC015UC0045</v>
      </c>
      <c r="H346" s="35" t="str">
        <f t="shared" si="2"/>
        <v>Saída</v>
      </c>
      <c r="I346" s="25" t="s">
        <v>335</v>
      </c>
    </row>
    <row r="347" hidden="1">
      <c r="A347" s="64">
        <v>45959.0</v>
      </c>
      <c r="B347" s="66" t="s">
        <v>343</v>
      </c>
      <c r="C347" s="66" t="s">
        <v>245</v>
      </c>
      <c r="D347" s="67">
        <v>20.0</v>
      </c>
      <c r="E347" s="66" t="s">
        <v>180</v>
      </c>
      <c r="F347" s="66" t="s">
        <v>439</v>
      </c>
      <c r="G347" s="65" t="str">
        <f t="shared" si="1"/>
        <v>MCC015UC0008</v>
      </c>
      <c r="H347" s="35" t="str">
        <f t="shared" si="2"/>
        <v>Saída</v>
      </c>
      <c r="I347" s="25" t="s">
        <v>345</v>
      </c>
    </row>
    <row r="348">
      <c r="A348" s="64">
        <v>45959.0</v>
      </c>
      <c r="B348" s="66" t="s">
        <v>232</v>
      </c>
      <c r="C348" s="66" t="s">
        <v>224</v>
      </c>
      <c r="D348" s="67">
        <v>10.0</v>
      </c>
      <c r="E348" s="66" t="s">
        <v>182</v>
      </c>
      <c r="F348" s="66" t="s">
        <v>466</v>
      </c>
      <c r="G348" s="65" t="str">
        <f t="shared" si="1"/>
        <v>MCC015UC0045</v>
      </c>
      <c r="H348" s="35" t="str">
        <f t="shared" si="2"/>
        <v>Saída</v>
      </c>
      <c r="I348" s="25" t="s">
        <v>234</v>
      </c>
    </row>
    <row r="349" hidden="1">
      <c r="A349" s="64">
        <v>45959.0</v>
      </c>
      <c r="B349" s="66" t="s">
        <v>232</v>
      </c>
      <c r="C349" s="66" t="s">
        <v>325</v>
      </c>
      <c r="D349" s="67">
        <v>1.0</v>
      </c>
      <c r="E349" s="66" t="s">
        <v>182</v>
      </c>
      <c r="F349" s="66" t="s">
        <v>573</v>
      </c>
      <c r="G349" s="65" t="str">
        <f t="shared" si="1"/>
        <v>MCC046UC0587</v>
      </c>
      <c r="H349" s="35" t="str">
        <f t="shared" si="2"/>
        <v>Saída</v>
      </c>
      <c r="I349" s="25" t="s">
        <v>234</v>
      </c>
    </row>
    <row r="350" hidden="1">
      <c r="A350" s="64">
        <v>45959.0</v>
      </c>
      <c r="B350" s="66" t="s">
        <v>343</v>
      </c>
      <c r="C350" s="66" t="s">
        <v>245</v>
      </c>
      <c r="D350" s="67">
        <v>30.0</v>
      </c>
      <c r="E350" s="66" t="s">
        <v>180</v>
      </c>
      <c r="F350" s="66" t="s">
        <v>344</v>
      </c>
      <c r="G350" s="65" t="str">
        <f t="shared" si="1"/>
        <v>MCC015UC0008</v>
      </c>
      <c r="H350" s="35" t="str">
        <f t="shared" si="2"/>
        <v>Saída</v>
      </c>
      <c r="I350" s="25" t="s">
        <v>345</v>
      </c>
    </row>
    <row r="351" hidden="1">
      <c r="A351" s="64">
        <v>45959.0</v>
      </c>
      <c r="B351" s="66" t="s">
        <v>515</v>
      </c>
      <c r="C351" s="66" t="s">
        <v>245</v>
      </c>
      <c r="D351" s="67">
        <v>10.0</v>
      </c>
      <c r="E351" s="66" t="s">
        <v>183</v>
      </c>
      <c r="F351" s="66" t="s">
        <v>574</v>
      </c>
      <c r="G351" s="65" t="str">
        <f t="shared" si="1"/>
        <v>MCC015UC0008</v>
      </c>
      <c r="H351" s="35" t="str">
        <f t="shared" si="2"/>
        <v>Saída</v>
      </c>
      <c r="I351" s="25" t="s">
        <v>517</v>
      </c>
    </row>
    <row r="352" hidden="1">
      <c r="A352" s="64">
        <v>45959.0</v>
      </c>
      <c r="B352" s="66" t="s">
        <v>575</v>
      </c>
      <c r="C352" s="66" t="s">
        <v>298</v>
      </c>
      <c r="D352" s="67">
        <v>1.0</v>
      </c>
      <c r="E352" s="66" t="s">
        <v>183</v>
      </c>
      <c r="F352" s="66" t="s">
        <v>576</v>
      </c>
      <c r="G352" s="65" t="str">
        <f t="shared" si="1"/>
        <v>MCC046UC0639</v>
      </c>
      <c r="H352" s="35" t="str">
        <f t="shared" si="2"/>
        <v>Saída</v>
      </c>
      <c r="I352" s="25" t="s">
        <v>577</v>
      </c>
    </row>
    <row r="353">
      <c r="A353" s="64">
        <v>45959.0</v>
      </c>
      <c r="B353" s="66" t="s">
        <v>343</v>
      </c>
      <c r="C353" s="66" t="s">
        <v>224</v>
      </c>
      <c r="D353" s="67">
        <v>10.0</v>
      </c>
      <c r="E353" s="66" t="s">
        <v>180</v>
      </c>
      <c r="F353" s="66" t="s">
        <v>578</v>
      </c>
      <c r="G353" s="65" t="str">
        <f t="shared" si="1"/>
        <v>MCC015UC0045</v>
      </c>
      <c r="H353" s="35" t="str">
        <f t="shared" si="2"/>
        <v>Saída</v>
      </c>
      <c r="I353" s="25" t="s">
        <v>345</v>
      </c>
    </row>
    <row r="354" hidden="1">
      <c r="A354" s="64">
        <v>45959.0</v>
      </c>
      <c r="B354" s="66" t="s">
        <v>302</v>
      </c>
      <c r="C354" s="66" t="s">
        <v>215</v>
      </c>
      <c r="D354" s="67">
        <v>2.0</v>
      </c>
      <c r="E354" s="66" t="s">
        <v>180</v>
      </c>
      <c r="F354" s="66" t="s">
        <v>424</v>
      </c>
      <c r="G354" s="65" t="str">
        <f t="shared" si="1"/>
        <v>MCC046UC0082</v>
      </c>
      <c r="H354" s="35" t="str">
        <f t="shared" si="2"/>
        <v>Saída</v>
      </c>
      <c r="I354" s="25" t="s">
        <v>304</v>
      </c>
    </row>
    <row r="355" hidden="1">
      <c r="A355" s="64">
        <v>45959.0</v>
      </c>
      <c r="B355" s="66" t="s">
        <v>343</v>
      </c>
      <c r="C355" s="66" t="s">
        <v>215</v>
      </c>
      <c r="D355" s="67">
        <v>2.0</v>
      </c>
      <c r="E355" s="66" t="s">
        <v>180</v>
      </c>
      <c r="F355" s="66" t="s">
        <v>433</v>
      </c>
      <c r="G355" s="65" t="str">
        <f t="shared" si="1"/>
        <v>MCC046UC0082</v>
      </c>
      <c r="H355" s="35" t="str">
        <f t="shared" si="2"/>
        <v>Saída</v>
      </c>
      <c r="I355" s="25" t="s">
        <v>345</v>
      </c>
    </row>
    <row r="356" hidden="1">
      <c r="A356" s="64">
        <v>45959.0</v>
      </c>
      <c r="B356" s="66" t="s">
        <v>333</v>
      </c>
      <c r="C356" s="66" t="s">
        <v>255</v>
      </c>
      <c r="D356" s="67">
        <v>1.0</v>
      </c>
      <c r="E356" s="66" t="s">
        <v>180</v>
      </c>
      <c r="F356" s="66" t="s">
        <v>428</v>
      </c>
      <c r="G356" s="65" t="str">
        <f t="shared" si="1"/>
        <v>MCC046UC0215</v>
      </c>
      <c r="H356" s="35" t="str">
        <f t="shared" si="2"/>
        <v>Saída</v>
      </c>
      <c r="I356" s="25" t="s">
        <v>335</v>
      </c>
    </row>
    <row r="357" hidden="1">
      <c r="A357" s="64">
        <v>45959.0</v>
      </c>
      <c r="B357" s="66" t="s">
        <v>333</v>
      </c>
      <c r="C357" s="66" t="s">
        <v>271</v>
      </c>
      <c r="D357" s="67">
        <v>1.0</v>
      </c>
      <c r="E357" s="66" t="s">
        <v>180</v>
      </c>
      <c r="F357" s="66" t="s">
        <v>428</v>
      </c>
      <c r="G357" s="65" t="str">
        <f t="shared" si="1"/>
        <v>MCC046UC0216</v>
      </c>
      <c r="H357" s="35" t="str">
        <f t="shared" si="2"/>
        <v>Saída</v>
      </c>
      <c r="I357" s="25" t="s">
        <v>335</v>
      </c>
    </row>
    <row r="358" hidden="1">
      <c r="A358" s="64">
        <v>45959.0</v>
      </c>
      <c r="B358" s="66" t="s">
        <v>333</v>
      </c>
      <c r="C358" s="66" t="s">
        <v>319</v>
      </c>
      <c r="D358" s="67">
        <v>1.0</v>
      </c>
      <c r="E358" s="66" t="s">
        <v>180</v>
      </c>
      <c r="F358" s="66" t="s">
        <v>428</v>
      </c>
      <c r="G358" s="65" t="str">
        <f t="shared" si="1"/>
        <v>MCC049UC0610</v>
      </c>
      <c r="H358" s="35" t="str">
        <f t="shared" si="2"/>
        <v>Saída</v>
      </c>
      <c r="I358" s="25" t="s">
        <v>335</v>
      </c>
    </row>
    <row r="359" hidden="1">
      <c r="A359" s="64">
        <v>45959.0</v>
      </c>
      <c r="B359" s="66" t="s">
        <v>232</v>
      </c>
      <c r="C359" s="66" t="s">
        <v>245</v>
      </c>
      <c r="D359" s="67">
        <v>8.0</v>
      </c>
      <c r="E359" s="66" t="s">
        <v>182</v>
      </c>
      <c r="F359" s="66" t="s">
        <v>573</v>
      </c>
      <c r="G359" s="65" t="str">
        <f t="shared" si="1"/>
        <v>MCC015UC0008</v>
      </c>
      <c r="H359" s="35" t="str">
        <f t="shared" si="2"/>
        <v>Saída</v>
      </c>
      <c r="I359" s="25" t="s">
        <v>234</v>
      </c>
    </row>
    <row r="360" hidden="1">
      <c r="A360" s="64">
        <v>45959.0</v>
      </c>
      <c r="B360" s="66" t="s">
        <v>232</v>
      </c>
      <c r="C360" s="66" t="s">
        <v>263</v>
      </c>
      <c r="D360" s="67">
        <v>1.0</v>
      </c>
      <c r="E360" s="66" t="s">
        <v>182</v>
      </c>
      <c r="F360" s="66" t="s">
        <v>467</v>
      </c>
      <c r="G360" s="65" t="str">
        <f t="shared" si="1"/>
        <v>MCC015UC0038</v>
      </c>
      <c r="H360" s="35" t="str">
        <f t="shared" si="2"/>
        <v>Saída</v>
      </c>
      <c r="I360" s="25" t="s">
        <v>234</v>
      </c>
    </row>
    <row r="361">
      <c r="A361" s="64">
        <v>45959.0</v>
      </c>
      <c r="B361" s="66" t="s">
        <v>232</v>
      </c>
      <c r="C361" s="66" t="s">
        <v>224</v>
      </c>
      <c r="D361" s="67">
        <v>8.0</v>
      </c>
      <c r="E361" s="66" t="s">
        <v>182</v>
      </c>
      <c r="F361" s="66" t="s">
        <v>579</v>
      </c>
      <c r="G361" s="65" t="str">
        <f t="shared" si="1"/>
        <v>MCC015UC0045</v>
      </c>
      <c r="H361" s="35" t="str">
        <f t="shared" si="2"/>
        <v>Saída</v>
      </c>
      <c r="I361" s="25" t="s">
        <v>234</v>
      </c>
    </row>
    <row r="362" hidden="1">
      <c r="A362" s="64">
        <v>45959.0</v>
      </c>
      <c r="B362" s="66" t="s">
        <v>580</v>
      </c>
      <c r="C362" s="66" t="s">
        <v>255</v>
      </c>
      <c r="D362" s="67">
        <v>2.0</v>
      </c>
      <c r="E362" s="66" t="s">
        <v>183</v>
      </c>
      <c r="F362" s="66" t="s">
        <v>581</v>
      </c>
      <c r="G362" s="65" t="str">
        <f t="shared" si="1"/>
        <v>MCC046UC0215</v>
      </c>
      <c r="H362" s="35" t="str">
        <f t="shared" si="2"/>
        <v>Saída</v>
      </c>
      <c r="I362" s="25" t="s">
        <v>582</v>
      </c>
    </row>
    <row r="363" hidden="1">
      <c r="A363" s="64">
        <v>45959.0</v>
      </c>
      <c r="B363" s="66" t="s">
        <v>294</v>
      </c>
      <c r="C363" s="66" t="s">
        <v>245</v>
      </c>
      <c r="D363" s="67">
        <v>1.0</v>
      </c>
      <c r="E363" s="66" t="s">
        <v>184</v>
      </c>
      <c r="F363" s="66" t="s">
        <v>583</v>
      </c>
      <c r="G363" s="65" t="str">
        <f t="shared" si="1"/>
        <v>MCC015UC0008</v>
      </c>
      <c r="H363" s="35" t="str">
        <f t="shared" si="2"/>
        <v>Saída</v>
      </c>
      <c r="I363" s="25" t="s">
        <v>296</v>
      </c>
    </row>
    <row r="364" hidden="1">
      <c r="A364" s="64">
        <v>45959.0</v>
      </c>
      <c r="B364" s="66" t="s">
        <v>343</v>
      </c>
      <c r="C364" s="66" t="s">
        <v>291</v>
      </c>
      <c r="D364" s="67">
        <v>10.0</v>
      </c>
      <c r="E364" s="66" t="s">
        <v>180</v>
      </c>
      <c r="F364" s="66" t="s">
        <v>578</v>
      </c>
      <c r="G364" s="65" t="str">
        <f t="shared" si="1"/>
        <v>MCC046UC0695</v>
      </c>
      <c r="H364" s="35" t="str">
        <f t="shared" si="2"/>
        <v>Saída</v>
      </c>
      <c r="I364" s="25" t="s">
        <v>345</v>
      </c>
    </row>
    <row r="365" hidden="1">
      <c r="A365" s="64">
        <v>45959.0</v>
      </c>
      <c r="B365" s="66" t="s">
        <v>294</v>
      </c>
      <c r="C365" s="66" t="s">
        <v>245</v>
      </c>
      <c r="D365" s="67">
        <v>1.0</v>
      </c>
      <c r="E365" s="66" t="s">
        <v>184</v>
      </c>
      <c r="F365" s="66" t="s">
        <v>583</v>
      </c>
      <c r="G365" s="65" t="str">
        <f t="shared" si="1"/>
        <v>MCC015UC0008</v>
      </c>
      <c r="H365" s="35" t="str">
        <f t="shared" si="2"/>
        <v>Saída</v>
      </c>
      <c r="I365" s="25" t="s">
        <v>296</v>
      </c>
    </row>
    <row r="366">
      <c r="A366" s="64">
        <v>45959.0</v>
      </c>
      <c r="B366" s="66" t="s">
        <v>210</v>
      </c>
      <c r="C366" s="66" t="s">
        <v>224</v>
      </c>
      <c r="D366" s="67">
        <v>24.0</v>
      </c>
      <c r="E366" s="66" t="s">
        <v>182</v>
      </c>
      <c r="F366" s="66" t="s">
        <v>266</v>
      </c>
      <c r="G366" s="65" t="str">
        <f t="shared" si="1"/>
        <v>MCC015UC0045</v>
      </c>
      <c r="H366" s="35" t="str">
        <f t="shared" si="2"/>
        <v>Saída</v>
      </c>
      <c r="I366" s="25" t="s">
        <v>213</v>
      </c>
    </row>
    <row r="367" hidden="1">
      <c r="A367" s="64">
        <v>45959.0</v>
      </c>
      <c r="B367" s="66" t="s">
        <v>294</v>
      </c>
      <c r="C367" s="66" t="s">
        <v>377</v>
      </c>
      <c r="D367" s="67">
        <v>2.0</v>
      </c>
      <c r="E367" s="66" t="s">
        <v>184</v>
      </c>
      <c r="F367" s="66" t="s">
        <v>584</v>
      </c>
      <c r="G367" s="65" t="str">
        <f t="shared" si="1"/>
        <v>MCC046UC0542</v>
      </c>
      <c r="H367" s="35" t="str">
        <f t="shared" si="2"/>
        <v>Saída</v>
      </c>
      <c r="I367" s="25" t="s">
        <v>296</v>
      </c>
    </row>
    <row r="368" hidden="1">
      <c r="A368" s="64">
        <v>45959.0</v>
      </c>
      <c r="B368" s="66" t="s">
        <v>343</v>
      </c>
      <c r="C368" s="66" t="s">
        <v>245</v>
      </c>
      <c r="D368" s="67">
        <v>30.0</v>
      </c>
      <c r="E368" s="66" t="s">
        <v>180</v>
      </c>
      <c r="F368" s="66" t="s">
        <v>585</v>
      </c>
      <c r="G368" s="65" t="str">
        <f t="shared" si="1"/>
        <v>MCC015UC0008</v>
      </c>
      <c r="H368" s="35" t="str">
        <f t="shared" si="2"/>
        <v>Saída</v>
      </c>
      <c r="I368" s="25" t="s">
        <v>345</v>
      </c>
    </row>
    <row r="369" hidden="1">
      <c r="A369" s="64">
        <v>45959.0</v>
      </c>
      <c r="B369" s="66" t="s">
        <v>302</v>
      </c>
      <c r="C369" s="66" t="s">
        <v>363</v>
      </c>
      <c r="D369" s="67">
        <v>2.0</v>
      </c>
      <c r="E369" s="66" t="s">
        <v>180</v>
      </c>
      <c r="F369" s="66" t="s">
        <v>586</v>
      </c>
      <c r="G369" s="65" t="str">
        <f t="shared" si="1"/>
        <v>MCC015UC0033</v>
      </c>
      <c r="H369" s="35" t="str">
        <f t="shared" si="2"/>
        <v>Saída</v>
      </c>
      <c r="I369" s="25" t="s">
        <v>304</v>
      </c>
    </row>
    <row r="370" hidden="1">
      <c r="A370" s="64">
        <v>45959.0</v>
      </c>
      <c r="B370" s="66" t="s">
        <v>366</v>
      </c>
      <c r="C370" s="66" t="s">
        <v>311</v>
      </c>
      <c r="D370" s="67">
        <v>2.0</v>
      </c>
      <c r="E370" s="66" t="s">
        <v>181</v>
      </c>
      <c r="F370" s="66" t="s">
        <v>587</v>
      </c>
      <c r="G370" s="65" t="str">
        <f t="shared" si="1"/>
        <v>MCC046UC0638</v>
      </c>
      <c r="H370" s="35" t="str">
        <f t="shared" si="2"/>
        <v>Saída</v>
      </c>
      <c r="I370" s="25" t="s">
        <v>368</v>
      </c>
    </row>
    <row r="371" hidden="1">
      <c r="A371" s="64">
        <v>45959.0</v>
      </c>
      <c r="B371" s="66" t="s">
        <v>337</v>
      </c>
      <c r="C371" s="66" t="s">
        <v>325</v>
      </c>
      <c r="D371" s="67">
        <v>1.0</v>
      </c>
      <c r="E371" s="66" t="s">
        <v>182</v>
      </c>
      <c r="F371" s="66" t="s">
        <v>588</v>
      </c>
      <c r="G371" s="65" t="str">
        <f t="shared" si="1"/>
        <v>MCC046UC0587</v>
      </c>
      <c r="H371" s="35" t="str">
        <f t="shared" si="2"/>
        <v>Saída</v>
      </c>
      <c r="I371" s="25" t="s">
        <v>189</v>
      </c>
    </row>
    <row r="372" hidden="1">
      <c r="A372" s="64">
        <v>45964.499872685185</v>
      </c>
      <c r="B372" s="66" t="s">
        <v>214</v>
      </c>
      <c r="C372" s="66" t="s">
        <v>255</v>
      </c>
      <c r="D372" s="67">
        <v>20.0</v>
      </c>
      <c r="E372" s="66" t="s">
        <v>184</v>
      </c>
      <c r="F372" s="66" t="s">
        <v>589</v>
      </c>
      <c r="G372" s="65" t="str">
        <f t="shared" si="1"/>
        <v>MCC046UC0215</v>
      </c>
      <c r="H372" s="35" t="str">
        <f t="shared" si="2"/>
        <v>Saída</v>
      </c>
      <c r="I372" s="25" t="s">
        <v>217</v>
      </c>
    </row>
    <row r="373" hidden="1">
      <c r="A373" s="64">
        <v>45964.57003472222</v>
      </c>
      <c r="B373" s="66" t="s">
        <v>343</v>
      </c>
      <c r="C373" s="66" t="s">
        <v>245</v>
      </c>
      <c r="D373" s="67">
        <v>50.0</v>
      </c>
      <c r="E373" s="66" t="s">
        <v>180</v>
      </c>
      <c r="F373" s="66" t="s">
        <v>590</v>
      </c>
      <c r="G373" s="65" t="str">
        <f t="shared" si="1"/>
        <v>MCC015UC0008</v>
      </c>
      <c r="H373" s="35" t="str">
        <f t="shared" si="2"/>
        <v>Saída</v>
      </c>
      <c r="I373" s="25" t="s">
        <v>345</v>
      </c>
    </row>
    <row r="374" hidden="1">
      <c r="A374" s="64">
        <v>45964.57986111111</v>
      </c>
      <c r="B374" s="66" t="s">
        <v>239</v>
      </c>
      <c r="C374" s="66" t="s">
        <v>215</v>
      </c>
      <c r="D374" s="67">
        <v>1.0</v>
      </c>
      <c r="E374" s="66" t="s">
        <v>184</v>
      </c>
      <c r="F374" s="66" t="s">
        <v>591</v>
      </c>
      <c r="G374" s="65" t="str">
        <f t="shared" si="1"/>
        <v>MCC046UC0082</v>
      </c>
      <c r="H374" s="35" t="str">
        <f t="shared" si="2"/>
        <v>Saída</v>
      </c>
      <c r="I374" s="25" t="s">
        <v>241</v>
      </c>
    </row>
    <row r="375" hidden="1">
      <c r="A375" s="64">
        <v>45964.58043981482</v>
      </c>
      <c r="B375" s="66" t="s">
        <v>239</v>
      </c>
      <c r="C375" s="66" t="s">
        <v>242</v>
      </c>
      <c r="D375" s="67">
        <v>1.0</v>
      </c>
      <c r="E375" s="66" t="s">
        <v>184</v>
      </c>
      <c r="F375" s="66" t="s">
        <v>592</v>
      </c>
      <c r="G375" s="65" t="str">
        <f t="shared" si="1"/>
        <v>MCC046UC0687</v>
      </c>
      <c r="H375" s="35" t="str">
        <f t="shared" si="2"/>
        <v>Saída</v>
      </c>
      <c r="I375" s="25" t="s">
        <v>241</v>
      </c>
    </row>
    <row r="376" hidden="1">
      <c r="A376" s="64">
        <v>45964.82791666667</v>
      </c>
      <c r="B376" s="66" t="s">
        <v>593</v>
      </c>
      <c r="C376" s="66" t="s">
        <v>400</v>
      </c>
      <c r="D376" s="67">
        <v>1.0</v>
      </c>
      <c r="E376" s="66" t="s">
        <v>180</v>
      </c>
      <c r="F376" s="66" t="s">
        <v>594</v>
      </c>
      <c r="G376" s="65" t="str">
        <f t="shared" si="1"/>
        <v>MCC046UC0520</v>
      </c>
      <c r="H376" s="35" t="str">
        <f t="shared" si="2"/>
        <v>Saída</v>
      </c>
      <c r="I376" s="25" t="s">
        <v>595</v>
      </c>
    </row>
    <row r="377" hidden="1">
      <c r="A377" s="64">
        <v>45964.82898148148</v>
      </c>
      <c r="B377" s="66" t="s">
        <v>593</v>
      </c>
      <c r="C377" s="66" t="s">
        <v>400</v>
      </c>
      <c r="D377" s="67">
        <v>1.0</v>
      </c>
      <c r="E377" s="66" t="s">
        <v>180</v>
      </c>
      <c r="F377" s="66" t="s">
        <v>596</v>
      </c>
      <c r="G377" s="65" t="str">
        <f t="shared" si="1"/>
        <v>MCC046UC0520</v>
      </c>
      <c r="H377" s="35" t="str">
        <f t="shared" si="2"/>
        <v>Saída</v>
      </c>
      <c r="I377" s="25" t="s">
        <v>595</v>
      </c>
    </row>
    <row r="378" hidden="1">
      <c r="A378" s="64">
        <v>45965.50003472222</v>
      </c>
      <c r="B378" s="66" t="s">
        <v>210</v>
      </c>
      <c r="C378" s="66" t="s">
        <v>245</v>
      </c>
      <c r="D378" s="67">
        <v>3.0</v>
      </c>
      <c r="E378" s="66" t="s">
        <v>183</v>
      </c>
      <c r="F378" s="66" t="s">
        <v>597</v>
      </c>
      <c r="G378" s="65" t="str">
        <f t="shared" si="1"/>
        <v>MCC015UC0008</v>
      </c>
      <c r="H378" s="35" t="str">
        <f t="shared" si="2"/>
        <v>Saída</v>
      </c>
      <c r="I378" s="25" t="s">
        <v>213</v>
      </c>
    </row>
    <row r="379" hidden="1">
      <c r="A379" s="64">
        <v>45965.62679398148</v>
      </c>
      <c r="B379" s="66" t="s">
        <v>210</v>
      </c>
      <c r="C379" s="66" t="s">
        <v>291</v>
      </c>
      <c r="D379" s="67">
        <v>6.0</v>
      </c>
      <c r="E379" s="66" t="s">
        <v>182</v>
      </c>
      <c r="F379" s="66" t="s">
        <v>486</v>
      </c>
      <c r="G379" s="65" t="str">
        <f t="shared" si="1"/>
        <v>MCC046UC0695</v>
      </c>
      <c r="H379" s="35" t="str">
        <f t="shared" si="2"/>
        <v>Saída</v>
      </c>
      <c r="I379" s="25" t="s">
        <v>213</v>
      </c>
    </row>
    <row r="380">
      <c r="A380" s="64">
        <v>45965.631898148145</v>
      </c>
      <c r="B380" s="66" t="s">
        <v>343</v>
      </c>
      <c r="C380" s="66" t="s">
        <v>224</v>
      </c>
      <c r="D380" s="67">
        <v>10.0</v>
      </c>
      <c r="E380" s="66" t="s">
        <v>180</v>
      </c>
      <c r="F380" s="66" t="s">
        <v>439</v>
      </c>
      <c r="G380" s="65" t="str">
        <f t="shared" si="1"/>
        <v>MCC015UC0045</v>
      </c>
      <c r="H380" s="35" t="str">
        <f t="shared" si="2"/>
        <v>Saída</v>
      </c>
      <c r="I380" s="25" t="s">
        <v>345</v>
      </c>
    </row>
    <row r="381" hidden="1">
      <c r="A381" s="64">
        <v>45965.77009259259</v>
      </c>
      <c r="B381" s="66" t="s">
        <v>232</v>
      </c>
      <c r="C381" s="66" t="s">
        <v>226</v>
      </c>
      <c r="D381" s="67">
        <v>1.0</v>
      </c>
      <c r="E381" s="66" t="s">
        <v>182</v>
      </c>
      <c r="F381" s="66" t="s">
        <v>467</v>
      </c>
      <c r="G381" s="65" t="str">
        <f t="shared" si="1"/>
        <v>MCC046UC0596</v>
      </c>
      <c r="H381" s="35" t="str">
        <f t="shared" si="2"/>
        <v>Saída</v>
      </c>
      <c r="I381" s="25" t="s">
        <v>234</v>
      </c>
    </row>
    <row r="382" hidden="1">
      <c r="A382" s="64">
        <v>45965.81512731482</v>
      </c>
      <c r="B382" s="66" t="s">
        <v>294</v>
      </c>
      <c r="C382" s="66" t="s">
        <v>255</v>
      </c>
      <c r="D382" s="67">
        <v>7.0</v>
      </c>
      <c r="E382" s="66" t="s">
        <v>184</v>
      </c>
      <c r="F382" s="66" t="s">
        <v>598</v>
      </c>
      <c r="G382" s="65" t="str">
        <f t="shared" si="1"/>
        <v>MCC046UC0215</v>
      </c>
      <c r="H382" s="35" t="str">
        <f t="shared" si="2"/>
        <v>Saída</v>
      </c>
      <c r="I382" s="25" t="s">
        <v>296</v>
      </c>
    </row>
    <row r="383" hidden="1">
      <c r="A383" s="64">
        <v>45965.83980324074</v>
      </c>
      <c r="B383" s="66" t="s">
        <v>297</v>
      </c>
      <c r="C383" s="66" t="s">
        <v>248</v>
      </c>
      <c r="D383" s="67">
        <v>1.0</v>
      </c>
      <c r="E383" s="66" t="s">
        <v>180</v>
      </c>
      <c r="F383" s="66" t="s">
        <v>599</v>
      </c>
      <c r="G383" s="65" t="str">
        <f t="shared" si="1"/>
        <v>MCC046UC0387</v>
      </c>
      <c r="H383" s="35" t="str">
        <f t="shared" si="2"/>
        <v>Saída</v>
      </c>
      <c r="I383" s="25" t="s">
        <v>300</v>
      </c>
    </row>
    <row r="384" hidden="1">
      <c r="A384" s="64">
        <v>45965.84059027778</v>
      </c>
      <c r="B384" s="66" t="s">
        <v>297</v>
      </c>
      <c r="C384" s="66" t="s">
        <v>218</v>
      </c>
      <c r="D384" s="67">
        <v>1.0</v>
      </c>
      <c r="E384" s="66" t="s">
        <v>180</v>
      </c>
      <c r="F384" s="66" t="s">
        <v>600</v>
      </c>
      <c r="G384" s="65" t="str">
        <f t="shared" si="1"/>
        <v>MCC046UC0398</v>
      </c>
      <c r="H384" s="35" t="str">
        <f t="shared" si="2"/>
        <v>Saída</v>
      </c>
      <c r="I384" s="25" t="s">
        <v>300</v>
      </c>
    </row>
    <row r="385" hidden="1">
      <c r="A385" s="64">
        <v>45965.87788194444</v>
      </c>
      <c r="B385" s="66" t="s">
        <v>297</v>
      </c>
      <c r="C385" s="66" t="s">
        <v>363</v>
      </c>
      <c r="D385" s="67">
        <v>2.0</v>
      </c>
      <c r="E385" s="66" t="s">
        <v>180</v>
      </c>
      <c r="F385" s="66" t="s">
        <v>601</v>
      </c>
      <c r="G385" s="65" t="str">
        <f t="shared" si="1"/>
        <v>MCC015UC0033</v>
      </c>
      <c r="H385" s="35" t="str">
        <f t="shared" si="2"/>
        <v>Saída</v>
      </c>
      <c r="I385" s="25" t="s">
        <v>300</v>
      </c>
    </row>
    <row r="386" hidden="1">
      <c r="A386" s="64">
        <v>45966.50246527778</v>
      </c>
      <c r="B386" s="66" t="s">
        <v>258</v>
      </c>
      <c r="C386" s="66" t="s">
        <v>242</v>
      </c>
      <c r="D386" s="67">
        <v>4.0</v>
      </c>
      <c r="E386" s="66" t="s">
        <v>184</v>
      </c>
      <c r="F386" s="66" t="s">
        <v>602</v>
      </c>
      <c r="G386" s="65" t="str">
        <f t="shared" si="1"/>
        <v>MCC046UC0687</v>
      </c>
      <c r="H386" s="35" t="str">
        <f t="shared" si="2"/>
        <v>Saída</v>
      </c>
      <c r="I386" s="25" t="s">
        <v>260</v>
      </c>
    </row>
    <row r="387" hidden="1">
      <c r="A387" s="64">
        <v>45966.50895833333</v>
      </c>
      <c r="B387" s="66" t="s">
        <v>401</v>
      </c>
      <c r="C387" s="66" t="s">
        <v>215</v>
      </c>
      <c r="D387" s="67">
        <v>1.0</v>
      </c>
      <c r="E387" s="66" t="s">
        <v>184</v>
      </c>
      <c r="F387" s="66" t="s">
        <v>603</v>
      </c>
      <c r="G387" s="65" t="str">
        <f t="shared" si="1"/>
        <v>MCC046UC0082</v>
      </c>
      <c r="H387" s="35" t="str">
        <f t="shared" si="2"/>
        <v>Saída</v>
      </c>
      <c r="I387" s="25" t="s">
        <v>403</v>
      </c>
    </row>
    <row r="388">
      <c r="A388" s="64">
        <v>45966.56037037037</v>
      </c>
      <c r="B388" s="66" t="s">
        <v>270</v>
      </c>
      <c r="C388" s="66" t="s">
        <v>224</v>
      </c>
      <c r="D388" s="67">
        <v>2.0</v>
      </c>
      <c r="E388" s="66" t="s">
        <v>180</v>
      </c>
      <c r="F388" s="66" t="s">
        <v>604</v>
      </c>
      <c r="G388" s="65" t="str">
        <f t="shared" si="1"/>
        <v>MCC015UC0045</v>
      </c>
      <c r="H388" s="35" t="str">
        <f t="shared" si="2"/>
        <v>Saída</v>
      </c>
      <c r="I388" s="25" t="s">
        <v>273</v>
      </c>
    </row>
    <row r="389" hidden="1">
      <c r="A389" s="64">
        <v>45966.57650462963</v>
      </c>
      <c r="B389" s="66" t="s">
        <v>239</v>
      </c>
      <c r="C389" s="66" t="s">
        <v>226</v>
      </c>
      <c r="D389" s="67">
        <v>2.0</v>
      </c>
      <c r="E389" s="66" t="s">
        <v>184</v>
      </c>
      <c r="F389" s="66" t="s">
        <v>605</v>
      </c>
      <c r="G389" s="65" t="str">
        <f t="shared" si="1"/>
        <v>MCC046UC0596</v>
      </c>
      <c r="H389" s="35" t="str">
        <f t="shared" si="2"/>
        <v>Saída</v>
      </c>
      <c r="I389" s="25" t="s">
        <v>241</v>
      </c>
    </row>
    <row r="390" hidden="1">
      <c r="A390" s="64">
        <v>45966.58542824074</v>
      </c>
      <c r="B390" s="66" t="s">
        <v>239</v>
      </c>
      <c r="C390" s="66" t="s">
        <v>261</v>
      </c>
      <c r="D390" s="67">
        <v>2.0</v>
      </c>
      <c r="E390" s="66" t="s">
        <v>184</v>
      </c>
      <c r="F390" s="66" t="s">
        <v>606</v>
      </c>
      <c r="G390" s="65" t="str">
        <f t="shared" si="1"/>
        <v>EMC015MO0001</v>
      </c>
      <c r="H390" s="35" t="str">
        <f t="shared" si="2"/>
        <v>Saída</v>
      </c>
      <c r="I390" s="25" t="s">
        <v>241</v>
      </c>
    </row>
    <row r="391" hidden="1">
      <c r="A391" s="64">
        <v>45966.59085648148</v>
      </c>
      <c r="B391" s="66" t="s">
        <v>258</v>
      </c>
      <c r="C391" s="66" t="s">
        <v>245</v>
      </c>
      <c r="D391" s="67">
        <v>2.0</v>
      </c>
      <c r="E391" s="66" t="s">
        <v>184</v>
      </c>
      <c r="F391" s="66" t="s">
        <v>607</v>
      </c>
      <c r="G391" s="65" t="str">
        <f t="shared" si="1"/>
        <v>MCC015UC0008</v>
      </c>
      <c r="H391" s="35" t="str">
        <f t="shared" si="2"/>
        <v>Saída</v>
      </c>
      <c r="I391" s="25" t="s">
        <v>260</v>
      </c>
    </row>
    <row r="392" hidden="1">
      <c r="A392" s="64">
        <v>45966.60795138889</v>
      </c>
      <c r="B392" s="66" t="s">
        <v>210</v>
      </c>
      <c r="C392" s="66" t="s">
        <v>291</v>
      </c>
      <c r="D392" s="67">
        <v>5.0</v>
      </c>
      <c r="E392" s="66" t="s">
        <v>182</v>
      </c>
      <c r="F392" s="66" t="s">
        <v>276</v>
      </c>
      <c r="G392" s="65" t="str">
        <f t="shared" si="1"/>
        <v>MCC046UC0695</v>
      </c>
      <c r="H392" s="35" t="str">
        <f t="shared" si="2"/>
        <v>Saída</v>
      </c>
      <c r="I392" s="25" t="s">
        <v>213</v>
      </c>
    </row>
    <row r="393" hidden="1">
      <c r="A393" s="64">
        <v>45966.60837962963</v>
      </c>
      <c r="B393" s="66" t="s">
        <v>210</v>
      </c>
      <c r="C393" s="66" t="s">
        <v>447</v>
      </c>
      <c r="D393" s="67">
        <v>5.0</v>
      </c>
      <c r="E393" s="66" t="s">
        <v>182</v>
      </c>
      <c r="F393" s="66" t="s">
        <v>266</v>
      </c>
      <c r="G393" s="65" t="str">
        <f t="shared" si="1"/>
        <v>EMC015MO0007</v>
      </c>
      <c r="H393" s="35" t="str">
        <f t="shared" si="2"/>
        <v>Saída</v>
      </c>
      <c r="I393" s="25" t="s">
        <v>213</v>
      </c>
    </row>
    <row r="394" hidden="1">
      <c r="A394" s="64">
        <v>45966.61210648148</v>
      </c>
      <c r="B394" s="66" t="s">
        <v>294</v>
      </c>
      <c r="C394" s="66" t="s">
        <v>447</v>
      </c>
      <c r="D394" s="67">
        <v>2.0</v>
      </c>
      <c r="E394" s="66" t="s">
        <v>184</v>
      </c>
      <c r="F394" s="66" t="s">
        <v>608</v>
      </c>
      <c r="G394" s="65" t="str">
        <f t="shared" si="1"/>
        <v>EMC015MO0007</v>
      </c>
      <c r="H394" s="35" t="str">
        <f t="shared" si="2"/>
        <v>Saída</v>
      </c>
      <c r="I394" s="25" t="s">
        <v>296</v>
      </c>
    </row>
    <row r="395">
      <c r="A395" s="64">
        <v>45966.61505787037</v>
      </c>
      <c r="B395" s="66" t="s">
        <v>210</v>
      </c>
      <c r="C395" s="66" t="s">
        <v>224</v>
      </c>
      <c r="D395" s="67">
        <v>24.0</v>
      </c>
      <c r="E395" s="66" t="s">
        <v>182</v>
      </c>
      <c r="F395" s="66" t="s">
        <v>276</v>
      </c>
      <c r="G395" s="65" t="str">
        <f t="shared" si="1"/>
        <v>MCC015UC0045</v>
      </c>
      <c r="H395" s="35" t="str">
        <f t="shared" si="2"/>
        <v>Saída</v>
      </c>
      <c r="I395" s="25" t="s">
        <v>213</v>
      </c>
    </row>
    <row r="396" hidden="1">
      <c r="A396" s="64">
        <v>45966.83086805556</v>
      </c>
      <c r="B396" s="66" t="s">
        <v>235</v>
      </c>
      <c r="C396" s="66" t="s">
        <v>255</v>
      </c>
      <c r="D396" s="67">
        <v>10.0</v>
      </c>
      <c r="E396" s="66" t="s">
        <v>184</v>
      </c>
      <c r="F396" s="66" t="s">
        <v>609</v>
      </c>
      <c r="G396" s="65" t="str">
        <f t="shared" si="1"/>
        <v>MCC046UC0215</v>
      </c>
      <c r="H396" s="35" t="str">
        <f t="shared" si="2"/>
        <v>Saída</v>
      </c>
      <c r="I396" s="25" t="s">
        <v>238</v>
      </c>
    </row>
    <row r="397" hidden="1">
      <c r="A397" s="64">
        <v>45966.923842592594</v>
      </c>
      <c r="B397" s="66" t="s">
        <v>258</v>
      </c>
      <c r="C397" s="66" t="s">
        <v>245</v>
      </c>
      <c r="D397" s="67">
        <v>4.0</v>
      </c>
      <c r="E397" s="66" t="s">
        <v>184</v>
      </c>
      <c r="F397" s="66" t="s">
        <v>610</v>
      </c>
      <c r="G397" s="65" t="str">
        <f t="shared" si="1"/>
        <v>MCC015UC0008</v>
      </c>
      <c r="H397" s="35" t="str">
        <f t="shared" si="2"/>
        <v>Saída</v>
      </c>
      <c r="I397" s="25" t="s">
        <v>260</v>
      </c>
    </row>
    <row r="398" hidden="1">
      <c r="A398" s="64">
        <v>45967.51359953704</v>
      </c>
      <c r="B398" s="66" t="s">
        <v>239</v>
      </c>
      <c r="C398" s="66" t="s">
        <v>245</v>
      </c>
      <c r="D398" s="67">
        <v>1.0</v>
      </c>
      <c r="E398" s="66" t="s">
        <v>184</v>
      </c>
      <c r="F398" s="66" t="s">
        <v>611</v>
      </c>
      <c r="G398" s="65" t="str">
        <f t="shared" si="1"/>
        <v>MCC015UC0008</v>
      </c>
      <c r="H398" s="35" t="str">
        <f t="shared" si="2"/>
        <v>Saída</v>
      </c>
      <c r="I398" s="25" t="s">
        <v>241</v>
      </c>
    </row>
    <row r="399" hidden="1">
      <c r="A399" s="64">
        <v>45967.5312037037</v>
      </c>
      <c r="B399" s="66" t="s">
        <v>612</v>
      </c>
      <c r="C399" s="66" t="s">
        <v>311</v>
      </c>
      <c r="D399" s="67">
        <v>1.0</v>
      </c>
      <c r="E399" s="66" t="s">
        <v>184</v>
      </c>
      <c r="F399" s="66" t="s">
        <v>613</v>
      </c>
      <c r="G399" s="65" t="str">
        <f t="shared" si="1"/>
        <v>MCC046UC0638</v>
      </c>
      <c r="H399" s="35" t="str">
        <f t="shared" si="2"/>
        <v>Saída</v>
      </c>
      <c r="I399" s="25" t="s">
        <v>614</v>
      </c>
    </row>
    <row r="400" hidden="1">
      <c r="A400" s="64">
        <v>45967.533530092594</v>
      </c>
      <c r="B400" s="66" t="s">
        <v>615</v>
      </c>
      <c r="C400" s="66" t="s">
        <v>245</v>
      </c>
      <c r="D400" s="67">
        <v>5.0</v>
      </c>
      <c r="E400" s="66" t="s">
        <v>184</v>
      </c>
      <c r="F400" s="66" t="s">
        <v>616</v>
      </c>
      <c r="G400" s="65" t="str">
        <f t="shared" si="1"/>
        <v>MCC015UC0008</v>
      </c>
      <c r="H400" s="35" t="str">
        <f t="shared" si="2"/>
        <v>Saída</v>
      </c>
      <c r="I400" s="25" t="s">
        <v>617</v>
      </c>
    </row>
    <row r="401" hidden="1">
      <c r="A401" s="64">
        <v>45967.56951388889</v>
      </c>
      <c r="B401" s="66" t="s">
        <v>359</v>
      </c>
      <c r="C401" s="66" t="s">
        <v>245</v>
      </c>
      <c r="D401" s="67">
        <v>10.0</v>
      </c>
      <c r="E401" s="66" t="s">
        <v>183</v>
      </c>
      <c r="F401" s="66" t="s">
        <v>618</v>
      </c>
      <c r="G401" s="65" t="str">
        <f t="shared" si="1"/>
        <v>MCC015UC0008</v>
      </c>
      <c r="H401" s="35" t="str">
        <f t="shared" si="2"/>
        <v>Saída</v>
      </c>
      <c r="I401" s="25" t="s">
        <v>362</v>
      </c>
    </row>
    <row r="402" hidden="1">
      <c r="A402" s="64">
        <v>45967.608877314815</v>
      </c>
      <c r="B402" s="66" t="s">
        <v>305</v>
      </c>
      <c r="C402" s="66" t="s">
        <v>221</v>
      </c>
      <c r="D402" s="67">
        <v>12.0</v>
      </c>
      <c r="E402" s="66" t="s">
        <v>184</v>
      </c>
      <c r="F402" s="66" t="s">
        <v>619</v>
      </c>
      <c r="G402" s="65" t="str">
        <f t="shared" si="1"/>
        <v>MCC049UC0600</v>
      </c>
      <c r="H402" s="35" t="str">
        <f t="shared" si="2"/>
        <v>Saída</v>
      </c>
      <c r="I402" s="25" t="s">
        <v>307</v>
      </c>
    </row>
    <row r="403">
      <c r="A403" s="64">
        <v>45967.60972222222</v>
      </c>
      <c r="B403" s="66" t="s">
        <v>305</v>
      </c>
      <c r="C403" s="66" t="s">
        <v>224</v>
      </c>
      <c r="D403" s="67">
        <v>24.0</v>
      </c>
      <c r="E403" s="66" t="s">
        <v>184</v>
      </c>
      <c r="F403" s="66" t="s">
        <v>619</v>
      </c>
      <c r="G403" s="65" t="str">
        <f t="shared" si="1"/>
        <v>MCC015UC0045</v>
      </c>
      <c r="H403" s="35" t="str">
        <f t="shared" si="2"/>
        <v>Saída</v>
      </c>
      <c r="I403" s="25" t="s">
        <v>307</v>
      </c>
    </row>
    <row r="404" hidden="1">
      <c r="A404" s="64">
        <v>45967.72541666667</v>
      </c>
      <c r="B404" s="66" t="s">
        <v>515</v>
      </c>
      <c r="C404" s="66" t="s">
        <v>245</v>
      </c>
      <c r="D404" s="67">
        <v>3.0</v>
      </c>
      <c r="E404" s="66" t="s">
        <v>183</v>
      </c>
      <c r="F404" s="66" t="s">
        <v>620</v>
      </c>
      <c r="G404" s="65" t="str">
        <f t="shared" si="1"/>
        <v>MCC015UC0008</v>
      </c>
      <c r="H404" s="35" t="str">
        <f t="shared" si="2"/>
        <v>Saída</v>
      </c>
      <c r="I404" s="25" t="s">
        <v>517</v>
      </c>
    </row>
    <row r="405" hidden="1">
      <c r="A405" s="64">
        <v>45967.859826388885</v>
      </c>
      <c r="B405" s="66" t="s">
        <v>239</v>
      </c>
      <c r="C405" s="66" t="s">
        <v>434</v>
      </c>
      <c r="D405" s="67">
        <v>1.0</v>
      </c>
      <c r="E405" s="66" t="s">
        <v>184</v>
      </c>
      <c r="F405" s="66" t="s">
        <v>621</v>
      </c>
      <c r="G405" s="65" t="str">
        <f t="shared" si="1"/>
        <v>MCC046UC0164</v>
      </c>
      <c r="H405" s="35" t="str">
        <f t="shared" si="2"/>
        <v>Saída</v>
      </c>
      <c r="I405" s="25" t="s">
        <v>241</v>
      </c>
    </row>
    <row r="406" hidden="1">
      <c r="A406" s="64">
        <v>45967.86011574074</v>
      </c>
      <c r="B406" s="66" t="s">
        <v>239</v>
      </c>
      <c r="C406" s="66" t="s">
        <v>250</v>
      </c>
      <c r="D406" s="67">
        <v>3.0</v>
      </c>
      <c r="E406" s="66" t="s">
        <v>184</v>
      </c>
      <c r="F406" s="66" t="s">
        <v>622</v>
      </c>
      <c r="G406" s="65" t="str">
        <f t="shared" si="1"/>
        <v>MCC046UC0526</v>
      </c>
      <c r="H406" s="35" t="str">
        <f t="shared" si="2"/>
        <v>Saída</v>
      </c>
      <c r="I406" s="25" t="s">
        <v>241</v>
      </c>
    </row>
    <row r="407" hidden="1">
      <c r="A407" s="64">
        <v>45968.55248842593</v>
      </c>
      <c r="B407" s="66" t="s">
        <v>455</v>
      </c>
      <c r="C407" s="66" t="s">
        <v>360</v>
      </c>
      <c r="D407" s="67">
        <v>1.0</v>
      </c>
      <c r="E407" s="66" t="s">
        <v>184</v>
      </c>
      <c r="F407" s="66" t="s">
        <v>623</v>
      </c>
      <c r="G407" s="65" t="str">
        <f t="shared" si="1"/>
        <v>MCC049UC0288</v>
      </c>
      <c r="H407" s="35" t="str">
        <f t="shared" si="2"/>
        <v>Saída</v>
      </c>
      <c r="I407" s="25" t="s">
        <v>457</v>
      </c>
    </row>
    <row r="408">
      <c r="A408" s="64">
        <v>45968.55546296296</v>
      </c>
      <c r="B408" s="66" t="s">
        <v>270</v>
      </c>
      <c r="C408" s="66" t="s">
        <v>224</v>
      </c>
      <c r="D408" s="67">
        <v>3.0</v>
      </c>
      <c r="E408" s="66" t="s">
        <v>180</v>
      </c>
      <c r="F408" s="66" t="s">
        <v>624</v>
      </c>
      <c r="G408" s="65" t="str">
        <f t="shared" si="1"/>
        <v>MCC015UC0045</v>
      </c>
      <c r="H408" s="35" t="str">
        <f t="shared" si="2"/>
        <v>Saída</v>
      </c>
      <c r="I408" s="25" t="s">
        <v>273</v>
      </c>
    </row>
    <row r="409" hidden="1">
      <c r="A409" s="64">
        <v>45968.57099537037</v>
      </c>
      <c r="B409" s="66" t="s">
        <v>210</v>
      </c>
      <c r="C409" s="66" t="s">
        <v>291</v>
      </c>
      <c r="D409" s="67">
        <v>5.0</v>
      </c>
      <c r="E409" s="66" t="s">
        <v>182</v>
      </c>
      <c r="F409" s="66" t="s">
        <v>276</v>
      </c>
      <c r="G409" s="65" t="str">
        <f t="shared" si="1"/>
        <v>MCC046UC0695</v>
      </c>
      <c r="H409" s="35" t="str">
        <f t="shared" si="2"/>
        <v>Saída</v>
      </c>
      <c r="I409" s="25" t="s">
        <v>213</v>
      </c>
    </row>
    <row r="410" hidden="1">
      <c r="A410" s="64">
        <v>45968.627858796295</v>
      </c>
      <c r="B410" s="66" t="s">
        <v>343</v>
      </c>
      <c r="C410" s="66" t="s">
        <v>245</v>
      </c>
      <c r="D410" s="67">
        <v>50.0</v>
      </c>
      <c r="E410" s="66" t="s">
        <v>180</v>
      </c>
      <c r="F410" s="66" t="s">
        <v>625</v>
      </c>
      <c r="G410" s="65" t="str">
        <f t="shared" si="1"/>
        <v>MCC015UC0008</v>
      </c>
      <c r="H410" s="35" t="str">
        <f t="shared" si="2"/>
        <v>Saída</v>
      </c>
      <c r="I410" s="25" t="s">
        <v>345</v>
      </c>
    </row>
    <row r="411" hidden="1">
      <c r="A411" s="64">
        <v>45968.628287037034</v>
      </c>
      <c r="B411" s="66" t="s">
        <v>203</v>
      </c>
      <c r="C411" s="66" t="s">
        <v>263</v>
      </c>
      <c r="D411" s="67">
        <v>1.0</v>
      </c>
      <c r="E411" s="66" t="s">
        <v>182</v>
      </c>
      <c r="F411" s="66" t="s">
        <v>626</v>
      </c>
      <c r="G411" s="65" t="str">
        <f t="shared" si="1"/>
        <v>MCC015UC0038</v>
      </c>
      <c r="H411" s="35" t="str">
        <f t="shared" si="2"/>
        <v>Saída</v>
      </c>
      <c r="I411" s="25" t="s">
        <v>205</v>
      </c>
    </row>
    <row r="412" hidden="1">
      <c r="A412" s="64">
        <v>45968.70196759259</v>
      </c>
      <c r="B412" s="66" t="s">
        <v>235</v>
      </c>
      <c r="C412" s="66" t="s">
        <v>410</v>
      </c>
      <c r="D412" s="67">
        <v>2.0</v>
      </c>
      <c r="E412" s="66" t="s">
        <v>184</v>
      </c>
      <c r="F412" s="66" t="s">
        <v>627</v>
      </c>
      <c r="G412" s="65" t="str">
        <f t="shared" si="1"/>
        <v>MCC049UC0604</v>
      </c>
      <c r="H412" s="35" t="str">
        <f t="shared" si="2"/>
        <v>Saída</v>
      </c>
      <c r="I412" s="25" t="s">
        <v>238</v>
      </c>
    </row>
    <row r="413" hidden="1">
      <c r="A413" s="64">
        <v>45968.7969212963</v>
      </c>
      <c r="B413" s="66" t="s">
        <v>455</v>
      </c>
      <c r="C413" s="66" t="s">
        <v>372</v>
      </c>
      <c r="D413" s="67">
        <v>5.0</v>
      </c>
      <c r="E413" s="66" t="s">
        <v>184</v>
      </c>
      <c r="F413" s="66" t="s">
        <v>628</v>
      </c>
      <c r="G413" s="65" t="str">
        <f t="shared" si="1"/>
        <v>MCC046UC0549</v>
      </c>
      <c r="H413" s="35" t="str">
        <f t="shared" si="2"/>
        <v>Saída</v>
      </c>
      <c r="I413" s="25" t="s">
        <v>457</v>
      </c>
    </row>
    <row r="414" hidden="1">
      <c r="A414" s="64">
        <v>45969.49162037037</v>
      </c>
      <c r="B414" s="66" t="s">
        <v>305</v>
      </c>
      <c r="C414" s="66" t="s">
        <v>226</v>
      </c>
      <c r="D414" s="67">
        <v>8.0</v>
      </c>
      <c r="E414" s="66" t="s">
        <v>184</v>
      </c>
      <c r="F414" s="66" t="s">
        <v>619</v>
      </c>
      <c r="G414" s="65" t="str">
        <f t="shared" si="1"/>
        <v>MCC046UC0596</v>
      </c>
      <c r="H414" s="35" t="str">
        <f t="shared" si="2"/>
        <v>Saída</v>
      </c>
      <c r="I414" s="25" t="s">
        <v>307</v>
      </c>
    </row>
    <row r="415" hidden="1">
      <c r="A415" s="64">
        <v>45969.50546296296</v>
      </c>
      <c r="B415" s="66" t="s">
        <v>305</v>
      </c>
      <c r="C415" s="66" t="s">
        <v>242</v>
      </c>
      <c r="D415" s="67">
        <v>8.0</v>
      </c>
      <c r="E415" s="66" t="s">
        <v>184</v>
      </c>
      <c r="F415" s="66" t="s">
        <v>619</v>
      </c>
      <c r="G415" s="65" t="str">
        <f t="shared" si="1"/>
        <v>MCC046UC0687</v>
      </c>
      <c r="H415" s="35" t="str">
        <f t="shared" si="2"/>
        <v>Saída</v>
      </c>
      <c r="I415" s="25" t="s">
        <v>307</v>
      </c>
    </row>
    <row r="416" hidden="1">
      <c r="A416" s="64">
        <v>45969.52751157407</v>
      </c>
      <c r="B416" s="66" t="s">
        <v>359</v>
      </c>
      <c r="C416" s="66" t="s">
        <v>245</v>
      </c>
      <c r="D416" s="67">
        <v>10.0</v>
      </c>
      <c r="E416" s="66" t="s">
        <v>183</v>
      </c>
      <c r="F416" s="66" t="s">
        <v>629</v>
      </c>
      <c r="G416" s="65" t="str">
        <f t="shared" si="1"/>
        <v>MCC015UC0008</v>
      </c>
      <c r="H416" s="35" t="str">
        <f t="shared" si="2"/>
        <v>Saída</v>
      </c>
      <c r="I416" s="25" t="s">
        <v>362</v>
      </c>
    </row>
    <row r="417">
      <c r="A417" s="64">
        <v>45969.591203703705</v>
      </c>
      <c r="B417" s="66" t="s">
        <v>244</v>
      </c>
      <c r="C417" s="66" t="s">
        <v>224</v>
      </c>
      <c r="D417" s="67">
        <v>1.0</v>
      </c>
      <c r="E417" s="66" t="s">
        <v>183</v>
      </c>
      <c r="F417" s="66" t="s">
        <v>630</v>
      </c>
      <c r="G417" s="65" t="str">
        <f t="shared" si="1"/>
        <v>MCC015UC0045</v>
      </c>
      <c r="H417" s="35" t="str">
        <f t="shared" si="2"/>
        <v>Saída</v>
      </c>
      <c r="I417" s="25" t="s">
        <v>247</v>
      </c>
    </row>
    <row r="418" hidden="1">
      <c r="A418" s="64">
        <v>45971.508877314816</v>
      </c>
      <c r="B418" s="66" t="s">
        <v>297</v>
      </c>
      <c r="C418" s="66" t="s">
        <v>245</v>
      </c>
      <c r="D418" s="67">
        <v>6.0</v>
      </c>
      <c r="E418" s="66" t="s">
        <v>180</v>
      </c>
      <c r="F418" s="66" t="s">
        <v>631</v>
      </c>
      <c r="G418" s="65" t="str">
        <f t="shared" si="1"/>
        <v>MCC015UC0008</v>
      </c>
      <c r="H418" s="35" t="str">
        <f t="shared" si="2"/>
        <v>Saída</v>
      </c>
      <c r="I418" s="25" t="s">
        <v>300</v>
      </c>
    </row>
    <row r="419" hidden="1">
      <c r="A419" s="64">
        <v>45971.707280092596</v>
      </c>
      <c r="B419" s="66" t="s">
        <v>210</v>
      </c>
      <c r="C419" s="66" t="s">
        <v>263</v>
      </c>
      <c r="D419" s="67">
        <v>1.0</v>
      </c>
      <c r="E419" s="66" t="s">
        <v>182</v>
      </c>
      <c r="F419" s="66" t="s">
        <v>276</v>
      </c>
      <c r="G419" s="65" t="str">
        <f t="shared" si="1"/>
        <v>MCC015UC0038</v>
      </c>
      <c r="H419" s="35" t="str">
        <f t="shared" si="2"/>
        <v>Saída</v>
      </c>
      <c r="I419" s="25" t="s">
        <v>213</v>
      </c>
    </row>
    <row r="420">
      <c r="A420" s="64">
        <v>45971.719293981485</v>
      </c>
      <c r="B420" s="66" t="s">
        <v>455</v>
      </c>
      <c r="C420" s="66" t="s">
        <v>224</v>
      </c>
      <c r="D420" s="67">
        <v>25.0</v>
      </c>
      <c r="E420" s="66" t="s">
        <v>184</v>
      </c>
      <c r="F420" s="66" t="s">
        <v>632</v>
      </c>
      <c r="G420" s="65" t="str">
        <f t="shared" si="1"/>
        <v>MCC015UC0045</v>
      </c>
      <c r="H420" s="35" t="str">
        <f t="shared" si="2"/>
        <v>Saída</v>
      </c>
      <c r="I420" s="25" t="s">
        <v>457</v>
      </c>
    </row>
    <row r="421">
      <c r="A421" s="64">
        <v>45972.49630787037</v>
      </c>
      <c r="B421" s="66" t="s">
        <v>302</v>
      </c>
      <c r="C421" s="66" t="s">
        <v>224</v>
      </c>
      <c r="D421" s="67">
        <v>5.0</v>
      </c>
      <c r="E421" s="66" t="s">
        <v>180</v>
      </c>
      <c r="F421" s="66" t="s">
        <v>540</v>
      </c>
      <c r="G421" s="65" t="str">
        <f t="shared" si="1"/>
        <v>MCC015UC0045</v>
      </c>
      <c r="H421" s="35" t="str">
        <f t="shared" si="2"/>
        <v>Saída</v>
      </c>
      <c r="I421" s="25" t="s">
        <v>304</v>
      </c>
    </row>
    <row r="422">
      <c r="A422" s="64">
        <v>45972.509780092594</v>
      </c>
      <c r="B422" s="66" t="s">
        <v>270</v>
      </c>
      <c r="C422" s="66" t="s">
        <v>224</v>
      </c>
      <c r="D422" s="67">
        <v>3.0</v>
      </c>
      <c r="E422" s="66" t="s">
        <v>180</v>
      </c>
      <c r="F422" s="66" t="s">
        <v>633</v>
      </c>
      <c r="G422" s="65" t="str">
        <f t="shared" si="1"/>
        <v>MCC015UC0045</v>
      </c>
      <c r="H422" s="35" t="str">
        <f t="shared" si="2"/>
        <v>Saída</v>
      </c>
      <c r="I422" s="25" t="s">
        <v>273</v>
      </c>
    </row>
    <row r="423" hidden="1">
      <c r="A423" s="64">
        <v>45972.51866898148</v>
      </c>
      <c r="B423" s="66" t="s">
        <v>239</v>
      </c>
      <c r="C423" s="66" t="s">
        <v>215</v>
      </c>
      <c r="D423" s="67">
        <v>1.0</v>
      </c>
      <c r="E423" s="66" t="s">
        <v>184</v>
      </c>
      <c r="F423" s="66" t="s">
        <v>634</v>
      </c>
      <c r="G423" s="65" t="str">
        <f t="shared" si="1"/>
        <v>MCC046UC0082</v>
      </c>
      <c r="H423" s="35" t="str">
        <f t="shared" si="2"/>
        <v>Saída</v>
      </c>
      <c r="I423" s="25" t="s">
        <v>241</v>
      </c>
    </row>
    <row r="424" hidden="1">
      <c r="A424" s="64">
        <v>45972.53925925926</v>
      </c>
      <c r="B424" s="66" t="s">
        <v>343</v>
      </c>
      <c r="C424" s="66" t="s">
        <v>215</v>
      </c>
      <c r="D424" s="67">
        <v>2.0</v>
      </c>
      <c r="E424" s="66" t="s">
        <v>180</v>
      </c>
      <c r="F424" s="66" t="s">
        <v>491</v>
      </c>
      <c r="G424" s="65" t="str">
        <f t="shared" si="1"/>
        <v>MCC046UC0082</v>
      </c>
      <c r="H424" s="35" t="str">
        <f t="shared" si="2"/>
        <v>Saída</v>
      </c>
      <c r="I424" s="25" t="s">
        <v>345</v>
      </c>
    </row>
    <row r="425" hidden="1">
      <c r="A425" s="64">
        <v>45972.75994212963</v>
      </c>
      <c r="B425" s="66" t="s">
        <v>210</v>
      </c>
      <c r="C425" s="66" t="s">
        <v>291</v>
      </c>
      <c r="D425" s="67">
        <v>6.0</v>
      </c>
      <c r="E425" s="66" t="s">
        <v>182</v>
      </c>
      <c r="F425" s="66" t="s">
        <v>281</v>
      </c>
      <c r="G425" s="65" t="str">
        <f t="shared" si="1"/>
        <v>MCC046UC0695</v>
      </c>
      <c r="H425" s="35" t="str">
        <f t="shared" si="2"/>
        <v>Saída</v>
      </c>
      <c r="I425" s="25" t="s">
        <v>213</v>
      </c>
    </row>
    <row r="426" hidden="1">
      <c r="A426" s="64">
        <v>45973.48297453704</v>
      </c>
      <c r="B426" s="66" t="s">
        <v>297</v>
      </c>
      <c r="C426" s="66" t="s">
        <v>245</v>
      </c>
      <c r="D426" s="67">
        <v>4.0</v>
      </c>
      <c r="E426" s="66" t="s">
        <v>180</v>
      </c>
      <c r="F426" s="66" t="s">
        <v>635</v>
      </c>
      <c r="G426" s="65" t="str">
        <f t="shared" si="1"/>
        <v>MCC015UC0008</v>
      </c>
      <c r="H426" s="35" t="str">
        <f t="shared" si="2"/>
        <v>Saída</v>
      </c>
      <c r="I426" s="25" t="s">
        <v>300</v>
      </c>
    </row>
    <row r="427" hidden="1">
      <c r="A427" s="64">
        <v>45973.51047453703</v>
      </c>
      <c r="B427" s="66" t="s">
        <v>302</v>
      </c>
      <c r="C427" s="66" t="s">
        <v>215</v>
      </c>
      <c r="D427" s="67">
        <v>2.0</v>
      </c>
      <c r="E427" s="66" t="s">
        <v>180</v>
      </c>
      <c r="F427" s="66" t="s">
        <v>636</v>
      </c>
      <c r="G427" s="65" t="str">
        <f t="shared" si="1"/>
        <v>MCC046UC0082</v>
      </c>
      <c r="H427" s="35" t="str">
        <f t="shared" si="2"/>
        <v>Saída</v>
      </c>
      <c r="I427" s="25" t="s">
        <v>304</v>
      </c>
    </row>
    <row r="428" hidden="1">
      <c r="A428" s="64">
        <v>45973.51773148148</v>
      </c>
      <c r="B428" s="66" t="s">
        <v>302</v>
      </c>
      <c r="C428" s="66" t="s">
        <v>245</v>
      </c>
      <c r="D428" s="67">
        <v>10.0</v>
      </c>
      <c r="E428" s="66" t="s">
        <v>180</v>
      </c>
      <c r="F428" s="66" t="s">
        <v>637</v>
      </c>
      <c r="G428" s="65" t="str">
        <f t="shared" si="1"/>
        <v>MCC015UC0008</v>
      </c>
      <c r="H428" s="35" t="str">
        <f t="shared" si="2"/>
        <v>Saída</v>
      </c>
      <c r="I428" s="25" t="s">
        <v>304</v>
      </c>
    </row>
    <row r="429" hidden="1">
      <c r="A429" s="64">
        <v>45973.536770833336</v>
      </c>
      <c r="B429" s="66" t="s">
        <v>210</v>
      </c>
      <c r="C429" s="66" t="s">
        <v>291</v>
      </c>
      <c r="D429" s="67">
        <v>6.0</v>
      </c>
      <c r="E429" s="66" t="s">
        <v>182</v>
      </c>
      <c r="F429" s="66" t="s">
        <v>276</v>
      </c>
      <c r="G429" s="65" t="str">
        <f t="shared" si="1"/>
        <v>MCC046UC0695</v>
      </c>
      <c r="H429" s="35" t="str">
        <f t="shared" si="2"/>
        <v>Saída</v>
      </c>
      <c r="I429" s="25" t="s">
        <v>213</v>
      </c>
    </row>
    <row r="430" hidden="1">
      <c r="A430" s="64">
        <v>45973.53729166667</v>
      </c>
      <c r="B430" s="66" t="s">
        <v>210</v>
      </c>
      <c r="C430" s="66" t="s">
        <v>447</v>
      </c>
      <c r="D430" s="67">
        <v>5.0</v>
      </c>
      <c r="E430" s="66" t="s">
        <v>182</v>
      </c>
      <c r="F430" s="66" t="s">
        <v>276</v>
      </c>
      <c r="G430" s="65" t="str">
        <f t="shared" si="1"/>
        <v>EMC015MO0007</v>
      </c>
      <c r="H430" s="35" t="str">
        <f t="shared" si="2"/>
        <v>Saída</v>
      </c>
      <c r="I430" s="25" t="s">
        <v>213</v>
      </c>
    </row>
    <row r="431" hidden="1">
      <c r="A431" s="64">
        <v>45973.56211805555</v>
      </c>
      <c r="B431" s="66" t="s">
        <v>232</v>
      </c>
      <c r="C431" s="66" t="s">
        <v>255</v>
      </c>
      <c r="D431" s="67">
        <v>2.0</v>
      </c>
      <c r="E431" s="66" t="s">
        <v>183</v>
      </c>
      <c r="F431" s="66" t="s">
        <v>638</v>
      </c>
      <c r="G431" s="65" t="str">
        <f t="shared" si="1"/>
        <v>MCC046UC0215</v>
      </c>
      <c r="H431" s="35" t="str">
        <f t="shared" si="2"/>
        <v>Saída</v>
      </c>
      <c r="I431" s="25" t="s">
        <v>234</v>
      </c>
    </row>
    <row r="432" hidden="1">
      <c r="A432" s="64">
        <v>45973.56396990741</v>
      </c>
      <c r="B432" s="66" t="s">
        <v>366</v>
      </c>
      <c r="C432" s="66" t="s">
        <v>245</v>
      </c>
      <c r="D432" s="67">
        <v>6.0</v>
      </c>
      <c r="E432" s="66" t="s">
        <v>181</v>
      </c>
      <c r="F432" s="66" t="s">
        <v>545</v>
      </c>
      <c r="G432" s="65" t="str">
        <f t="shared" si="1"/>
        <v>MCC015UC0008</v>
      </c>
      <c r="H432" s="35" t="str">
        <f t="shared" si="2"/>
        <v>Saída</v>
      </c>
      <c r="I432" s="25" t="s">
        <v>368</v>
      </c>
    </row>
    <row r="433">
      <c r="A433" s="64">
        <v>45973.60241898148</v>
      </c>
      <c r="B433" s="66" t="s">
        <v>210</v>
      </c>
      <c r="C433" s="66" t="s">
        <v>224</v>
      </c>
      <c r="D433" s="67">
        <v>24.0</v>
      </c>
      <c r="E433" s="66" t="s">
        <v>182</v>
      </c>
      <c r="F433" s="66" t="s">
        <v>639</v>
      </c>
      <c r="G433" s="65" t="str">
        <f t="shared" si="1"/>
        <v>MCC015UC0045</v>
      </c>
      <c r="H433" s="35" t="str">
        <f t="shared" si="2"/>
        <v>Saída</v>
      </c>
      <c r="I433" s="25" t="s">
        <v>213</v>
      </c>
    </row>
    <row r="434">
      <c r="A434" s="64">
        <v>45973.60451388889</v>
      </c>
      <c r="B434" s="66" t="s">
        <v>235</v>
      </c>
      <c r="C434" s="66" t="s">
        <v>224</v>
      </c>
      <c r="D434" s="67">
        <v>24.0</v>
      </c>
      <c r="E434" s="66" t="s">
        <v>184</v>
      </c>
      <c r="F434" s="66" t="s">
        <v>640</v>
      </c>
      <c r="G434" s="65" t="str">
        <f t="shared" si="1"/>
        <v>MCC015UC0045</v>
      </c>
      <c r="H434" s="35" t="str">
        <f t="shared" si="2"/>
        <v>Saída</v>
      </c>
      <c r="I434" s="25" t="s">
        <v>238</v>
      </c>
    </row>
    <row r="435" hidden="1">
      <c r="A435" s="64">
        <v>45973.74875</v>
      </c>
      <c r="B435" s="66" t="s">
        <v>210</v>
      </c>
      <c r="C435" s="66" t="s">
        <v>227</v>
      </c>
      <c r="D435" s="67">
        <v>1.0</v>
      </c>
      <c r="E435" s="66" t="s">
        <v>182</v>
      </c>
      <c r="F435" s="66" t="s">
        <v>276</v>
      </c>
      <c r="G435" s="65" t="str">
        <f t="shared" si="1"/>
        <v>MCC046UC0668</v>
      </c>
      <c r="H435" s="35" t="str">
        <f t="shared" si="2"/>
        <v>Saída</v>
      </c>
      <c r="I435" s="25" t="s">
        <v>213</v>
      </c>
    </row>
    <row r="436" hidden="1">
      <c r="A436" s="64">
        <v>45974.443020833336</v>
      </c>
      <c r="B436" s="66" t="s">
        <v>206</v>
      </c>
      <c r="C436" s="66" t="s">
        <v>298</v>
      </c>
      <c r="D436" s="67">
        <v>1.0</v>
      </c>
      <c r="E436" s="66" t="s">
        <v>181</v>
      </c>
      <c r="F436" s="66" t="s">
        <v>641</v>
      </c>
      <c r="G436" s="65" t="str">
        <f t="shared" si="1"/>
        <v>MCC046UC0639</v>
      </c>
      <c r="H436" s="35" t="str">
        <f t="shared" si="2"/>
        <v>Saída</v>
      </c>
      <c r="I436" s="25" t="s">
        <v>209</v>
      </c>
    </row>
    <row r="437" hidden="1">
      <c r="A437" s="64">
        <v>45974.474490740744</v>
      </c>
      <c r="B437" s="66" t="s">
        <v>401</v>
      </c>
      <c r="C437" s="66" t="s">
        <v>255</v>
      </c>
      <c r="D437" s="67">
        <v>10.0</v>
      </c>
      <c r="E437" s="66" t="s">
        <v>184</v>
      </c>
      <c r="F437" s="66" t="s">
        <v>642</v>
      </c>
      <c r="G437" s="65" t="str">
        <f t="shared" si="1"/>
        <v>MCC046UC0215</v>
      </c>
      <c r="H437" s="35" t="str">
        <f t="shared" si="2"/>
        <v>Saída</v>
      </c>
      <c r="I437" s="25" t="s">
        <v>403</v>
      </c>
    </row>
    <row r="438" hidden="1">
      <c r="A438" s="64">
        <v>45974.48337962963</v>
      </c>
      <c r="B438" s="66" t="s">
        <v>210</v>
      </c>
      <c r="C438" s="66" t="s">
        <v>263</v>
      </c>
      <c r="D438" s="67">
        <v>1.0</v>
      </c>
      <c r="E438" s="66" t="s">
        <v>182</v>
      </c>
      <c r="F438" s="66" t="s">
        <v>643</v>
      </c>
      <c r="G438" s="65" t="str">
        <f t="shared" si="1"/>
        <v>MCC015UC0038</v>
      </c>
      <c r="H438" s="35" t="str">
        <f t="shared" si="2"/>
        <v>Saída</v>
      </c>
      <c r="I438" s="25" t="s">
        <v>213</v>
      </c>
    </row>
    <row r="439" hidden="1">
      <c r="A439" s="64">
        <v>45974.61620370371</v>
      </c>
      <c r="B439" s="66" t="s">
        <v>455</v>
      </c>
      <c r="C439" s="66" t="s">
        <v>360</v>
      </c>
      <c r="D439" s="67">
        <v>5.0</v>
      </c>
      <c r="E439" s="66" t="s">
        <v>184</v>
      </c>
      <c r="F439" s="66" t="s">
        <v>644</v>
      </c>
      <c r="G439" s="65" t="str">
        <f t="shared" si="1"/>
        <v>MCC049UC0288</v>
      </c>
      <c r="H439" s="35" t="str">
        <f t="shared" si="2"/>
        <v>Saída</v>
      </c>
      <c r="I439" s="25" t="s">
        <v>457</v>
      </c>
    </row>
    <row r="440" hidden="1">
      <c r="A440" s="64">
        <v>45974.7215162037</v>
      </c>
      <c r="B440" s="66" t="s">
        <v>376</v>
      </c>
      <c r="C440" s="66" t="s">
        <v>645</v>
      </c>
      <c r="D440" s="67">
        <v>10.0</v>
      </c>
      <c r="E440" s="66" t="s">
        <v>184</v>
      </c>
      <c r="F440" s="66" t="s">
        <v>646</v>
      </c>
      <c r="G440" s="65" t="str">
        <f t="shared" si="1"/>
        <v>MCC046UC0210</v>
      </c>
      <c r="H440" s="35" t="str">
        <f t="shared" si="2"/>
        <v>Saída</v>
      </c>
      <c r="I440" s="25" t="s">
        <v>379</v>
      </c>
    </row>
    <row r="441" hidden="1">
      <c r="A441" s="64">
        <v>45974.73303240741</v>
      </c>
      <c r="B441" s="66" t="s">
        <v>210</v>
      </c>
      <c r="C441" s="66" t="s">
        <v>319</v>
      </c>
      <c r="D441" s="67">
        <v>1.0</v>
      </c>
      <c r="E441" s="66" t="s">
        <v>183</v>
      </c>
      <c r="F441" s="66" t="s">
        <v>647</v>
      </c>
      <c r="G441" s="65" t="str">
        <f t="shared" si="1"/>
        <v>MCC049UC0610</v>
      </c>
      <c r="H441" s="35" t="str">
        <f t="shared" si="2"/>
        <v>Saída</v>
      </c>
      <c r="I441" s="25" t="s">
        <v>213</v>
      </c>
    </row>
    <row r="442" hidden="1">
      <c r="A442" s="64">
        <v>45974.734305555554</v>
      </c>
      <c r="B442" s="66" t="s">
        <v>210</v>
      </c>
      <c r="C442" s="66" t="s">
        <v>346</v>
      </c>
      <c r="D442" s="67">
        <v>1.0</v>
      </c>
      <c r="E442" s="66" t="s">
        <v>182</v>
      </c>
      <c r="F442" s="66" t="s">
        <v>639</v>
      </c>
      <c r="G442" s="65" t="str">
        <f t="shared" si="1"/>
        <v>MCC049UC0603</v>
      </c>
      <c r="H442" s="35" t="str">
        <f t="shared" si="2"/>
        <v>Saída</v>
      </c>
      <c r="I442" s="25" t="s">
        <v>213</v>
      </c>
    </row>
    <row r="443" hidden="1">
      <c r="A443" s="64">
        <v>45974.74428240741</v>
      </c>
      <c r="B443" s="66" t="s">
        <v>297</v>
      </c>
      <c r="C443" s="66" t="s">
        <v>245</v>
      </c>
      <c r="D443" s="67">
        <v>10.0</v>
      </c>
      <c r="E443" s="66" t="s">
        <v>180</v>
      </c>
      <c r="F443" s="66" t="s">
        <v>648</v>
      </c>
      <c r="G443" s="65" t="str">
        <f t="shared" si="1"/>
        <v>MCC015UC0008</v>
      </c>
      <c r="H443" s="35" t="str">
        <f t="shared" si="2"/>
        <v>Saída</v>
      </c>
      <c r="I443" s="25" t="s">
        <v>300</v>
      </c>
    </row>
    <row r="444" hidden="1">
      <c r="A444" s="64">
        <v>45974.84349537037</v>
      </c>
      <c r="B444" s="66" t="s">
        <v>297</v>
      </c>
      <c r="C444" s="66" t="s">
        <v>474</v>
      </c>
      <c r="D444" s="67">
        <v>1.0</v>
      </c>
      <c r="E444" s="66" t="s">
        <v>180</v>
      </c>
      <c r="F444" s="66" t="s">
        <v>649</v>
      </c>
      <c r="G444" s="65" t="str">
        <f t="shared" si="1"/>
        <v>MCC046UC0525</v>
      </c>
      <c r="H444" s="35" t="str">
        <f t="shared" si="2"/>
        <v>Saída</v>
      </c>
      <c r="I444" s="25" t="s">
        <v>300</v>
      </c>
    </row>
    <row r="445" hidden="1">
      <c r="A445" s="64">
        <v>45974.84378472222</v>
      </c>
      <c r="B445" s="66" t="s">
        <v>297</v>
      </c>
      <c r="C445" s="66" t="s">
        <v>437</v>
      </c>
      <c r="D445" s="67">
        <v>1.0</v>
      </c>
      <c r="E445" s="66" t="s">
        <v>180</v>
      </c>
      <c r="F445" s="66" t="s">
        <v>436</v>
      </c>
      <c r="G445" s="65" t="str">
        <f t="shared" si="1"/>
        <v>MCC046UC0675</v>
      </c>
      <c r="H445" s="35" t="str">
        <f t="shared" si="2"/>
        <v>Saída</v>
      </c>
      <c r="I445" s="25" t="s">
        <v>300</v>
      </c>
    </row>
    <row r="446" hidden="1">
      <c r="A446" s="64">
        <v>45974.84527777778</v>
      </c>
      <c r="B446" s="66" t="s">
        <v>297</v>
      </c>
      <c r="C446" s="66" t="s">
        <v>650</v>
      </c>
      <c r="D446" s="67">
        <v>1.0</v>
      </c>
      <c r="E446" s="66" t="s">
        <v>180</v>
      </c>
      <c r="F446" s="66" t="s">
        <v>651</v>
      </c>
      <c r="G446" s="65" t="str">
        <f t="shared" si="1"/>
        <v>MCC046UC0224</v>
      </c>
      <c r="H446" s="35" t="str">
        <f t="shared" si="2"/>
        <v>Saída</v>
      </c>
      <c r="I446" s="25" t="s">
        <v>300</v>
      </c>
    </row>
    <row r="447" hidden="1">
      <c r="A447" s="64">
        <v>45975.469143518516</v>
      </c>
      <c r="B447" s="66" t="s">
        <v>652</v>
      </c>
      <c r="C447" s="66" t="s">
        <v>311</v>
      </c>
      <c r="D447" s="67">
        <v>-2.0</v>
      </c>
      <c r="E447" s="66" t="s">
        <v>184</v>
      </c>
      <c r="F447" s="66" t="s">
        <v>653</v>
      </c>
      <c r="G447" s="65" t="str">
        <f t="shared" si="1"/>
        <v>MCC046UC0638</v>
      </c>
      <c r="H447" s="35" t="str">
        <f t="shared" si="2"/>
        <v>Saída</v>
      </c>
      <c r="I447" s="25" t="s">
        <v>654</v>
      </c>
    </row>
    <row r="448">
      <c r="A448" s="64">
        <v>45975.592199074075</v>
      </c>
      <c r="B448" s="66" t="s">
        <v>455</v>
      </c>
      <c r="C448" s="66" t="s">
        <v>224</v>
      </c>
      <c r="D448" s="67">
        <v>24.0</v>
      </c>
      <c r="E448" s="66" t="s">
        <v>184</v>
      </c>
      <c r="F448" s="66" t="s">
        <v>655</v>
      </c>
      <c r="G448" s="65" t="str">
        <f t="shared" si="1"/>
        <v>MCC015UC0045</v>
      </c>
      <c r="H448" s="35" t="str">
        <f t="shared" si="2"/>
        <v>Saída</v>
      </c>
      <c r="I448" s="25" t="s">
        <v>457</v>
      </c>
    </row>
    <row r="449">
      <c r="A449" s="64">
        <v>45975.64125</v>
      </c>
      <c r="B449" s="66" t="s">
        <v>297</v>
      </c>
      <c r="C449" s="66" t="s">
        <v>224</v>
      </c>
      <c r="D449" s="67">
        <v>4.0</v>
      </c>
      <c r="E449" s="66" t="s">
        <v>180</v>
      </c>
      <c r="F449" s="66" t="s">
        <v>656</v>
      </c>
      <c r="G449" s="65" t="str">
        <f t="shared" si="1"/>
        <v>MCC015UC0045</v>
      </c>
      <c r="H449" s="35" t="str">
        <f t="shared" si="2"/>
        <v>Saída</v>
      </c>
      <c r="I449" s="25" t="s">
        <v>300</v>
      </c>
    </row>
    <row r="450" hidden="1">
      <c r="A450" s="64">
        <v>45975.71125</v>
      </c>
      <c r="B450" s="66" t="s">
        <v>210</v>
      </c>
      <c r="C450" s="66" t="s">
        <v>474</v>
      </c>
      <c r="D450" s="67">
        <v>1.0</v>
      </c>
      <c r="E450" s="66" t="s">
        <v>182</v>
      </c>
      <c r="F450" s="66" t="s">
        <v>639</v>
      </c>
      <c r="G450" s="65" t="str">
        <f t="shared" si="1"/>
        <v>MCC046UC0525</v>
      </c>
      <c r="H450" s="35" t="str">
        <f t="shared" si="2"/>
        <v>Saída</v>
      </c>
      <c r="I450" s="25" t="s">
        <v>213</v>
      </c>
    </row>
    <row r="451" hidden="1">
      <c r="A451" s="64">
        <v>45975.7115162037</v>
      </c>
      <c r="B451" s="66" t="s">
        <v>210</v>
      </c>
      <c r="C451" s="66" t="s">
        <v>250</v>
      </c>
      <c r="D451" s="67">
        <v>1.0</v>
      </c>
      <c r="E451" s="66" t="s">
        <v>182</v>
      </c>
      <c r="F451" s="66" t="s">
        <v>639</v>
      </c>
      <c r="G451" s="65" t="str">
        <f t="shared" si="1"/>
        <v>MCC046UC0526</v>
      </c>
      <c r="H451" s="35" t="str">
        <f t="shared" si="2"/>
        <v>Saída</v>
      </c>
      <c r="I451" s="25" t="s">
        <v>213</v>
      </c>
    </row>
    <row r="452" hidden="1">
      <c r="A452" s="64">
        <v>45975.83101851852</v>
      </c>
      <c r="B452" s="66" t="s">
        <v>210</v>
      </c>
      <c r="C452" s="66" t="s">
        <v>245</v>
      </c>
      <c r="D452" s="67">
        <v>3.0</v>
      </c>
      <c r="E452" s="66" t="s">
        <v>183</v>
      </c>
      <c r="F452" s="66" t="s">
        <v>639</v>
      </c>
      <c r="G452" s="65" t="str">
        <f t="shared" si="1"/>
        <v>MCC015UC0008</v>
      </c>
      <c r="H452" s="35" t="str">
        <f t="shared" si="2"/>
        <v>Saída</v>
      </c>
      <c r="I452" s="25" t="s">
        <v>213</v>
      </c>
    </row>
    <row r="453" hidden="1">
      <c r="A453" s="64">
        <v>45976.567777777775</v>
      </c>
      <c r="B453" s="66" t="s">
        <v>270</v>
      </c>
      <c r="C453" s="66" t="s">
        <v>291</v>
      </c>
      <c r="D453" s="67">
        <v>3.0</v>
      </c>
      <c r="E453" s="66" t="s">
        <v>180</v>
      </c>
      <c r="F453" s="66" t="s">
        <v>657</v>
      </c>
      <c r="G453" s="65" t="str">
        <f t="shared" si="1"/>
        <v>MCC046UC0695</v>
      </c>
      <c r="H453" s="35" t="str">
        <f t="shared" si="2"/>
        <v>Saída</v>
      </c>
      <c r="I453" s="25" t="s">
        <v>273</v>
      </c>
    </row>
    <row r="454" hidden="1">
      <c r="A454" s="64">
        <v>45976.57219907407</v>
      </c>
      <c r="B454" s="66" t="s">
        <v>239</v>
      </c>
      <c r="C454" s="66" t="s">
        <v>242</v>
      </c>
      <c r="D454" s="67">
        <v>1.0</v>
      </c>
      <c r="E454" s="66" t="s">
        <v>184</v>
      </c>
      <c r="F454" s="66" t="s">
        <v>658</v>
      </c>
      <c r="G454" s="65" t="str">
        <f t="shared" si="1"/>
        <v>MCC046UC0687</v>
      </c>
      <c r="H454" s="35" t="str">
        <f t="shared" si="2"/>
        <v>Saída</v>
      </c>
      <c r="I454" s="25" t="s">
        <v>241</v>
      </c>
    </row>
    <row r="455" hidden="1">
      <c r="A455" s="64">
        <v>45976.57846064815</v>
      </c>
      <c r="B455" s="66" t="s">
        <v>239</v>
      </c>
      <c r="C455" s="66" t="s">
        <v>242</v>
      </c>
      <c r="D455" s="67">
        <v>1.0</v>
      </c>
      <c r="E455" s="66" t="s">
        <v>184</v>
      </c>
      <c r="F455" s="66" t="s">
        <v>277</v>
      </c>
      <c r="G455" s="65" t="str">
        <f t="shared" si="1"/>
        <v>MCC046UC0687</v>
      </c>
      <c r="H455" s="35" t="str">
        <f t="shared" si="2"/>
        <v>Saída</v>
      </c>
      <c r="I455" s="25" t="s">
        <v>241</v>
      </c>
    </row>
    <row r="456">
      <c r="A456" s="64">
        <v>45976.59064814815</v>
      </c>
      <c r="B456" s="66" t="s">
        <v>302</v>
      </c>
      <c r="C456" s="66" t="s">
        <v>224</v>
      </c>
      <c r="D456" s="67">
        <v>5.0</v>
      </c>
      <c r="E456" s="66" t="s">
        <v>180</v>
      </c>
      <c r="F456" s="66" t="s">
        <v>659</v>
      </c>
      <c r="G456" s="65" t="str">
        <f t="shared" si="1"/>
        <v>MCC015UC0045</v>
      </c>
      <c r="H456" s="35" t="str">
        <f t="shared" si="2"/>
        <v>Saída</v>
      </c>
      <c r="I456" s="25" t="s">
        <v>304</v>
      </c>
    </row>
    <row r="457" hidden="1">
      <c r="A457" s="64">
        <v>45976.60680555556</v>
      </c>
      <c r="B457" s="66" t="s">
        <v>210</v>
      </c>
      <c r="C457" s="66" t="s">
        <v>215</v>
      </c>
      <c r="D457" s="67">
        <v>2.0</v>
      </c>
      <c r="E457" s="66" t="s">
        <v>182</v>
      </c>
      <c r="F457" s="66" t="s">
        <v>660</v>
      </c>
      <c r="G457" s="65" t="str">
        <f t="shared" si="1"/>
        <v>MCC046UC0082</v>
      </c>
      <c r="H457" s="35" t="str">
        <f t="shared" si="2"/>
        <v>Saída</v>
      </c>
      <c r="I457" s="25" t="s">
        <v>213</v>
      </c>
    </row>
    <row r="458" hidden="1">
      <c r="A458" s="64">
        <v>45976.71952546296</v>
      </c>
      <c r="B458" s="66" t="s">
        <v>305</v>
      </c>
      <c r="C458" s="66" t="s">
        <v>253</v>
      </c>
      <c r="D458" s="67">
        <v>6.0</v>
      </c>
      <c r="E458" s="66" t="s">
        <v>184</v>
      </c>
      <c r="F458" s="66" t="s">
        <v>619</v>
      </c>
      <c r="G458" s="65" t="str">
        <f t="shared" si="1"/>
        <v>MCC046UC0599</v>
      </c>
      <c r="H458" s="35" t="str">
        <f t="shared" si="2"/>
        <v>Saída</v>
      </c>
      <c r="I458" s="25" t="s">
        <v>307</v>
      </c>
    </row>
    <row r="459" hidden="1">
      <c r="A459" s="64">
        <v>45976.72782407407</v>
      </c>
      <c r="B459" s="66" t="s">
        <v>305</v>
      </c>
      <c r="C459" s="66" t="s">
        <v>253</v>
      </c>
      <c r="D459" s="67">
        <v>1.0</v>
      </c>
      <c r="E459" s="66" t="s">
        <v>184</v>
      </c>
      <c r="F459" s="66" t="s">
        <v>619</v>
      </c>
      <c r="G459" s="65" t="str">
        <f t="shared" si="1"/>
        <v>MCC046UC0599</v>
      </c>
      <c r="H459" s="35" t="str">
        <f t="shared" si="2"/>
        <v>Saída</v>
      </c>
      <c r="I459" s="25" t="s">
        <v>307</v>
      </c>
    </row>
    <row r="460">
      <c r="A460" s="64">
        <v>45978.48944444444</v>
      </c>
      <c r="B460" s="66" t="s">
        <v>455</v>
      </c>
      <c r="C460" s="66" t="s">
        <v>224</v>
      </c>
      <c r="D460" s="67">
        <v>24.0</v>
      </c>
      <c r="E460" s="66" t="s">
        <v>184</v>
      </c>
      <c r="F460" s="66" t="s">
        <v>661</v>
      </c>
      <c r="G460" s="65" t="str">
        <f t="shared" si="1"/>
        <v>MCC015UC0045</v>
      </c>
      <c r="H460" s="35" t="str">
        <f t="shared" si="2"/>
        <v>Saída</v>
      </c>
      <c r="I460" s="25" t="s">
        <v>457</v>
      </c>
    </row>
    <row r="461">
      <c r="A461" s="64">
        <v>45978.51248842593</v>
      </c>
      <c r="B461" s="66" t="s">
        <v>210</v>
      </c>
      <c r="C461" s="66" t="s">
        <v>224</v>
      </c>
      <c r="D461" s="67">
        <v>24.0</v>
      </c>
      <c r="E461" s="66" t="s">
        <v>182</v>
      </c>
      <c r="F461" s="66" t="s">
        <v>662</v>
      </c>
      <c r="G461" s="65" t="str">
        <f t="shared" si="1"/>
        <v>MCC015UC0045</v>
      </c>
      <c r="H461" s="35" t="str">
        <f t="shared" si="2"/>
        <v>Saída</v>
      </c>
      <c r="I461" s="25" t="s">
        <v>213</v>
      </c>
    </row>
    <row r="462" hidden="1">
      <c r="A462" s="64">
        <v>45978.532546296294</v>
      </c>
      <c r="B462" s="66" t="s">
        <v>305</v>
      </c>
      <c r="C462" s="66" t="s">
        <v>374</v>
      </c>
      <c r="D462" s="67">
        <v>6.0</v>
      </c>
      <c r="E462" s="66" t="s">
        <v>184</v>
      </c>
      <c r="F462" s="66" t="s">
        <v>619</v>
      </c>
      <c r="G462" s="65" t="str">
        <f t="shared" si="1"/>
        <v>MCC046UC0660</v>
      </c>
      <c r="H462" s="35" t="str">
        <f t="shared" si="2"/>
        <v>Saída</v>
      </c>
      <c r="I462" s="25" t="s">
        <v>307</v>
      </c>
    </row>
    <row r="463" hidden="1">
      <c r="A463" s="64">
        <v>45978.533483796295</v>
      </c>
      <c r="B463" s="66" t="s">
        <v>305</v>
      </c>
      <c r="C463" s="66" t="s">
        <v>236</v>
      </c>
      <c r="D463" s="67">
        <v>6.0</v>
      </c>
      <c r="E463" s="66" t="s">
        <v>184</v>
      </c>
      <c r="F463" s="66" t="s">
        <v>619</v>
      </c>
      <c r="G463" s="65" t="str">
        <f t="shared" si="1"/>
        <v>MCC046UC0659</v>
      </c>
      <c r="H463" s="35" t="str">
        <f t="shared" si="2"/>
        <v>Saída</v>
      </c>
      <c r="I463" s="25" t="s">
        <v>307</v>
      </c>
    </row>
    <row r="464" hidden="1">
      <c r="A464" s="64">
        <v>45978.56418981482</v>
      </c>
      <c r="B464" s="66" t="s">
        <v>343</v>
      </c>
      <c r="C464" s="66" t="s">
        <v>245</v>
      </c>
      <c r="D464" s="67">
        <v>30.0</v>
      </c>
      <c r="E464" s="66" t="s">
        <v>180</v>
      </c>
      <c r="F464" s="66" t="s">
        <v>663</v>
      </c>
      <c r="G464" s="65" t="str">
        <f t="shared" si="1"/>
        <v>MCC015UC0008</v>
      </c>
      <c r="H464" s="35" t="str">
        <f t="shared" si="2"/>
        <v>Saída</v>
      </c>
      <c r="I464" s="25" t="s">
        <v>345</v>
      </c>
    </row>
    <row r="465">
      <c r="A465" s="64">
        <v>45978.564479166664</v>
      </c>
      <c r="B465" s="66" t="s">
        <v>343</v>
      </c>
      <c r="C465" s="66" t="s">
        <v>224</v>
      </c>
      <c r="D465" s="67">
        <v>10.0</v>
      </c>
      <c r="E465" s="66" t="s">
        <v>180</v>
      </c>
      <c r="F465" s="66" t="s">
        <v>663</v>
      </c>
      <c r="G465" s="65" t="str">
        <f t="shared" si="1"/>
        <v>MCC015UC0045</v>
      </c>
      <c r="H465" s="35" t="str">
        <f t="shared" si="2"/>
        <v>Saída</v>
      </c>
      <c r="I465" s="25" t="s">
        <v>345</v>
      </c>
    </row>
    <row r="466" hidden="1">
      <c r="A466" s="64">
        <v>45978.565104166664</v>
      </c>
      <c r="B466" s="66" t="s">
        <v>210</v>
      </c>
      <c r="C466" s="66" t="s">
        <v>231</v>
      </c>
      <c r="D466" s="67">
        <v>1.0</v>
      </c>
      <c r="E466" s="66" t="s">
        <v>182</v>
      </c>
      <c r="F466" s="66" t="s">
        <v>639</v>
      </c>
      <c r="G466" s="65" t="str">
        <f t="shared" si="1"/>
        <v>MCC049UC0516</v>
      </c>
      <c r="H466" s="35" t="str">
        <f t="shared" si="2"/>
        <v>Saída</v>
      </c>
      <c r="I466" s="25" t="s">
        <v>213</v>
      </c>
    </row>
    <row r="467" hidden="1">
      <c r="A467" s="64">
        <v>45978.68665509259</v>
      </c>
      <c r="B467" s="66" t="s">
        <v>210</v>
      </c>
      <c r="C467" s="66" t="s">
        <v>263</v>
      </c>
      <c r="D467" s="67">
        <v>1.0</v>
      </c>
      <c r="E467" s="66" t="s">
        <v>182</v>
      </c>
      <c r="F467" s="66" t="s">
        <v>664</v>
      </c>
      <c r="G467" s="65" t="str">
        <f t="shared" si="1"/>
        <v>MCC015UC0038</v>
      </c>
      <c r="H467" s="35" t="str">
        <f t="shared" si="2"/>
        <v>Saída</v>
      </c>
      <c r="I467" s="25" t="s">
        <v>213</v>
      </c>
    </row>
    <row r="468" hidden="1">
      <c r="A468" s="64">
        <v>45978.74270833333</v>
      </c>
      <c r="B468" s="66" t="s">
        <v>210</v>
      </c>
      <c r="C468" s="66" t="s">
        <v>226</v>
      </c>
      <c r="D468" s="67">
        <v>1.0</v>
      </c>
      <c r="E468" s="66" t="s">
        <v>182</v>
      </c>
      <c r="F468" s="66" t="s">
        <v>276</v>
      </c>
      <c r="G468" s="65" t="str">
        <f t="shared" si="1"/>
        <v>MCC046UC0596</v>
      </c>
      <c r="H468" s="35" t="str">
        <f t="shared" si="2"/>
        <v>Saída</v>
      </c>
      <c r="I468" s="25" t="s">
        <v>213</v>
      </c>
    </row>
    <row r="469" hidden="1">
      <c r="A469" s="64">
        <v>45978.74300925926</v>
      </c>
      <c r="B469" s="66" t="s">
        <v>210</v>
      </c>
      <c r="C469" s="66" t="s">
        <v>227</v>
      </c>
      <c r="D469" s="67">
        <v>1.0</v>
      </c>
      <c r="E469" s="66" t="s">
        <v>182</v>
      </c>
      <c r="F469" s="66" t="s">
        <v>276</v>
      </c>
      <c r="G469" s="65" t="str">
        <f t="shared" si="1"/>
        <v>MCC046UC0668</v>
      </c>
      <c r="H469" s="35" t="str">
        <f t="shared" si="2"/>
        <v>Saída</v>
      </c>
      <c r="I469" s="25" t="s">
        <v>213</v>
      </c>
    </row>
    <row r="470" hidden="1">
      <c r="A470" s="64">
        <v>45978.74836805555</v>
      </c>
      <c r="B470" s="66" t="s">
        <v>343</v>
      </c>
      <c r="C470" s="66" t="s">
        <v>255</v>
      </c>
      <c r="D470" s="67">
        <v>5.0</v>
      </c>
      <c r="E470" s="66" t="s">
        <v>180</v>
      </c>
      <c r="F470" s="66" t="s">
        <v>439</v>
      </c>
      <c r="G470" s="65" t="str">
        <f t="shared" si="1"/>
        <v>MCC046UC0215</v>
      </c>
      <c r="H470" s="35" t="str">
        <f t="shared" si="2"/>
        <v>Saída</v>
      </c>
      <c r="I470" s="25" t="s">
        <v>345</v>
      </c>
    </row>
    <row r="471" hidden="1">
      <c r="A471" s="64">
        <v>45979.570231481484</v>
      </c>
      <c r="B471" s="66" t="s">
        <v>214</v>
      </c>
      <c r="C471" s="66" t="s">
        <v>226</v>
      </c>
      <c r="D471" s="67">
        <v>10.0</v>
      </c>
      <c r="E471" s="66" t="s">
        <v>184</v>
      </c>
      <c r="F471" s="66" t="s">
        <v>665</v>
      </c>
      <c r="G471" s="65" t="str">
        <f t="shared" si="1"/>
        <v>MCC046UC0596</v>
      </c>
      <c r="H471" s="35" t="str">
        <f t="shared" si="2"/>
        <v>Saída</v>
      </c>
      <c r="I471" s="25" t="s">
        <v>217</v>
      </c>
    </row>
    <row r="472" hidden="1">
      <c r="A472" s="64">
        <v>45979.590104166666</v>
      </c>
      <c r="B472" s="66" t="s">
        <v>401</v>
      </c>
      <c r="C472" s="66" t="s">
        <v>242</v>
      </c>
      <c r="D472" s="67">
        <v>10.0</v>
      </c>
      <c r="E472" s="66" t="s">
        <v>184</v>
      </c>
      <c r="F472" s="66" t="s">
        <v>666</v>
      </c>
      <c r="G472" s="65" t="str">
        <f t="shared" si="1"/>
        <v>MCC046UC0687</v>
      </c>
      <c r="H472" s="35" t="str">
        <f t="shared" si="2"/>
        <v>Saída</v>
      </c>
      <c r="I472" s="25" t="s">
        <v>403</v>
      </c>
    </row>
    <row r="473" hidden="1">
      <c r="A473" s="64">
        <v>45979.619942129626</v>
      </c>
      <c r="B473" s="66" t="s">
        <v>305</v>
      </c>
      <c r="C473" s="66" t="s">
        <v>374</v>
      </c>
      <c r="D473" s="67">
        <v>4.0</v>
      </c>
      <c r="E473" s="66" t="s">
        <v>184</v>
      </c>
      <c r="F473" s="66" t="s">
        <v>619</v>
      </c>
      <c r="G473" s="65" t="str">
        <f t="shared" si="1"/>
        <v>MCC046UC0660</v>
      </c>
      <c r="H473" s="35" t="str">
        <f t="shared" si="2"/>
        <v>Saída</v>
      </c>
      <c r="I473" s="25" t="s">
        <v>307</v>
      </c>
    </row>
    <row r="474" hidden="1">
      <c r="A474" s="64">
        <v>45979.620300925926</v>
      </c>
      <c r="B474" s="66" t="s">
        <v>305</v>
      </c>
      <c r="C474" s="66" t="s">
        <v>236</v>
      </c>
      <c r="D474" s="67">
        <v>4.0</v>
      </c>
      <c r="E474" s="66" t="s">
        <v>184</v>
      </c>
      <c r="F474" s="66">
        <v>4.0</v>
      </c>
      <c r="G474" s="65" t="str">
        <f t="shared" si="1"/>
        <v>MCC046UC0659</v>
      </c>
      <c r="H474" s="35" t="str">
        <f t="shared" si="2"/>
        <v>Saída</v>
      </c>
      <c r="I474" s="25" t="s">
        <v>307</v>
      </c>
    </row>
    <row r="475">
      <c r="A475" s="64">
        <v>45979.700590277775</v>
      </c>
      <c r="B475" s="66" t="s">
        <v>270</v>
      </c>
      <c r="C475" s="66" t="s">
        <v>224</v>
      </c>
      <c r="D475" s="67">
        <v>3.0</v>
      </c>
      <c r="E475" s="66" t="s">
        <v>180</v>
      </c>
      <c r="F475" s="66" t="s">
        <v>667</v>
      </c>
      <c r="G475" s="65" t="str">
        <f t="shared" si="1"/>
        <v>MCC015UC0045</v>
      </c>
      <c r="H475" s="35" t="str">
        <f t="shared" si="2"/>
        <v>Saída</v>
      </c>
      <c r="I475" s="25" t="s">
        <v>273</v>
      </c>
    </row>
    <row r="476" hidden="1">
      <c r="A476" s="64">
        <v>45979.762141203704</v>
      </c>
      <c r="B476" s="66" t="s">
        <v>200</v>
      </c>
      <c r="C476" s="66" t="s">
        <v>255</v>
      </c>
      <c r="D476" s="67">
        <v>5.0</v>
      </c>
      <c r="E476" s="66" t="s">
        <v>184</v>
      </c>
      <c r="F476" s="66" t="s">
        <v>668</v>
      </c>
      <c r="G476" s="65" t="str">
        <f t="shared" si="1"/>
        <v>MCC046UC0215</v>
      </c>
      <c r="H476" s="35" t="str">
        <f t="shared" si="2"/>
        <v>Saída</v>
      </c>
      <c r="I476" s="25" t="s">
        <v>257</v>
      </c>
    </row>
    <row r="477" hidden="1">
      <c r="A477" s="64">
        <v>45979.76247685185</v>
      </c>
      <c r="B477" s="66" t="s">
        <v>200</v>
      </c>
      <c r="C477" s="66" t="s">
        <v>271</v>
      </c>
      <c r="D477" s="67">
        <v>5.0</v>
      </c>
      <c r="E477" s="66" t="s">
        <v>184</v>
      </c>
      <c r="F477" s="66" t="s">
        <v>669</v>
      </c>
      <c r="G477" s="65" t="str">
        <f t="shared" si="1"/>
        <v>MCC046UC0216</v>
      </c>
      <c r="H477" s="35" t="str">
        <f t="shared" si="2"/>
        <v>Saída</v>
      </c>
      <c r="I477" s="25" t="s">
        <v>257</v>
      </c>
    </row>
    <row r="478" hidden="1">
      <c r="A478" s="64">
        <v>45979.81297453704</v>
      </c>
      <c r="B478" s="66" t="s">
        <v>333</v>
      </c>
      <c r="C478" s="66" t="s">
        <v>245</v>
      </c>
      <c r="D478" s="67">
        <v>10.0</v>
      </c>
      <c r="E478" s="66" t="s">
        <v>180</v>
      </c>
      <c r="F478" s="66" t="s">
        <v>428</v>
      </c>
      <c r="G478" s="65" t="str">
        <f t="shared" si="1"/>
        <v>MCC015UC0008</v>
      </c>
      <c r="H478" s="35" t="str">
        <f t="shared" si="2"/>
        <v>Saída</v>
      </c>
      <c r="I478" s="25" t="s">
        <v>335</v>
      </c>
    </row>
    <row r="479">
      <c r="A479" s="64">
        <v>45980.58037037037</v>
      </c>
      <c r="B479" s="66" t="s">
        <v>258</v>
      </c>
      <c r="C479" s="66" t="s">
        <v>224</v>
      </c>
      <c r="D479" s="67">
        <v>4.0</v>
      </c>
      <c r="E479" s="66" t="s">
        <v>184</v>
      </c>
      <c r="F479" s="66" t="s">
        <v>670</v>
      </c>
      <c r="G479" s="65" t="str">
        <f t="shared" si="1"/>
        <v>MCC015UC0045</v>
      </c>
      <c r="H479" s="35" t="str">
        <f t="shared" si="2"/>
        <v>Saída</v>
      </c>
      <c r="I479" s="25" t="s">
        <v>260</v>
      </c>
    </row>
    <row r="480" hidden="1">
      <c r="A480" s="64">
        <v>45980.64576388889</v>
      </c>
      <c r="B480" s="66" t="s">
        <v>455</v>
      </c>
      <c r="C480" s="66" t="s">
        <v>360</v>
      </c>
      <c r="D480" s="67">
        <v>1.0</v>
      </c>
      <c r="E480" s="66" t="s">
        <v>184</v>
      </c>
      <c r="F480" s="66" t="s">
        <v>671</v>
      </c>
      <c r="G480" s="65" t="str">
        <f t="shared" si="1"/>
        <v>MCC049UC0288</v>
      </c>
      <c r="H480" s="35" t="str">
        <f t="shared" si="2"/>
        <v>Saída</v>
      </c>
      <c r="I480" s="25" t="s">
        <v>457</v>
      </c>
    </row>
    <row r="481">
      <c r="A481" s="64">
        <v>45980.70303240741</v>
      </c>
      <c r="B481" s="66" t="s">
        <v>200</v>
      </c>
      <c r="C481" s="66" t="s">
        <v>224</v>
      </c>
      <c r="D481" s="67">
        <v>25.0</v>
      </c>
      <c r="E481" s="66" t="s">
        <v>184</v>
      </c>
      <c r="F481" s="66" t="s">
        <v>672</v>
      </c>
      <c r="G481" s="65" t="str">
        <f t="shared" si="1"/>
        <v>MCC015UC0045</v>
      </c>
      <c r="H481" s="35" t="str">
        <f t="shared" si="2"/>
        <v>Saída</v>
      </c>
      <c r="I481" s="25" t="s">
        <v>257</v>
      </c>
    </row>
    <row r="482" hidden="1">
      <c r="A482" s="64">
        <v>45980.71375</v>
      </c>
      <c r="B482" s="66" t="s">
        <v>455</v>
      </c>
      <c r="C482" s="66" t="s">
        <v>372</v>
      </c>
      <c r="D482" s="67">
        <v>5.0</v>
      </c>
      <c r="E482" s="66" t="s">
        <v>184</v>
      </c>
      <c r="F482" s="66" t="s">
        <v>673</v>
      </c>
      <c r="G482" s="65" t="str">
        <f t="shared" si="1"/>
        <v>MCC046UC0549</v>
      </c>
      <c r="H482" s="35" t="str">
        <f t="shared" si="2"/>
        <v>Saída</v>
      </c>
      <c r="I482" s="25" t="s">
        <v>457</v>
      </c>
    </row>
    <row r="483" hidden="1">
      <c r="A483" s="64">
        <v>45980.73553240741</v>
      </c>
      <c r="B483" s="66" t="s">
        <v>239</v>
      </c>
      <c r="C483" s="66" t="s">
        <v>215</v>
      </c>
      <c r="D483" s="67">
        <v>1.0</v>
      </c>
      <c r="E483" s="66" t="s">
        <v>184</v>
      </c>
      <c r="F483" s="66" t="s">
        <v>674</v>
      </c>
      <c r="G483" s="65" t="str">
        <f t="shared" si="1"/>
        <v>MCC046UC0082</v>
      </c>
      <c r="H483" s="35" t="str">
        <f t="shared" si="2"/>
        <v>Saída</v>
      </c>
      <c r="I483" s="25" t="s">
        <v>241</v>
      </c>
    </row>
    <row r="484" hidden="1">
      <c r="A484" s="64">
        <v>45980.76542824074</v>
      </c>
      <c r="B484" s="66" t="s">
        <v>232</v>
      </c>
      <c r="C484" s="66" t="s">
        <v>271</v>
      </c>
      <c r="D484" s="67">
        <v>2.0</v>
      </c>
      <c r="E484" s="66" t="s">
        <v>183</v>
      </c>
      <c r="F484" s="66" t="s">
        <v>554</v>
      </c>
      <c r="G484" s="65" t="str">
        <f t="shared" si="1"/>
        <v>MCC046UC0216</v>
      </c>
      <c r="H484" s="35" t="str">
        <f t="shared" si="2"/>
        <v>Saída</v>
      </c>
      <c r="I484" s="25" t="s">
        <v>234</v>
      </c>
    </row>
    <row r="485" hidden="1">
      <c r="A485" s="64">
        <v>45980.83949074074</v>
      </c>
      <c r="B485" s="66" t="s">
        <v>343</v>
      </c>
      <c r="C485" s="66" t="s">
        <v>346</v>
      </c>
      <c r="D485" s="67">
        <v>20.0</v>
      </c>
      <c r="E485" s="66" t="s">
        <v>180</v>
      </c>
      <c r="F485" s="66" t="s">
        <v>675</v>
      </c>
      <c r="G485" s="65" t="str">
        <f t="shared" si="1"/>
        <v>MCC049UC0603</v>
      </c>
      <c r="H485" s="35" t="str">
        <f t="shared" si="2"/>
        <v>Saída</v>
      </c>
      <c r="I485" s="25" t="s">
        <v>345</v>
      </c>
    </row>
    <row r="486" hidden="1">
      <c r="A486" s="64">
        <v>45981.567453703705</v>
      </c>
      <c r="B486" s="66" t="s">
        <v>337</v>
      </c>
      <c r="C486" s="66" t="s">
        <v>245</v>
      </c>
      <c r="D486" s="67">
        <v>2.0</v>
      </c>
      <c r="E486" s="66" t="s">
        <v>181</v>
      </c>
      <c r="F486" s="66" t="s">
        <v>676</v>
      </c>
      <c r="G486" s="65" t="str">
        <f t="shared" si="1"/>
        <v>MCC015UC0008</v>
      </c>
      <c r="H486" s="35" t="str">
        <f t="shared" si="2"/>
        <v>Saída</v>
      </c>
      <c r="I486" s="25" t="s">
        <v>189</v>
      </c>
    </row>
    <row r="487" hidden="1">
      <c r="A487" s="64">
        <v>45981.60122685185</v>
      </c>
      <c r="B487" s="66" t="s">
        <v>270</v>
      </c>
      <c r="C487" s="66" t="s">
        <v>474</v>
      </c>
      <c r="D487" s="67">
        <v>1.0</v>
      </c>
      <c r="E487" s="66" t="s">
        <v>180</v>
      </c>
      <c r="F487" s="66" t="s">
        <v>475</v>
      </c>
      <c r="G487" s="65" t="str">
        <f t="shared" si="1"/>
        <v>MCC046UC0525</v>
      </c>
      <c r="H487" s="35" t="str">
        <f t="shared" si="2"/>
        <v>Saída</v>
      </c>
      <c r="I487" s="25" t="s">
        <v>273</v>
      </c>
    </row>
    <row r="488" hidden="1">
      <c r="A488" s="64">
        <v>45981.60207175926</v>
      </c>
      <c r="B488" s="66" t="s">
        <v>359</v>
      </c>
      <c r="C488" s="66" t="s">
        <v>245</v>
      </c>
      <c r="D488" s="67">
        <v>10.0</v>
      </c>
      <c r="E488" s="66" t="s">
        <v>183</v>
      </c>
      <c r="F488" s="66" t="s">
        <v>476</v>
      </c>
      <c r="G488" s="65" t="str">
        <f t="shared" si="1"/>
        <v>MCC015UC0008</v>
      </c>
      <c r="H488" s="35" t="str">
        <f t="shared" si="2"/>
        <v>Saída</v>
      </c>
      <c r="I488" s="25" t="s">
        <v>362</v>
      </c>
    </row>
    <row r="489" hidden="1">
      <c r="A489" s="64">
        <v>45981.67605324074</v>
      </c>
      <c r="B489" s="66" t="s">
        <v>210</v>
      </c>
      <c r="C489" s="66" t="s">
        <v>291</v>
      </c>
      <c r="D489" s="67">
        <v>5.0</v>
      </c>
      <c r="E489" s="66" t="s">
        <v>182</v>
      </c>
      <c r="F489" s="66" t="s">
        <v>639</v>
      </c>
      <c r="G489" s="65" t="str">
        <f t="shared" si="1"/>
        <v>MCC046UC0695</v>
      </c>
      <c r="H489" s="35" t="str">
        <f t="shared" si="2"/>
        <v>Saída</v>
      </c>
      <c r="I489" s="25" t="s">
        <v>213</v>
      </c>
    </row>
    <row r="490" hidden="1">
      <c r="A490" s="64">
        <v>45981.67648148148</v>
      </c>
      <c r="B490" s="66" t="s">
        <v>210</v>
      </c>
      <c r="C490" s="66" t="s">
        <v>261</v>
      </c>
      <c r="D490" s="67">
        <v>5.0</v>
      </c>
      <c r="E490" s="66" t="s">
        <v>182</v>
      </c>
      <c r="F490" s="66" t="s">
        <v>639</v>
      </c>
      <c r="G490" s="65" t="str">
        <f t="shared" si="1"/>
        <v>EMC015MO0001</v>
      </c>
      <c r="H490" s="35" t="str">
        <f t="shared" si="2"/>
        <v>Saída</v>
      </c>
      <c r="I490" s="25" t="s">
        <v>213</v>
      </c>
    </row>
    <row r="491">
      <c r="A491" s="64">
        <v>45981.76604166667</v>
      </c>
      <c r="B491" s="66" t="s">
        <v>305</v>
      </c>
      <c r="C491" s="66" t="s">
        <v>224</v>
      </c>
      <c r="D491" s="67">
        <v>24.0</v>
      </c>
      <c r="E491" s="66" t="s">
        <v>184</v>
      </c>
      <c r="F491" s="66" t="s">
        <v>619</v>
      </c>
      <c r="G491" s="65" t="str">
        <f t="shared" si="1"/>
        <v>MCC015UC0045</v>
      </c>
      <c r="H491" s="35" t="str">
        <f t="shared" si="2"/>
        <v>Saída</v>
      </c>
      <c r="I491" s="25" t="s">
        <v>307</v>
      </c>
    </row>
    <row r="492" hidden="1">
      <c r="A492" s="64">
        <v>45982.50769675926</v>
      </c>
      <c r="B492" s="66" t="s">
        <v>235</v>
      </c>
      <c r="C492" s="66" t="s">
        <v>226</v>
      </c>
      <c r="D492" s="67">
        <v>15.0</v>
      </c>
      <c r="E492" s="66" t="s">
        <v>184</v>
      </c>
      <c r="F492" s="66" t="s">
        <v>677</v>
      </c>
      <c r="G492" s="65" t="str">
        <f t="shared" si="1"/>
        <v>MCC046UC0596</v>
      </c>
      <c r="H492" s="35" t="str">
        <f t="shared" si="2"/>
        <v>Saída</v>
      </c>
      <c r="I492" s="25" t="s">
        <v>238</v>
      </c>
    </row>
    <row r="493" hidden="1">
      <c r="A493" s="64">
        <v>45982.530439814815</v>
      </c>
      <c r="B493" s="66" t="s">
        <v>343</v>
      </c>
      <c r="C493" s="66" t="s">
        <v>215</v>
      </c>
      <c r="D493" s="67">
        <v>3.0</v>
      </c>
      <c r="E493" s="66" t="s">
        <v>180</v>
      </c>
      <c r="F493" s="66" t="s">
        <v>678</v>
      </c>
      <c r="G493" s="65" t="str">
        <f t="shared" si="1"/>
        <v>MCC046UC0082</v>
      </c>
      <c r="H493" s="35" t="str">
        <f t="shared" si="2"/>
        <v>Saída</v>
      </c>
      <c r="I493" s="25" t="s">
        <v>345</v>
      </c>
    </row>
    <row r="494" hidden="1">
      <c r="A494" s="64">
        <v>45982.677881944444</v>
      </c>
      <c r="B494" s="66" t="s">
        <v>200</v>
      </c>
      <c r="C494" s="66" t="s">
        <v>245</v>
      </c>
      <c r="D494" s="67">
        <v>4.0</v>
      </c>
      <c r="E494" s="66" t="s">
        <v>184</v>
      </c>
      <c r="F494" s="66" t="s">
        <v>679</v>
      </c>
      <c r="G494" s="65" t="str">
        <f t="shared" si="1"/>
        <v>MCC015UC0008</v>
      </c>
      <c r="H494" s="35" t="str">
        <f t="shared" si="2"/>
        <v>Saída</v>
      </c>
      <c r="I494" s="25" t="s">
        <v>257</v>
      </c>
    </row>
    <row r="495" hidden="1">
      <c r="A495" s="64">
        <v>45983.47096064815</v>
      </c>
      <c r="B495" s="66" t="s">
        <v>200</v>
      </c>
      <c r="C495" s="66" t="s">
        <v>261</v>
      </c>
      <c r="D495" s="67">
        <v>10.0</v>
      </c>
      <c r="E495" s="66" t="s">
        <v>184</v>
      </c>
      <c r="F495" s="66" t="s">
        <v>680</v>
      </c>
      <c r="G495" s="65" t="str">
        <f t="shared" si="1"/>
        <v>EMC015MO0001</v>
      </c>
      <c r="H495" s="35" t="str">
        <f t="shared" si="2"/>
        <v>Saída</v>
      </c>
      <c r="I495" s="25" t="s">
        <v>257</v>
      </c>
    </row>
    <row r="496">
      <c r="A496" s="64">
        <v>45983.69702546296</v>
      </c>
      <c r="B496" s="66" t="s">
        <v>401</v>
      </c>
      <c r="C496" s="66" t="s">
        <v>224</v>
      </c>
      <c r="D496" s="67">
        <v>10.0</v>
      </c>
      <c r="E496" s="66" t="s">
        <v>184</v>
      </c>
      <c r="F496" s="66" t="s">
        <v>681</v>
      </c>
      <c r="G496" s="65" t="str">
        <f t="shared" si="1"/>
        <v>MCC015UC0045</v>
      </c>
      <c r="H496" s="35" t="str">
        <f t="shared" si="2"/>
        <v>Saída</v>
      </c>
      <c r="I496" s="25" t="s">
        <v>403</v>
      </c>
    </row>
    <row r="497" hidden="1">
      <c r="A497" s="64">
        <v>45985.509050925924</v>
      </c>
      <c r="B497" s="66" t="s">
        <v>455</v>
      </c>
      <c r="C497" s="66" t="s">
        <v>520</v>
      </c>
      <c r="D497" s="67">
        <v>3.0</v>
      </c>
      <c r="E497" s="66" t="s">
        <v>184</v>
      </c>
      <c r="F497" s="66" t="s">
        <v>682</v>
      </c>
      <c r="G497" s="65" t="str">
        <f t="shared" si="1"/>
        <v>MCC049UC0393</v>
      </c>
      <c r="H497" s="35" t="str">
        <f t="shared" si="2"/>
        <v>Saída</v>
      </c>
      <c r="I497" s="25" t="s">
        <v>457</v>
      </c>
    </row>
    <row r="498">
      <c r="A498" s="64">
        <v>45985.59475694445</v>
      </c>
      <c r="B498" s="66" t="s">
        <v>401</v>
      </c>
      <c r="C498" s="66" t="s">
        <v>224</v>
      </c>
      <c r="D498" s="67">
        <v>10.0</v>
      </c>
      <c r="E498" s="66" t="s">
        <v>184</v>
      </c>
      <c r="F498" s="66" t="s">
        <v>683</v>
      </c>
      <c r="G498" s="65" t="str">
        <f t="shared" si="1"/>
        <v>MCC015UC0045</v>
      </c>
      <c r="H498" s="35" t="str">
        <f t="shared" si="2"/>
        <v>Saída</v>
      </c>
      <c r="I498" s="25" t="s">
        <v>403</v>
      </c>
    </row>
    <row r="499">
      <c r="A499" s="64">
        <v>45985.61450231481</v>
      </c>
      <c r="B499" s="66" t="s">
        <v>239</v>
      </c>
      <c r="C499" s="66" t="s">
        <v>224</v>
      </c>
      <c r="D499" s="67">
        <v>1.0</v>
      </c>
      <c r="E499" s="66" t="s">
        <v>184</v>
      </c>
      <c r="F499" s="66" t="s">
        <v>684</v>
      </c>
      <c r="G499" s="65" t="str">
        <f t="shared" si="1"/>
        <v>MCC015UC0045</v>
      </c>
      <c r="H499" s="35" t="str">
        <f t="shared" si="2"/>
        <v>Saída</v>
      </c>
      <c r="I499" s="25" t="s">
        <v>241</v>
      </c>
    </row>
    <row r="500" hidden="1">
      <c r="A500" s="64">
        <v>45985.72185185185</v>
      </c>
      <c r="B500" s="66" t="s">
        <v>455</v>
      </c>
      <c r="C500" s="66" t="s">
        <v>261</v>
      </c>
      <c r="D500" s="67">
        <v>4.0</v>
      </c>
      <c r="E500" s="66" t="s">
        <v>184</v>
      </c>
      <c r="F500" s="66" t="s">
        <v>685</v>
      </c>
      <c r="G500" s="65" t="str">
        <f t="shared" si="1"/>
        <v>EMC015MO0001</v>
      </c>
      <c r="H500" s="35" t="str">
        <f t="shared" si="2"/>
        <v>Saída</v>
      </c>
      <c r="I500" s="25" t="s">
        <v>457</v>
      </c>
    </row>
    <row r="501" hidden="1">
      <c r="A501" s="64">
        <v>45985.749085648145</v>
      </c>
      <c r="B501" s="66" t="s">
        <v>232</v>
      </c>
      <c r="C501" s="66" t="s">
        <v>215</v>
      </c>
      <c r="D501" s="67">
        <v>5.0</v>
      </c>
      <c r="E501" s="66" t="s">
        <v>182</v>
      </c>
      <c r="F501" s="66" t="s">
        <v>460</v>
      </c>
      <c r="G501" s="65" t="str">
        <f t="shared" si="1"/>
        <v>MCC046UC0082</v>
      </c>
      <c r="H501" s="35" t="str">
        <f t="shared" si="2"/>
        <v>Saída</v>
      </c>
      <c r="I501" s="25" t="s">
        <v>234</v>
      </c>
    </row>
    <row r="502" hidden="1">
      <c r="A502" s="64">
        <v>45985.749768518515</v>
      </c>
      <c r="B502" s="66" t="s">
        <v>232</v>
      </c>
      <c r="C502" s="66" t="s">
        <v>263</v>
      </c>
      <c r="D502" s="67">
        <v>1.0</v>
      </c>
      <c r="E502" s="66" t="s">
        <v>182</v>
      </c>
      <c r="F502" s="66" t="s">
        <v>686</v>
      </c>
      <c r="G502" s="65" t="str">
        <f t="shared" si="1"/>
        <v>MCC015UC0038</v>
      </c>
      <c r="H502" s="35" t="str">
        <f t="shared" si="2"/>
        <v>Saída</v>
      </c>
      <c r="I502" s="25" t="s">
        <v>234</v>
      </c>
    </row>
    <row r="503" hidden="1">
      <c r="A503" s="64">
        <v>45986.447384259256</v>
      </c>
      <c r="B503" s="66" t="s">
        <v>282</v>
      </c>
      <c r="C503" s="66" t="s">
        <v>226</v>
      </c>
      <c r="D503" s="67">
        <v>4.0</v>
      </c>
      <c r="E503" s="66" t="s">
        <v>184</v>
      </c>
      <c r="F503" s="66" t="s">
        <v>687</v>
      </c>
      <c r="G503" s="65" t="str">
        <f t="shared" si="1"/>
        <v>MCC046UC0596</v>
      </c>
      <c r="H503" s="35" t="str">
        <f t="shared" si="2"/>
        <v>Saída</v>
      </c>
      <c r="I503" s="25" t="s">
        <v>284</v>
      </c>
    </row>
    <row r="504" hidden="1">
      <c r="A504" s="64">
        <v>45986.52259259259</v>
      </c>
      <c r="B504" s="66" t="s">
        <v>210</v>
      </c>
      <c r="C504" s="66" t="s">
        <v>226</v>
      </c>
      <c r="D504" s="67">
        <v>5.0</v>
      </c>
      <c r="E504" s="66" t="s">
        <v>182</v>
      </c>
      <c r="F504" s="66" t="s">
        <v>639</v>
      </c>
      <c r="G504" s="65" t="str">
        <f t="shared" si="1"/>
        <v>MCC046UC0596</v>
      </c>
      <c r="H504" s="35" t="str">
        <f t="shared" si="2"/>
        <v>Saída</v>
      </c>
      <c r="I504" s="25" t="s">
        <v>213</v>
      </c>
    </row>
    <row r="505" hidden="1">
      <c r="A505" s="64">
        <v>45986.527719907404</v>
      </c>
      <c r="B505" s="66" t="s">
        <v>210</v>
      </c>
      <c r="C505" s="66" t="s">
        <v>291</v>
      </c>
      <c r="D505" s="67">
        <v>10.0</v>
      </c>
      <c r="E505" s="66" t="s">
        <v>182</v>
      </c>
      <c r="F505" s="66" t="s">
        <v>276</v>
      </c>
      <c r="G505" s="65" t="str">
        <f t="shared" si="1"/>
        <v>MCC046UC0695</v>
      </c>
      <c r="H505" s="35" t="str">
        <f t="shared" si="2"/>
        <v>Saída</v>
      </c>
      <c r="I505" s="25" t="s">
        <v>213</v>
      </c>
    </row>
    <row r="506" hidden="1">
      <c r="A506" s="64">
        <v>45986.57393518519</v>
      </c>
      <c r="B506" s="66" t="s">
        <v>297</v>
      </c>
      <c r="C506" s="66" t="s">
        <v>245</v>
      </c>
      <c r="D506" s="67">
        <v>4.0</v>
      </c>
      <c r="E506" s="66" t="s">
        <v>180</v>
      </c>
      <c r="F506" s="66" t="s">
        <v>688</v>
      </c>
      <c r="G506" s="65" t="str">
        <f t="shared" si="1"/>
        <v>MCC015UC0008</v>
      </c>
      <c r="H506" s="35" t="str">
        <f t="shared" si="2"/>
        <v>Saída</v>
      </c>
      <c r="I506" s="25" t="s">
        <v>300</v>
      </c>
    </row>
    <row r="507" hidden="1">
      <c r="A507" s="64">
        <v>45986.68119212963</v>
      </c>
      <c r="B507" s="66" t="s">
        <v>232</v>
      </c>
      <c r="C507" s="66" t="s">
        <v>245</v>
      </c>
      <c r="D507" s="67">
        <v>6.0</v>
      </c>
      <c r="E507" s="66" t="s">
        <v>183</v>
      </c>
      <c r="F507" s="66" t="s">
        <v>689</v>
      </c>
      <c r="G507" s="65" t="str">
        <f t="shared" si="1"/>
        <v>MCC015UC0008</v>
      </c>
      <c r="H507" s="35" t="str">
        <f t="shared" si="2"/>
        <v>Saída</v>
      </c>
      <c r="I507" s="25" t="s">
        <v>234</v>
      </c>
    </row>
    <row r="508" hidden="1">
      <c r="A508" s="64">
        <v>45986.74060185185</v>
      </c>
      <c r="B508" s="66" t="s">
        <v>455</v>
      </c>
      <c r="C508" s="66" t="s">
        <v>360</v>
      </c>
      <c r="D508" s="67">
        <v>3.0</v>
      </c>
      <c r="E508" s="66" t="s">
        <v>184</v>
      </c>
      <c r="F508" s="66" t="s">
        <v>690</v>
      </c>
      <c r="G508" s="65" t="str">
        <f t="shared" si="1"/>
        <v>MCC049UC0288</v>
      </c>
      <c r="H508" s="35" t="str">
        <f t="shared" si="2"/>
        <v>Saída</v>
      </c>
      <c r="I508" s="25" t="s">
        <v>457</v>
      </c>
    </row>
    <row r="509" hidden="1">
      <c r="A509" s="64">
        <v>45986.75247685185</v>
      </c>
      <c r="B509" s="66" t="s">
        <v>282</v>
      </c>
      <c r="C509" s="66" t="s">
        <v>253</v>
      </c>
      <c r="D509" s="67">
        <v>4.0</v>
      </c>
      <c r="E509" s="66" t="s">
        <v>184</v>
      </c>
      <c r="F509" s="66" t="s">
        <v>691</v>
      </c>
      <c r="G509" s="65" t="str">
        <f t="shared" si="1"/>
        <v>MCC046UC0599</v>
      </c>
      <c r="H509" s="35" t="str">
        <f t="shared" si="2"/>
        <v>Saída</v>
      </c>
      <c r="I509" s="25" t="s">
        <v>284</v>
      </c>
    </row>
    <row r="510" hidden="1">
      <c r="A510" s="64">
        <v>45986.75844907408</v>
      </c>
      <c r="B510" s="66" t="s">
        <v>282</v>
      </c>
      <c r="C510" s="66" t="s">
        <v>221</v>
      </c>
      <c r="D510" s="67">
        <v>12.0</v>
      </c>
      <c r="E510" s="66" t="s">
        <v>184</v>
      </c>
      <c r="F510" s="66" t="s">
        <v>692</v>
      </c>
      <c r="G510" s="65" t="str">
        <f t="shared" si="1"/>
        <v>MCC049UC0600</v>
      </c>
      <c r="H510" s="35" t="str">
        <f t="shared" si="2"/>
        <v>Saída</v>
      </c>
      <c r="I510" s="25" t="s">
        <v>284</v>
      </c>
    </row>
    <row r="511">
      <c r="A511" s="64">
        <v>45986.77239583333</v>
      </c>
      <c r="B511" s="66" t="s">
        <v>258</v>
      </c>
      <c r="C511" s="66" t="s">
        <v>224</v>
      </c>
      <c r="D511" s="67">
        <v>25.0</v>
      </c>
      <c r="E511" s="66" t="s">
        <v>184</v>
      </c>
      <c r="F511" s="66" t="s">
        <v>693</v>
      </c>
      <c r="G511" s="65" t="str">
        <f t="shared" si="1"/>
        <v>MCC015UC0045</v>
      </c>
      <c r="H511" s="35" t="str">
        <f t="shared" si="2"/>
        <v>Saída</v>
      </c>
      <c r="I511" s="25" t="s">
        <v>260</v>
      </c>
    </row>
    <row r="512" hidden="1">
      <c r="A512" s="64">
        <v>45987.52923611111</v>
      </c>
      <c r="B512" s="66" t="s">
        <v>214</v>
      </c>
      <c r="C512" s="66" t="s">
        <v>226</v>
      </c>
      <c r="D512" s="67">
        <v>10.0</v>
      </c>
      <c r="E512" s="66" t="s">
        <v>184</v>
      </c>
      <c r="F512" s="66" t="s">
        <v>694</v>
      </c>
      <c r="G512" s="65" t="str">
        <f t="shared" si="1"/>
        <v>MCC046UC0596</v>
      </c>
      <c r="H512" s="35" t="str">
        <f t="shared" si="2"/>
        <v>Saída</v>
      </c>
      <c r="I512" s="25" t="s">
        <v>217</v>
      </c>
    </row>
    <row r="513" hidden="1">
      <c r="A513" s="64">
        <v>45987.650555555556</v>
      </c>
      <c r="B513" s="66" t="s">
        <v>455</v>
      </c>
      <c r="C513" s="66" t="s">
        <v>372</v>
      </c>
      <c r="D513" s="67">
        <v>5.0</v>
      </c>
      <c r="E513" s="66" t="s">
        <v>184</v>
      </c>
      <c r="F513" s="66" t="s">
        <v>695</v>
      </c>
      <c r="G513" s="65" t="str">
        <f t="shared" si="1"/>
        <v>MCC046UC0549</v>
      </c>
      <c r="H513" s="35" t="str">
        <f t="shared" si="2"/>
        <v>Saída</v>
      </c>
      <c r="I513" s="25" t="s">
        <v>457</v>
      </c>
    </row>
    <row r="514">
      <c r="A514" s="64">
        <v>45987.75053240741</v>
      </c>
      <c r="B514" s="66" t="s">
        <v>343</v>
      </c>
      <c r="C514" s="66" t="s">
        <v>224</v>
      </c>
      <c r="D514" s="67">
        <v>12.0</v>
      </c>
      <c r="E514" s="66" t="s">
        <v>180</v>
      </c>
      <c r="F514" s="66" t="s">
        <v>696</v>
      </c>
      <c r="G514" s="65" t="str">
        <f t="shared" si="1"/>
        <v>MCC015UC0045</v>
      </c>
      <c r="H514" s="35" t="str">
        <f t="shared" si="2"/>
        <v>Saída</v>
      </c>
      <c r="I514" s="25" t="s">
        <v>345</v>
      </c>
    </row>
    <row r="515" hidden="1">
      <c r="A515" s="64">
        <v>45987.847407407404</v>
      </c>
      <c r="B515" s="66" t="s">
        <v>239</v>
      </c>
      <c r="C515" s="66" t="s">
        <v>298</v>
      </c>
      <c r="D515" s="67">
        <v>1.0</v>
      </c>
      <c r="E515" s="66" t="s">
        <v>184</v>
      </c>
      <c r="F515" s="66" t="s">
        <v>697</v>
      </c>
      <c r="G515" s="65" t="str">
        <f t="shared" si="1"/>
        <v>MCC046UC0639</v>
      </c>
      <c r="H515" s="35" t="str">
        <f t="shared" si="2"/>
        <v>Saída</v>
      </c>
      <c r="I515" s="25" t="s">
        <v>241</v>
      </c>
    </row>
    <row r="516">
      <c r="A516" s="64">
        <v>45988.47733796296</v>
      </c>
      <c r="B516" s="66" t="s">
        <v>401</v>
      </c>
      <c r="C516" s="66" t="s">
        <v>224</v>
      </c>
      <c r="D516" s="67">
        <v>15.0</v>
      </c>
      <c r="E516" s="66" t="s">
        <v>184</v>
      </c>
      <c r="F516" s="66" t="s">
        <v>698</v>
      </c>
      <c r="G516" s="65" t="str">
        <f t="shared" si="1"/>
        <v>MCC015UC0045</v>
      </c>
      <c r="H516" s="35" t="str">
        <f t="shared" si="2"/>
        <v>Saída</v>
      </c>
      <c r="I516" s="25" t="s">
        <v>403</v>
      </c>
    </row>
    <row r="517" hidden="1">
      <c r="A517" s="64">
        <v>45988.479525462964</v>
      </c>
      <c r="B517" s="66" t="s">
        <v>214</v>
      </c>
      <c r="C517" s="66" t="s">
        <v>221</v>
      </c>
      <c r="D517" s="67">
        <v>2.0</v>
      </c>
      <c r="E517" s="66" t="s">
        <v>184</v>
      </c>
      <c r="F517" s="66" t="s">
        <v>699</v>
      </c>
      <c r="G517" s="65" t="str">
        <f t="shared" si="1"/>
        <v>MCC049UC0600</v>
      </c>
      <c r="H517" s="35" t="str">
        <f t="shared" si="2"/>
        <v>Saída</v>
      </c>
      <c r="I517" s="25" t="s">
        <v>217</v>
      </c>
    </row>
    <row r="518">
      <c r="A518" s="64">
        <v>45988.49896990741</v>
      </c>
      <c r="B518" s="66" t="s">
        <v>376</v>
      </c>
      <c r="C518" s="66" t="s">
        <v>224</v>
      </c>
      <c r="D518" s="67">
        <v>50.0</v>
      </c>
      <c r="E518" s="66" t="s">
        <v>184</v>
      </c>
      <c r="F518" s="66" t="s">
        <v>700</v>
      </c>
      <c r="G518" s="65" t="str">
        <f t="shared" si="1"/>
        <v>MCC015UC0045</v>
      </c>
      <c r="H518" s="35" t="str">
        <f t="shared" si="2"/>
        <v>Saída</v>
      </c>
      <c r="I518" s="25" t="s">
        <v>379</v>
      </c>
    </row>
    <row r="519" hidden="1">
      <c r="A519" s="64">
        <v>45988.532858796294</v>
      </c>
      <c r="B519" s="66" t="s">
        <v>401</v>
      </c>
      <c r="C519" s="66" t="s">
        <v>498</v>
      </c>
      <c r="D519" s="67">
        <v>10.0</v>
      </c>
      <c r="E519" s="66" t="s">
        <v>184</v>
      </c>
      <c r="F519" s="66" t="s">
        <v>701</v>
      </c>
      <c r="G519" s="65" t="str">
        <f t="shared" si="1"/>
        <v>MCC049UC0607</v>
      </c>
      <c r="H519" s="35" t="str">
        <f t="shared" si="2"/>
        <v>Saída</v>
      </c>
      <c r="I519" s="25" t="s">
        <v>403</v>
      </c>
    </row>
    <row r="520" hidden="1">
      <c r="A520" s="64">
        <v>45988.55657407407</v>
      </c>
      <c r="B520" s="66" t="s">
        <v>359</v>
      </c>
      <c r="C520" s="66" t="s">
        <v>245</v>
      </c>
      <c r="D520" s="67">
        <v>5.0</v>
      </c>
      <c r="E520" s="66" t="s">
        <v>183</v>
      </c>
      <c r="F520" s="66" t="s">
        <v>702</v>
      </c>
      <c r="G520" s="65" t="str">
        <f t="shared" si="1"/>
        <v>MCC015UC0008</v>
      </c>
      <c r="H520" s="35" t="str">
        <f t="shared" si="2"/>
        <v>Saída</v>
      </c>
      <c r="I520" s="25" t="s">
        <v>362</v>
      </c>
    </row>
    <row r="521" hidden="1">
      <c r="A521" s="64">
        <v>45988.561689814815</v>
      </c>
      <c r="B521" s="66" t="s">
        <v>258</v>
      </c>
      <c r="C521" s="66" t="s">
        <v>498</v>
      </c>
      <c r="D521" s="67">
        <v>10.0</v>
      </c>
      <c r="E521" s="66" t="s">
        <v>184</v>
      </c>
      <c r="F521" s="66" t="s">
        <v>703</v>
      </c>
      <c r="G521" s="65" t="str">
        <f t="shared" si="1"/>
        <v>MCC049UC0607</v>
      </c>
      <c r="H521" s="35" t="str">
        <f t="shared" si="2"/>
        <v>Saída</v>
      </c>
      <c r="I521" s="25" t="s">
        <v>260</v>
      </c>
    </row>
    <row r="522" hidden="1">
      <c r="A522" s="64">
        <v>45988.58226851852</v>
      </c>
      <c r="B522" s="66" t="s">
        <v>210</v>
      </c>
      <c r="C522" s="66" t="s">
        <v>245</v>
      </c>
      <c r="D522" s="67">
        <v>4.0</v>
      </c>
      <c r="E522" s="66" t="s">
        <v>183</v>
      </c>
      <c r="F522" s="66" t="s">
        <v>639</v>
      </c>
      <c r="G522" s="65" t="str">
        <f t="shared" si="1"/>
        <v>MCC015UC0008</v>
      </c>
      <c r="H522" s="35" t="str">
        <f t="shared" si="2"/>
        <v>Saída</v>
      </c>
      <c r="I522" s="25" t="s">
        <v>213</v>
      </c>
    </row>
    <row r="523" hidden="1">
      <c r="A523" s="64">
        <v>45988.583506944444</v>
      </c>
      <c r="B523" s="66" t="s">
        <v>366</v>
      </c>
      <c r="C523" s="66" t="s">
        <v>245</v>
      </c>
      <c r="D523" s="67">
        <v>6.0</v>
      </c>
      <c r="E523" s="66" t="s">
        <v>181</v>
      </c>
      <c r="F523" s="66" t="s">
        <v>704</v>
      </c>
      <c r="G523" s="65" t="str">
        <f t="shared" si="1"/>
        <v>MCC015UC0008</v>
      </c>
      <c r="H523" s="35" t="str">
        <f t="shared" si="2"/>
        <v>Saída</v>
      </c>
      <c r="I523" s="25" t="s">
        <v>368</v>
      </c>
    </row>
    <row r="524" hidden="1">
      <c r="A524" s="64">
        <v>45988.58662037037</v>
      </c>
      <c r="B524" s="66" t="s">
        <v>282</v>
      </c>
      <c r="C524" s="66" t="s">
        <v>253</v>
      </c>
      <c r="D524" s="67">
        <v>4.0</v>
      </c>
      <c r="E524" s="66" t="s">
        <v>184</v>
      </c>
      <c r="F524" s="66" t="s">
        <v>705</v>
      </c>
      <c r="G524" s="65" t="str">
        <f t="shared" si="1"/>
        <v>MCC046UC0599</v>
      </c>
      <c r="H524" s="35" t="str">
        <f t="shared" si="2"/>
        <v>Saída</v>
      </c>
      <c r="I524" s="25" t="s">
        <v>284</v>
      </c>
    </row>
    <row r="525" hidden="1">
      <c r="A525" s="64">
        <v>45988.86929398148</v>
      </c>
      <c r="B525" s="66" t="s">
        <v>258</v>
      </c>
      <c r="C525" s="66" t="s">
        <v>227</v>
      </c>
      <c r="D525" s="67">
        <v>4.0</v>
      </c>
      <c r="E525" s="66" t="s">
        <v>184</v>
      </c>
      <c r="F525" s="66" t="s">
        <v>706</v>
      </c>
      <c r="G525" s="65" t="str">
        <f t="shared" si="1"/>
        <v>MCC046UC0668</v>
      </c>
      <c r="H525" s="35" t="str">
        <f t="shared" si="2"/>
        <v>Saída</v>
      </c>
      <c r="I525" s="25" t="s">
        <v>260</v>
      </c>
    </row>
    <row r="526" hidden="1">
      <c r="A526" s="64">
        <v>45989.484398148146</v>
      </c>
      <c r="B526" s="66" t="s">
        <v>343</v>
      </c>
      <c r="C526" s="66" t="s">
        <v>261</v>
      </c>
      <c r="D526" s="67">
        <v>2.0</v>
      </c>
      <c r="E526" s="66" t="s">
        <v>180</v>
      </c>
      <c r="F526" s="66" t="s">
        <v>707</v>
      </c>
      <c r="G526" s="65" t="str">
        <f t="shared" si="1"/>
        <v>EMC015MO0001</v>
      </c>
      <c r="H526" s="35" t="str">
        <f t="shared" si="2"/>
        <v>Saída</v>
      </c>
      <c r="I526" s="25" t="s">
        <v>345</v>
      </c>
    </row>
    <row r="527" hidden="1">
      <c r="A527" s="64">
        <v>45989.48575231482</v>
      </c>
      <c r="B527" s="66" t="s">
        <v>239</v>
      </c>
      <c r="C527" s="66" t="s">
        <v>215</v>
      </c>
      <c r="D527" s="67">
        <v>1.0</v>
      </c>
      <c r="E527" s="66" t="s">
        <v>184</v>
      </c>
      <c r="F527" s="66" t="s">
        <v>708</v>
      </c>
      <c r="G527" s="65" t="str">
        <f t="shared" si="1"/>
        <v>MCC046UC0082</v>
      </c>
      <c r="H527" s="35" t="str">
        <f t="shared" si="2"/>
        <v>Saída</v>
      </c>
      <c r="I527" s="25" t="s">
        <v>241</v>
      </c>
    </row>
    <row r="528" hidden="1">
      <c r="A528" s="64">
        <v>45989.48700231482</v>
      </c>
      <c r="B528" s="66" t="s">
        <v>239</v>
      </c>
      <c r="C528" s="66" t="s">
        <v>242</v>
      </c>
      <c r="D528" s="67">
        <v>1.0</v>
      </c>
      <c r="E528" s="66" t="s">
        <v>184</v>
      </c>
      <c r="F528" s="66" t="s">
        <v>709</v>
      </c>
      <c r="G528" s="65" t="str">
        <f t="shared" si="1"/>
        <v>MCC046UC0687</v>
      </c>
      <c r="H528" s="35" t="str">
        <f t="shared" si="2"/>
        <v>Saída</v>
      </c>
      <c r="I528" s="25" t="s">
        <v>241</v>
      </c>
    </row>
    <row r="529" hidden="1">
      <c r="A529" s="64">
        <v>45989.51436342593</v>
      </c>
      <c r="B529" s="66" t="s">
        <v>343</v>
      </c>
      <c r="C529" s="66" t="s">
        <v>245</v>
      </c>
      <c r="D529" s="67">
        <v>30.0</v>
      </c>
      <c r="E529" s="66" t="s">
        <v>180</v>
      </c>
      <c r="F529" s="66" t="s">
        <v>710</v>
      </c>
      <c r="G529" s="65" t="str">
        <f t="shared" si="1"/>
        <v>MCC015UC0008</v>
      </c>
      <c r="H529" s="35" t="str">
        <f t="shared" si="2"/>
        <v>Saída</v>
      </c>
      <c r="I529" s="25" t="s">
        <v>345</v>
      </c>
    </row>
    <row r="530" hidden="1">
      <c r="A530" s="64">
        <v>45989.69667824074</v>
      </c>
      <c r="B530" s="66" t="s">
        <v>359</v>
      </c>
      <c r="C530" s="66" t="s">
        <v>255</v>
      </c>
      <c r="D530" s="67">
        <v>3.0</v>
      </c>
      <c r="E530" s="66" t="s">
        <v>183</v>
      </c>
      <c r="F530" s="66" t="s">
        <v>711</v>
      </c>
      <c r="G530" s="65" t="str">
        <f t="shared" si="1"/>
        <v>MCC046UC0215</v>
      </c>
      <c r="H530" s="35" t="str">
        <f t="shared" si="2"/>
        <v>Saída</v>
      </c>
      <c r="I530" s="25" t="s">
        <v>362</v>
      </c>
    </row>
    <row r="531">
      <c r="A531" s="64">
        <v>45989.828668981485</v>
      </c>
      <c r="B531" s="66" t="s">
        <v>244</v>
      </c>
      <c r="C531" s="66" t="s">
        <v>224</v>
      </c>
      <c r="D531" s="67">
        <v>1.0</v>
      </c>
      <c r="E531" s="66" t="s">
        <v>183</v>
      </c>
      <c r="F531" s="66" t="s">
        <v>712</v>
      </c>
      <c r="G531" s="65" t="str">
        <f t="shared" si="1"/>
        <v>MCC015UC0045</v>
      </c>
      <c r="H531" s="35" t="str">
        <f t="shared" si="2"/>
        <v>Saída</v>
      </c>
      <c r="I531" s="25" t="s">
        <v>247</v>
      </c>
    </row>
    <row r="532" hidden="1">
      <c r="A532" s="64">
        <v>45990.60273148148</v>
      </c>
      <c r="B532" s="66" t="s">
        <v>282</v>
      </c>
      <c r="C532" s="66" t="s">
        <v>253</v>
      </c>
      <c r="D532" s="67">
        <v>5.0</v>
      </c>
      <c r="E532" s="66" t="s">
        <v>184</v>
      </c>
      <c r="F532" s="66" t="s">
        <v>705</v>
      </c>
      <c r="G532" s="65" t="str">
        <f t="shared" si="1"/>
        <v>MCC046UC0599</v>
      </c>
      <c r="H532" s="35" t="str">
        <f t="shared" si="2"/>
        <v>Saída</v>
      </c>
      <c r="I532" s="25" t="s">
        <v>284</v>
      </c>
    </row>
    <row r="533" hidden="1">
      <c r="A533" s="64">
        <v>45992.0</v>
      </c>
      <c r="B533" s="66" t="s">
        <v>206</v>
      </c>
      <c r="C533" s="66" t="s">
        <v>298</v>
      </c>
      <c r="D533" s="67">
        <v>1.0</v>
      </c>
      <c r="E533" s="66" t="s">
        <v>181</v>
      </c>
      <c r="F533" s="66" t="s">
        <v>713</v>
      </c>
      <c r="G533" s="65" t="str">
        <f t="shared" si="1"/>
        <v>MCC046UC0639</v>
      </c>
      <c r="H533" s="35" t="str">
        <f t="shared" si="2"/>
        <v>Saída</v>
      </c>
      <c r="I533" s="25" t="s">
        <v>209</v>
      </c>
    </row>
    <row r="534" hidden="1">
      <c r="A534" s="64">
        <v>45992.0</v>
      </c>
      <c r="B534" s="66" t="s">
        <v>322</v>
      </c>
      <c r="C534" s="66" t="s">
        <v>255</v>
      </c>
      <c r="D534" s="67">
        <v>5.0</v>
      </c>
      <c r="E534" s="66" t="s">
        <v>182</v>
      </c>
      <c r="F534" s="66" t="s">
        <v>588</v>
      </c>
      <c r="G534" s="65" t="str">
        <f t="shared" si="1"/>
        <v>MCC046UC0215</v>
      </c>
      <c r="H534" s="35" t="str">
        <f t="shared" si="2"/>
        <v>Saída</v>
      </c>
      <c r="I534" s="25" t="s">
        <v>324</v>
      </c>
    </row>
    <row r="535">
      <c r="A535" s="64">
        <v>45992.0</v>
      </c>
      <c r="B535" s="66" t="s">
        <v>455</v>
      </c>
      <c r="C535" s="66" t="s">
        <v>224</v>
      </c>
      <c r="D535" s="67">
        <v>24.0</v>
      </c>
      <c r="E535" s="66" t="s">
        <v>184</v>
      </c>
      <c r="F535" s="66" t="s">
        <v>714</v>
      </c>
      <c r="G535" s="65" t="str">
        <f t="shared" si="1"/>
        <v>MCC015UC0045</v>
      </c>
      <c r="H535" s="35" t="str">
        <f t="shared" si="2"/>
        <v>Saída</v>
      </c>
      <c r="I535" s="25" t="s">
        <v>457</v>
      </c>
    </row>
    <row r="536" hidden="1">
      <c r="A536" s="64">
        <v>45992.0</v>
      </c>
      <c r="B536" s="66" t="s">
        <v>322</v>
      </c>
      <c r="C536" s="66" t="s">
        <v>356</v>
      </c>
      <c r="D536" s="67">
        <v>1.0</v>
      </c>
      <c r="E536" s="66" t="s">
        <v>182</v>
      </c>
      <c r="F536" s="66" t="s">
        <v>715</v>
      </c>
      <c r="G536" s="65" t="str">
        <f t="shared" si="1"/>
        <v>MCC046UC0093</v>
      </c>
      <c r="H536" s="35" t="str">
        <f t="shared" si="2"/>
        <v>Saída</v>
      </c>
      <c r="I536" s="25" t="s">
        <v>324</v>
      </c>
    </row>
    <row r="537" hidden="1">
      <c r="A537" s="64">
        <v>45992.0</v>
      </c>
      <c r="B537" s="66" t="s">
        <v>401</v>
      </c>
      <c r="C537" s="66" t="s">
        <v>242</v>
      </c>
      <c r="D537" s="67">
        <v>10.0</v>
      </c>
      <c r="E537" s="66" t="s">
        <v>184</v>
      </c>
      <c r="F537" s="66" t="s">
        <v>716</v>
      </c>
      <c r="G537" s="65" t="str">
        <f t="shared" si="1"/>
        <v>MCC046UC0687</v>
      </c>
      <c r="H537" s="35" t="str">
        <f t="shared" si="2"/>
        <v>Saída</v>
      </c>
      <c r="I537" s="25" t="s">
        <v>403</v>
      </c>
    </row>
    <row r="538" hidden="1">
      <c r="A538" s="64">
        <v>45993.0</v>
      </c>
      <c r="B538" s="66" t="s">
        <v>239</v>
      </c>
      <c r="C538" s="66" t="s">
        <v>242</v>
      </c>
      <c r="D538" s="67">
        <v>1.0</v>
      </c>
      <c r="E538" s="66" t="s">
        <v>184</v>
      </c>
      <c r="F538" s="66" t="s">
        <v>717</v>
      </c>
      <c r="G538" s="65" t="str">
        <f t="shared" si="1"/>
        <v>MCC046UC0687</v>
      </c>
      <c r="H538" s="35" t="str">
        <f t="shared" si="2"/>
        <v>Saída</v>
      </c>
      <c r="I538" s="25" t="s">
        <v>241</v>
      </c>
    </row>
    <row r="539" hidden="1">
      <c r="A539" s="64">
        <v>45993.0</v>
      </c>
      <c r="B539" s="66" t="s">
        <v>239</v>
      </c>
      <c r="C539" s="66" t="s">
        <v>261</v>
      </c>
      <c r="D539" s="67">
        <v>1.0</v>
      </c>
      <c r="E539" s="66" t="s">
        <v>184</v>
      </c>
      <c r="F539" s="66" t="s">
        <v>718</v>
      </c>
      <c r="G539" s="65" t="str">
        <f t="shared" si="1"/>
        <v>EMC015MO0001</v>
      </c>
      <c r="H539" s="35" t="str">
        <f t="shared" si="2"/>
        <v>Saída</v>
      </c>
      <c r="I539" s="25" t="s">
        <v>241</v>
      </c>
    </row>
    <row r="540" hidden="1">
      <c r="A540" s="64">
        <v>45993.0</v>
      </c>
      <c r="B540" s="66" t="s">
        <v>359</v>
      </c>
      <c r="C540" s="66" t="s">
        <v>474</v>
      </c>
      <c r="D540" s="67">
        <v>1.0</v>
      </c>
      <c r="E540" s="66" t="s">
        <v>183</v>
      </c>
      <c r="F540" s="66" t="s">
        <v>719</v>
      </c>
      <c r="G540" s="65" t="str">
        <f t="shared" si="1"/>
        <v>MCC046UC0525</v>
      </c>
      <c r="H540" s="35" t="str">
        <f t="shared" si="2"/>
        <v>Saída</v>
      </c>
      <c r="I540" s="25" t="s">
        <v>362</v>
      </c>
    </row>
    <row r="541" hidden="1">
      <c r="A541" s="64">
        <v>45993.0</v>
      </c>
      <c r="B541" s="66" t="s">
        <v>297</v>
      </c>
      <c r="C541" s="66" t="s">
        <v>245</v>
      </c>
      <c r="D541" s="67">
        <v>5.0</v>
      </c>
      <c r="E541" s="66" t="s">
        <v>180</v>
      </c>
      <c r="F541" s="66" t="s">
        <v>720</v>
      </c>
      <c r="G541" s="65" t="str">
        <f t="shared" si="1"/>
        <v>MCC015UC0008</v>
      </c>
      <c r="H541" s="35" t="str">
        <f t="shared" si="2"/>
        <v>Saída</v>
      </c>
      <c r="I541" s="25" t="s">
        <v>300</v>
      </c>
    </row>
    <row r="542" hidden="1">
      <c r="A542" s="64">
        <v>45993.0</v>
      </c>
      <c r="B542" s="66" t="s">
        <v>322</v>
      </c>
      <c r="C542" s="66" t="s">
        <v>291</v>
      </c>
      <c r="D542" s="67">
        <v>3.0</v>
      </c>
      <c r="E542" s="66" t="s">
        <v>182</v>
      </c>
      <c r="F542" s="66" t="s">
        <v>588</v>
      </c>
      <c r="G542" s="65" t="str">
        <f t="shared" si="1"/>
        <v>MCC046UC0695</v>
      </c>
      <c r="H542" s="35" t="str">
        <f t="shared" si="2"/>
        <v>Saída</v>
      </c>
      <c r="I542" s="25" t="s">
        <v>324</v>
      </c>
    </row>
    <row r="543">
      <c r="A543" s="64">
        <v>45993.0</v>
      </c>
      <c r="B543" s="66" t="s">
        <v>322</v>
      </c>
      <c r="C543" s="66" t="s">
        <v>224</v>
      </c>
      <c r="D543" s="67">
        <v>3.0</v>
      </c>
      <c r="E543" s="66" t="s">
        <v>182</v>
      </c>
      <c r="F543" s="66" t="s">
        <v>588</v>
      </c>
      <c r="G543" s="65" t="str">
        <f t="shared" si="1"/>
        <v>MCC015UC0045</v>
      </c>
      <c r="H543" s="35" t="str">
        <f t="shared" si="2"/>
        <v>Saída</v>
      </c>
      <c r="I543" s="25" t="s">
        <v>324</v>
      </c>
    </row>
    <row r="544">
      <c r="A544" s="64">
        <v>45993.0</v>
      </c>
      <c r="B544" s="66" t="s">
        <v>455</v>
      </c>
      <c r="C544" s="66" t="s">
        <v>224</v>
      </c>
      <c r="D544" s="67">
        <v>6.0</v>
      </c>
      <c r="E544" s="66" t="s">
        <v>184</v>
      </c>
      <c r="F544" s="66" t="s">
        <v>714</v>
      </c>
      <c r="G544" s="65" t="str">
        <f t="shared" si="1"/>
        <v>MCC015UC0045</v>
      </c>
      <c r="H544" s="35" t="str">
        <f t="shared" si="2"/>
        <v>Saída</v>
      </c>
      <c r="I544" s="25" t="s">
        <v>457</v>
      </c>
    </row>
    <row r="545" hidden="1">
      <c r="A545" s="64">
        <v>45993.0</v>
      </c>
      <c r="B545" s="66" t="s">
        <v>455</v>
      </c>
      <c r="C545" s="66" t="s">
        <v>360</v>
      </c>
      <c r="D545" s="67">
        <v>3.0</v>
      </c>
      <c r="E545" s="66" t="s">
        <v>184</v>
      </c>
      <c r="F545" s="66" t="s">
        <v>721</v>
      </c>
      <c r="G545" s="65" t="str">
        <f t="shared" si="1"/>
        <v>MCC049UC0288</v>
      </c>
      <c r="H545" s="35" t="str">
        <f t="shared" si="2"/>
        <v>Saída</v>
      </c>
      <c r="I545" s="25" t="s">
        <v>457</v>
      </c>
    </row>
    <row r="546" hidden="1">
      <c r="A546" s="64">
        <v>45993.0</v>
      </c>
      <c r="B546" s="66" t="s">
        <v>282</v>
      </c>
      <c r="C546" s="66" t="s">
        <v>221</v>
      </c>
      <c r="D546" s="67">
        <v>24.0</v>
      </c>
      <c r="E546" s="66" t="s">
        <v>184</v>
      </c>
      <c r="F546" s="66" t="s">
        <v>705</v>
      </c>
      <c r="G546" s="65" t="str">
        <f t="shared" si="1"/>
        <v>MCC049UC0600</v>
      </c>
      <c r="H546" s="35" t="str">
        <f t="shared" si="2"/>
        <v>Saída</v>
      </c>
      <c r="I546" s="25" t="s">
        <v>284</v>
      </c>
    </row>
    <row r="547" hidden="1">
      <c r="A547" s="64">
        <v>45993.0</v>
      </c>
      <c r="B547" s="66" t="s">
        <v>455</v>
      </c>
      <c r="C547" s="66" t="s">
        <v>314</v>
      </c>
      <c r="D547" s="67">
        <v>6.0</v>
      </c>
      <c r="E547" s="66" t="s">
        <v>184</v>
      </c>
      <c r="F547" s="66" t="s">
        <v>722</v>
      </c>
      <c r="G547" s="65" t="str">
        <f t="shared" si="1"/>
        <v>MCC015UC0047</v>
      </c>
      <c r="H547" s="35" t="str">
        <f t="shared" si="2"/>
        <v>Saída</v>
      </c>
      <c r="I547" s="25" t="s">
        <v>457</v>
      </c>
    </row>
    <row r="548" hidden="1">
      <c r="A548" s="64">
        <v>45995.0</v>
      </c>
      <c r="B548" s="66" t="s">
        <v>322</v>
      </c>
      <c r="C548" s="66" t="s">
        <v>311</v>
      </c>
      <c r="D548" s="67">
        <v>1.0</v>
      </c>
      <c r="E548" s="66" t="s">
        <v>183</v>
      </c>
      <c r="F548" s="66" t="s">
        <v>715</v>
      </c>
      <c r="G548" s="65" t="str">
        <f t="shared" si="1"/>
        <v>MCC046UC0638</v>
      </c>
      <c r="H548" s="35" t="str">
        <f t="shared" si="2"/>
        <v>Saída</v>
      </c>
      <c r="I548" s="25" t="s">
        <v>324</v>
      </c>
    </row>
    <row r="549" hidden="1">
      <c r="A549" s="64">
        <v>45995.0</v>
      </c>
      <c r="B549" s="66" t="s">
        <v>239</v>
      </c>
      <c r="C549" s="66" t="s">
        <v>215</v>
      </c>
      <c r="D549" s="67">
        <v>1.0</v>
      </c>
      <c r="E549" s="66" t="s">
        <v>184</v>
      </c>
      <c r="F549" s="66" t="s">
        <v>723</v>
      </c>
      <c r="G549" s="65" t="str">
        <f t="shared" si="1"/>
        <v>MCC046UC0082</v>
      </c>
      <c r="H549" s="35" t="str">
        <f t="shared" si="2"/>
        <v>Saída</v>
      </c>
      <c r="I549" s="25" t="s">
        <v>241</v>
      </c>
    </row>
    <row r="550" hidden="1">
      <c r="A550" s="64">
        <v>45995.0</v>
      </c>
      <c r="B550" s="66" t="s">
        <v>340</v>
      </c>
      <c r="C550" s="66" t="s">
        <v>245</v>
      </c>
      <c r="D550" s="67">
        <v>4.0</v>
      </c>
      <c r="E550" s="66" t="s">
        <v>180</v>
      </c>
      <c r="F550" s="66" t="s">
        <v>724</v>
      </c>
      <c r="G550" s="65" t="str">
        <f t="shared" si="1"/>
        <v>MCC015UC0008</v>
      </c>
      <c r="H550" s="35" t="str">
        <f t="shared" si="2"/>
        <v>Saída</v>
      </c>
      <c r="I550" s="25" t="s">
        <v>342</v>
      </c>
    </row>
    <row r="551" hidden="1">
      <c r="A551" s="64">
        <v>45995.0</v>
      </c>
      <c r="B551" s="66" t="s">
        <v>401</v>
      </c>
      <c r="C551" s="66" t="s">
        <v>242</v>
      </c>
      <c r="D551" s="67">
        <v>20.0</v>
      </c>
      <c r="E551" s="66" t="s">
        <v>184</v>
      </c>
      <c r="F551" s="66" t="s">
        <v>725</v>
      </c>
      <c r="G551" s="65" t="str">
        <f t="shared" si="1"/>
        <v>MCC046UC0687</v>
      </c>
      <c r="H551" s="35" t="str">
        <f t="shared" si="2"/>
        <v>Saída</v>
      </c>
      <c r="I551" s="25" t="s">
        <v>403</v>
      </c>
    </row>
    <row r="552" hidden="1">
      <c r="A552" s="64">
        <v>45995.0</v>
      </c>
      <c r="B552" s="66" t="s">
        <v>401</v>
      </c>
      <c r="C552" s="66" t="s">
        <v>261</v>
      </c>
      <c r="D552" s="67">
        <v>20.0</v>
      </c>
      <c r="E552" s="66" t="s">
        <v>184</v>
      </c>
      <c r="F552" s="66" t="s">
        <v>726</v>
      </c>
      <c r="G552" s="65" t="str">
        <f t="shared" si="1"/>
        <v>EMC015MO0001</v>
      </c>
      <c r="H552" s="35" t="str">
        <f t="shared" si="2"/>
        <v>Saída</v>
      </c>
      <c r="I552" s="25" t="s">
        <v>403</v>
      </c>
    </row>
    <row r="553" hidden="1">
      <c r="A553" s="64">
        <v>45995.0</v>
      </c>
      <c r="B553" s="66" t="s">
        <v>305</v>
      </c>
      <c r="C553" s="66" t="s">
        <v>221</v>
      </c>
      <c r="D553" s="67">
        <v>24.0</v>
      </c>
      <c r="E553" s="66" t="s">
        <v>184</v>
      </c>
      <c r="F553" s="66" t="s">
        <v>619</v>
      </c>
      <c r="G553" s="65" t="str">
        <f t="shared" si="1"/>
        <v>MCC049UC0600</v>
      </c>
      <c r="H553" s="35" t="str">
        <f t="shared" si="2"/>
        <v>Saída</v>
      </c>
      <c r="I553" s="25" t="s">
        <v>307</v>
      </c>
    </row>
    <row r="554">
      <c r="A554" s="64">
        <v>45995.0</v>
      </c>
      <c r="B554" s="66" t="s">
        <v>455</v>
      </c>
      <c r="C554" s="66" t="s">
        <v>224</v>
      </c>
      <c r="D554" s="67">
        <v>24.0</v>
      </c>
      <c r="E554" s="66" t="s">
        <v>184</v>
      </c>
      <c r="F554" s="66" t="s">
        <v>727</v>
      </c>
      <c r="G554" s="65" t="str">
        <f t="shared" si="1"/>
        <v>MCC015UC0045</v>
      </c>
      <c r="H554" s="35" t="str">
        <f t="shared" si="2"/>
        <v>Saída</v>
      </c>
      <c r="I554" s="25" t="s">
        <v>457</v>
      </c>
    </row>
    <row r="555" hidden="1">
      <c r="A555" s="64">
        <v>45995.0</v>
      </c>
      <c r="B555" s="66" t="s">
        <v>239</v>
      </c>
      <c r="C555" s="66" t="s">
        <v>242</v>
      </c>
      <c r="D555" s="67">
        <v>1.0</v>
      </c>
      <c r="E555" s="66" t="s">
        <v>184</v>
      </c>
      <c r="F555" s="66" t="s">
        <v>728</v>
      </c>
      <c r="G555" s="65" t="str">
        <f t="shared" si="1"/>
        <v>MCC046UC0687</v>
      </c>
      <c r="H555" s="35" t="str">
        <f t="shared" si="2"/>
        <v>Saída</v>
      </c>
      <c r="I555" s="25" t="s">
        <v>241</v>
      </c>
    </row>
    <row r="556">
      <c r="A556" s="64">
        <v>45995.0</v>
      </c>
      <c r="B556" s="66" t="s">
        <v>232</v>
      </c>
      <c r="C556" s="66" t="s">
        <v>224</v>
      </c>
      <c r="D556" s="67">
        <v>20.0</v>
      </c>
      <c r="E556" s="66" t="s">
        <v>182</v>
      </c>
      <c r="F556" s="66" t="s">
        <v>729</v>
      </c>
      <c r="G556" s="65" t="str">
        <f t="shared" si="1"/>
        <v>MCC015UC0045</v>
      </c>
      <c r="H556" s="35" t="str">
        <f t="shared" si="2"/>
        <v>Saída</v>
      </c>
      <c r="I556" s="25" t="s">
        <v>234</v>
      </c>
    </row>
    <row r="557" hidden="1">
      <c r="A557" s="64">
        <v>45999.0</v>
      </c>
      <c r="B557" s="66" t="s">
        <v>455</v>
      </c>
      <c r="C557" s="66" t="s">
        <v>520</v>
      </c>
      <c r="D557" s="67">
        <v>1.0</v>
      </c>
      <c r="E557" s="66" t="s">
        <v>184</v>
      </c>
      <c r="F557" s="66" t="s">
        <v>730</v>
      </c>
      <c r="G557" s="65" t="str">
        <f t="shared" si="1"/>
        <v>MCC049UC0393</v>
      </c>
      <c r="H557" s="35" t="str">
        <f t="shared" si="2"/>
        <v>Saída</v>
      </c>
      <c r="I557" s="25" t="s">
        <v>457</v>
      </c>
    </row>
    <row r="558" hidden="1">
      <c r="A558" s="64">
        <v>45999.0</v>
      </c>
      <c r="B558" s="66" t="s">
        <v>232</v>
      </c>
      <c r="C558" s="66" t="s">
        <v>253</v>
      </c>
      <c r="D558" s="67">
        <v>2.0</v>
      </c>
      <c r="E558" s="66" t="s">
        <v>182</v>
      </c>
      <c r="F558" s="66" t="s">
        <v>731</v>
      </c>
      <c r="G558" s="65" t="str">
        <f t="shared" si="1"/>
        <v>MCC046UC0599</v>
      </c>
      <c r="H558" s="35" t="str">
        <f t="shared" si="2"/>
        <v>Saída</v>
      </c>
      <c r="I558" s="25" t="s">
        <v>234</v>
      </c>
    </row>
    <row r="559" hidden="1">
      <c r="A559" s="64">
        <v>45999.0</v>
      </c>
      <c r="B559" s="66" t="s">
        <v>455</v>
      </c>
      <c r="C559" s="66" t="s">
        <v>261</v>
      </c>
      <c r="D559" s="67">
        <v>6.0</v>
      </c>
      <c r="E559" s="66" t="s">
        <v>184</v>
      </c>
      <c r="F559" s="66" t="s">
        <v>732</v>
      </c>
      <c r="G559" s="65" t="str">
        <f t="shared" si="1"/>
        <v>EMC015MO0001</v>
      </c>
      <c r="H559" s="35" t="str">
        <f t="shared" si="2"/>
        <v>Saída</v>
      </c>
      <c r="I559" s="25" t="s">
        <v>457</v>
      </c>
    </row>
    <row r="560" hidden="1">
      <c r="A560" s="64">
        <v>45999.0</v>
      </c>
      <c r="B560" s="66" t="s">
        <v>214</v>
      </c>
      <c r="C560" s="66" t="s">
        <v>226</v>
      </c>
      <c r="D560" s="67">
        <v>10.0</v>
      </c>
      <c r="E560" s="66" t="s">
        <v>184</v>
      </c>
      <c r="F560" s="66" t="s">
        <v>733</v>
      </c>
      <c r="G560" s="65" t="str">
        <f t="shared" si="1"/>
        <v>MCC046UC0596</v>
      </c>
      <c r="H560" s="35" t="str">
        <f t="shared" si="2"/>
        <v>Saída</v>
      </c>
      <c r="I560" s="25" t="s">
        <v>217</v>
      </c>
    </row>
    <row r="561">
      <c r="A561" s="64">
        <v>45999.0</v>
      </c>
      <c r="B561" s="66" t="s">
        <v>305</v>
      </c>
      <c r="C561" s="66" t="s">
        <v>224</v>
      </c>
      <c r="D561" s="67">
        <v>24.0</v>
      </c>
      <c r="E561" s="66" t="s">
        <v>184</v>
      </c>
      <c r="F561" s="66" t="s">
        <v>619</v>
      </c>
      <c r="G561" s="65" t="str">
        <f t="shared" si="1"/>
        <v>MCC015UC0045</v>
      </c>
      <c r="H561" s="35" t="str">
        <f t="shared" si="2"/>
        <v>Saída</v>
      </c>
      <c r="I561" s="25" t="s">
        <v>307</v>
      </c>
    </row>
    <row r="562">
      <c r="A562" s="64">
        <v>45999.0</v>
      </c>
      <c r="B562" s="66" t="s">
        <v>239</v>
      </c>
      <c r="C562" s="66" t="s">
        <v>224</v>
      </c>
      <c r="D562" s="67">
        <v>1.0</v>
      </c>
      <c r="E562" s="66" t="s">
        <v>184</v>
      </c>
      <c r="F562" s="66" t="s">
        <v>734</v>
      </c>
      <c r="G562" s="65" t="str">
        <f t="shared" si="1"/>
        <v>MCC015UC0045</v>
      </c>
      <c r="H562" s="35" t="str">
        <f t="shared" si="2"/>
        <v>Saída</v>
      </c>
      <c r="I562" s="25" t="s">
        <v>241</v>
      </c>
    </row>
    <row r="563" hidden="1">
      <c r="A563" s="64">
        <v>45999.0</v>
      </c>
      <c r="B563" s="66" t="s">
        <v>455</v>
      </c>
      <c r="C563" s="66" t="s">
        <v>226</v>
      </c>
      <c r="D563" s="67">
        <v>6.0</v>
      </c>
      <c r="E563" s="66" t="s">
        <v>184</v>
      </c>
      <c r="F563" s="66" t="s">
        <v>735</v>
      </c>
      <c r="G563" s="65" t="str">
        <f t="shared" si="1"/>
        <v>MCC046UC0596</v>
      </c>
      <c r="H563" s="35" t="str">
        <f t="shared" si="2"/>
        <v>Saída</v>
      </c>
      <c r="I563" s="25" t="s">
        <v>457</v>
      </c>
    </row>
    <row r="564" hidden="1">
      <c r="A564" s="64">
        <v>45999.0</v>
      </c>
      <c r="B564" s="66" t="s">
        <v>455</v>
      </c>
      <c r="C564" s="66" t="s">
        <v>226</v>
      </c>
      <c r="D564" s="67">
        <v>2.0</v>
      </c>
      <c r="E564" s="66" t="s">
        <v>184</v>
      </c>
      <c r="F564" s="66" t="s">
        <v>727</v>
      </c>
      <c r="G564" s="65" t="str">
        <f t="shared" si="1"/>
        <v>MCC046UC0596</v>
      </c>
      <c r="H564" s="35" t="str">
        <f t="shared" si="2"/>
        <v>Saída</v>
      </c>
      <c r="I564" s="25" t="s">
        <v>457</v>
      </c>
    </row>
    <row r="565">
      <c r="A565" s="64">
        <v>46001.0</v>
      </c>
      <c r="B565" s="66" t="s">
        <v>214</v>
      </c>
      <c r="C565" s="66" t="s">
        <v>224</v>
      </c>
      <c r="D565" s="67">
        <v>20.0</v>
      </c>
      <c r="E565" s="66" t="s">
        <v>184</v>
      </c>
      <c r="F565" s="66" t="s">
        <v>736</v>
      </c>
      <c r="G565" s="65" t="str">
        <f t="shared" si="1"/>
        <v>MCC015UC0045</v>
      </c>
      <c r="H565" s="35" t="str">
        <f t="shared" si="2"/>
        <v>Saída</v>
      </c>
      <c r="I565" s="25" t="s">
        <v>217</v>
      </c>
    </row>
    <row r="566">
      <c r="A566" s="64">
        <v>46001.0</v>
      </c>
      <c r="B566" s="66" t="s">
        <v>455</v>
      </c>
      <c r="C566" s="66" t="s">
        <v>224</v>
      </c>
      <c r="D566" s="67">
        <v>24.0</v>
      </c>
      <c r="E566" s="66" t="s">
        <v>184</v>
      </c>
      <c r="F566" s="66" t="s">
        <v>714</v>
      </c>
      <c r="G566" s="65" t="str">
        <f t="shared" si="1"/>
        <v>MCC015UC0045</v>
      </c>
      <c r="H566" s="35" t="str">
        <f t="shared" si="2"/>
        <v>Saída</v>
      </c>
      <c r="I566" s="25" t="s">
        <v>457</v>
      </c>
    </row>
    <row r="567" hidden="1">
      <c r="A567" s="64">
        <v>46001.0</v>
      </c>
      <c r="B567" s="66" t="s">
        <v>305</v>
      </c>
      <c r="C567" s="66" t="s">
        <v>253</v>
      </c>
      <c r="D567" s="67">
        <v>4.0</v>
      </c>
      <c r="E567" s="66" t="s">
        <v>184</v>
      </c>
      <c r="F567" s="66" t="s">
        <v>619</v>
      </c>
      <c r="G567" s="65" t="str">
        <f t="shared" si="1"/>
        <v>MCC046UC0599</v>
      </c>
      <c r="H567" s="35" t="str">
        <f t="shared" si="2"/>
        <v>Saída</v>
      </c>
      <c r="I567" s="25" t="s">
        <v>307</v>
      </c>
    </row>
    <row r="568" hidden="1">
      <c r="A568" s="64">
        <v>46001.0</v>
      </c>
      <c r="B568" s="66" t="s">
        <v>340</v>
      </c>
      <c r="C568" s="66" t="s">
        <v>245</v>
      </c>
      <c r="D568" s="67">
        <v>5.0</v>
      </c>
      <c r="E568" s="66" t="s">
        <v>180</v>
      </c>
      <c r="F568" s="66" t="s">
        <v>724</v>
      </c>
      <c r="G568" s="65" t="str">
        <f t="shared" si="1"/>
        <v>MCC015UC0008</v>
      </c>
      <c r="H568" s="35" t="str">
        <f t="shared" si="2"/>
        <v>Saída</v>
      </c>
      <c r="I568" s="25" t="s">
        <v>342</v>
      </c>
    </row>
    <row r="569" hidden="1">
      <c r="A569" s="64">
        <v>46001.0</v>
      </c>
      <c r="B569" s="66" t="s">
        <v>270</v>
      </c>
      <c r="C569" s="66" t="s">
        <v>291</v>
      </c>
      <c r="D569" s="67">
        <v>6.0</v>
      </c>
      <c r="E569" s="66" t="s">
        <v>180</v>
      </c>
      <c r="F569" s="66" t="s">
        <v>737</v>
      </c>
      <c r="G569" s="65" t="str">
        <f t="shared" si="1"/>
        <v>MCC046UC0695</v>
      </c>
      <c r="H569" s="35" t="str">
        <f t="shared" si="2"/>
        <v>Saída</v>
      </c>
      <c r="I569" s="25" t="s">
        <v>273</v>
      </c>
    </row>
    <row r="570" hidden="1">
      <c r="A570" s="64">
        <v>46001.0</v>
      </c>
      <c r="B570" s="66" t="s">
        <v>270</v>
      </c>
      <c r="C570" s="66" t="s">
        <v>245</v>
      </c>
      <c r="D570" s="67">
        <v>50.0</v>
      </c>
      <c r="E570" s="66" t="s">
        <v>180</v>
      </c>
      <c r="F570" s="66" t="s">
        <v>738</v>
      </c>
      <c r="G570" s="65" t="str">
        <f t="shared" si="1"/>
        <v>MCC015UC0008</v>
      </c>
      <c r="H570" s="35" t="str">
        <f t="shared" si="2"/>
        <v>Saída</v>
      </c>
      <c r="I570" s="25" t="s">
        <v>273</v>
      </c>
    </row>
    <row r="571" hidden="1">
      <c r="A571" s="64">
        <v>46006.0</v>
      </c>
      <c r="B571" s="66" t="s">
        <v>282</v>
      </c>
      <c r="C571" s="66" t="s">
        <v>363</v>
      </c>
      <c r="D571" s="67">
        <v>8.0</v>
      </c>
      <c r="E571" s="66" t="s">
        <v>184</v>
      </c>
      <c r="F571" s="66" t="s">
        <v>739</v>
      </c>
      <c r="G571" s="65" t="str">
        <f t="shared" si="1"/>
        <v>MCC015UC0033</v>
      </c>
      <c r="H571" s="35" t="str">
        <f t="shared" si="2"/>
        <v>Saída</v>
      </c>
      <c r="I571" s="25" t="s">
        <v>284</v>
      </c>
    </row>
    <row r="572" hidden="1">
      <c r="A572" s="64">
        <v>46006.0</v>
      </c>
      <c r="B572" s="66" t="s">
        <v>305</v>
      </c>
      <c r="C572" s="66" t="s">
        <v>227</v>
      </c>
      <c r="D572" s="67">
        <v>3.0</v>
      </c>
      <c r="E572" s="66" t="s">
        <v>184</v>
      </c>
      <c r="F572" s="66" t="s">
        <v>619</v>
      </c>
      <c r="G572" s="65" t="str">
        <f t="shared" si="1"/>
        <v>MCC046UC0668</v>
      </c>
      <c r="H572" s="35" t="str">
        <f t="shared" si="2"/>
        <v>Saída</v>
      </c>
      <c r="I572" s="25" t="s">
        <v>307</v>
      </c>
    </row>
    <row r="573" hidden="1">
      <c r="A573" s="64">
        <v>46006.0</v>
      </c>
      <c r="B573" s="66" t="s">
        <v>232</v>
      </c>
      <c r="C573" s="66" t="s">
        <v>255</v>
      </c>
      <c r="D573" s="67">
        <v>1.0</v>
      </c>
      <c r="E573" s="66" t="s">
        <v>183</v>
      </c>
      <c r="F573" s="66" t="s">
        <v>731</v>
      </c>
      <c r="G573" s="65" t="str">
        <f t="shared" si="1"/>
        <v>MCC046UC0215</v>
      </c>
      <c r="H573" s="35" t="str">
        <f t="shared" si="2"/>
        <v>Saída</v>
      </c>
      <c r="I573" s="25" t="s">
        <v>234</v>
      </c>
    </row>
    <row r="574" hidden="1">
      <c r="A574" s="64">
        <v>46006.0</v>
      </c>
      <c r="B574" s="66" t="s">
        <v>401</v>
      </c>
      <c r="C574" s="66" t="s">
        <v>218</v>
      </c>
      <c r="D574" s="67">
        <v>1.0</v>
      </c>
      <c r="E574" s="66" t="s">
        <v>184</v>
      </c>
      <c r="F574" s="66" t="s">
        <v>740</v>
      </c>
      <c r="G574" s="65" t="str">
        <f t="shared" si="1"/>
        <v>MCC046UC0398</v>
      </c>
      <c r="H574" s="35" t="str">
        <f t="shared" si="2"/>
        <v>Saída</v>
      </c>
      <c r="I574" s="25" t="s">
        <v>403</v>
      </c>
    </row>
    <row r="575">
      <c r="A575" s="64">
        <v>46006.0</v>
      </c>
      <c r="B575" s="66" t="s">
        <v>401</v>
      </c>
      <c r="C575" s="66" t="s">
        <v>224</v>
      </c>
      <c r="D575" s="67">
        <v>25.0</v>
      </c>
      <c r="E575" s="66" t="s">
        <v>184</v>
      </c>
      <c r="F575" s="66" t="s">
        <v>741</v>
      </c>
      <c r="G575" s="65" t="str">
        <f t="shared" si="1"/>
        <v>MCC015UC0045</v>
      </c>
      <c r="H575" s="35" t="str">
        <f t="shared" si="2"/>
        <v>Saída</v>
      </c>
      <c r="I575" s="25" t="s">
        <v>403</v>
      </c>
    </row>
    <row r="576" hidden="1">
      <c r="A576" s="64">
        <v>46008.0</v>
      </c>
      <c r="B576" s="66" t="s">
        <v>455</v>
      </c>
      <c r="C576" s="66" t="s">
        <v>245</v>
      </c>
      <c r="D576" s="67">
        <v>6.0</v>
      </c>
      <c r="E576" s="66" t="s">
        <v>184</v>
      </c>
      <c r="F576" s="66" t="s">
        <v>742</v>
      </c>
      <c r="G576" s="65" t="str">
        <f t="shared" si="1"/>
        <v>MCC015UC0008</v>
      </c>
      <c r="H576" s="35" t="str">
        <f t="shared" si="2"/>
        <v>Saída</v>
      </c>
      <c r="I576" s="25" t="s">
        <v>457</v>
      </c>
    </row>
    <row r="577" hidden="1">
      <c r="A577" s="64">
        <v>46008.0</v>
      </c>
      <c r="B577" s="66" t="s">
        <v>258</v>
      </c>
      <c r="C577" s="66" t="s">
        <v>245</v>
      </c>
      <c r="D577" s="67">
        <v>4.0</v>
      </c>
      <c r="E577" s="66" t="s">
        <v>184</v>
      </c>
      <c r="F577" s="66" t="s">
        <v>743</v>
      </c>
      <c r="G577" s="65" t="str">
        <f t="shared" si="1"/>
        <v>MCC015UC0008</v>
      </c>
      <c r="H577" s="35" t="str">
        <f t="shared" si="2"/>
        <v>Saída</v>
      </c>
      <c r="I577" s="25" t="s">
        <v>260</v>
      </c>
    </row>
    <row r="578">
      <c r="A578" s="64">
        <v>46008.0</v>
      </c>
      <c r="B578" s="66" t="s">
        <v>244</v>
      </c>
      <c r="C578" s="66" t="s">
        <v>224</v>
      </c>
      <c r="D578" s="67">
        <v>1.0</v>
      </c>
      <c r="E578" s="66" t="s">
        <v>183</v>
      </c>
      <c r="F578" s="66" t="s">
        <v>744</v>
      </c>
      <c r="G578" s="65" t="str">
        <f t="shared" si="1"/>
        <v>MCC015UC0045</v>
      </c>
      <c r="H578" s="35" t="str">
        <f t="shared" si="2"/>
        <v>Saída</v>
      </c>
      <c r="I578" s="25" t="s">
        <v>247</v>
      </c>
    </row>
    <row r="579" hidden="1">
      <c r="A579" s="64">
        <v>46008.0</v>
      </c>
      <c r="B579" s="66" t="s">
        <v>258</v>
      </c>
      <c r="C579" s="66" t="s">
        <v>253</v>
      </c>
      <c r="D579" s="67">
        <v>4.0</v>
      </c>
      <c r="E579" s="66" t="s">
        <v>184</v>
      </c>
      <c r="F579" s="66" t="s">
        <v>745</v>
      </c>
      <c r="G579" s="65" t="str">
        <f t="shared" si="1"/>
        <v>MCC046UC0599</v>
      </c>
      <c r="H579" s="35" t="str">
        <f t="shared" si="2"/>
        <v>Saída</v>
      </c>
      <c r="I579" s="25" t="s">
        <v>260</v>
      </c>
    </row>
    <row r="580" hidden="1">
      <c r="A580" s="64">
        <v>46008.0</v>
      </c>
      <c r="B580" s="66" t="s">
        <v>232</v>
      </c>
      <c r="C580" s="66" t="s">
        <v>215</v>
      </c>
      <c r="D580" s="67">
        <v>2.0</v>
      </c>
      <c r="E580" s="66" t="s">
        <v>182</v>
      </c>
      <c r="F580" s="66" t="s">
        <v>731</v>
      </c>
      <c r="G580" s="65" t="str">
        <f t="shared" si="1"/>
        <v>MCC046UC0082</v>
      </c>
      <c r="H580" s="35" t="str">
        <f t="shared" si="2"/>
        <v>Saída</v>
      </c>
      <c r="I580" s="25" t="s">
        <v>234</v>
      </c>
    </row>
    <row r="581" hidden="1">
      <c r="A581" s="64">
        <v>46008.0</v>
      </c>
      <c r="B581" s="66" t="s">
        <v>455</v>
      </c>
      <c r="C581" s="66" t="s">
        <v>245</v>
      </c>
      <c r="D581" s="67">
        <v>10.0</v>
      </c>
      <c r="E581" s="66" t="s">
        <v>184</v>
      </c>
      <c r="F581" s="66" t="s">
        <v>742</v>
      </c>
      <c r="G581" s="65" t="str">
        <f t="shared" si="1"/>
        <v>MCC015UC0008</v>
      </c>
      <c r="H581" s="35" t="str">
        <f t="shared" si="2"/>
        <v>Saída</v>
      </c>
      <c r="I581" s="25" t="s">
        <v>457</v>
      </c>
    </row>
    <row r="582" hidden="1">
      <c r="A582" s="64">
        <v>46027.48327546296</v>
      </c>
      <c r="B582" s="66" t="s">
        <v>210</v>
      </c>
      <c r="C582" s="66" t="s">
        <v>298</v>
      </c>
      <c r="D582" s="67">
        <v>2.0</v>
      </c>
      <c r="E582" s="66" t="s">
        <v>183</v>
      </c>
      <c r="F582" s="66" t="s">
        <v>641</v>
      </c>
      <c r="G582" s="65" t="str">
        <f t="shared" si="1"/>
        <v>MCC046UC0639</v>
      </c>
      <c r="H582" s="35" t="str">
        <f t="shared" si="2"/>
        <v>Saída</v>
      </c>
      <c r="I582" s="25" t="s">
        <v>213</v>
      </c>
    </row>
    <row r="583" hidden="1">
      <c r="A583" s="64">
        <v>46027.48375</v>
      </c>
      <c r="B583" s="66" t="s">
        <v>401</v>
      </c>
      <c r="C583" s="66" t="s">
        <v>311</v>
      </c>
      <c r="D583" s="67">
        <v>4.0</v>
      </c>
      <c r="E583" s="66" t="s">
        <v>184</v>
      </c>
      <c r="F583" s="66" t="s">
        <v>746</v>
      </c>
      <c r="G583" s="65" t="str">
        <f t="shared" si="1"/>
        <v>MCC046UC0638</v>
      </c>
      <c r="H583" s="35" t="str">
        <f t="shared" si="2"/>
        <v>Saída</v>
      </c>
      <c r="I583" s="25" t="s">
        <v>403</v>
      </c>
    </row>
    <row r="584" hidden="1">
      <c r="A584" s="64">
        <v>46028.48863425926</v>
      </c>
      <c r="B584" s="66" t="s">
        <v>359</v>
      </c>
      <c r="C584" s="66" t="s">
        <v>245</v>
      </c>
      <c r="D584" s="67">
        <v>10.0</v>
      </c>
      <c r="E584" s="66" t="s">
        <v>183</v>
      </c>
      <c r="F584" s="66" t="s">
        <v>747</v>
      </c>
      <c r="G584" s="65" t="str">
        <f t="shared" si="1"/>
        <v>MCC015UC0008</v>
      </c>
      <c r="H584" s="35" t="str">
        <f t="shared" si="2"/>
        <v>Saída</v>
      </c>
      <c r="I584" s="25" t="s">
        <v>362</v>
      </c>
    </row>
    <row r="585" hidden="1">
      <c r="A585" s="64">
        <v>46028.52997685185</v>
      </c>
      <c r="B585" s="66" t="s">
        <v>239</v>
      </c>
      <c r="C585" s="66" t="s">
        <v>242</v>
      </c>
      <c r="D585" s="67">
        <v>1.0</v>
      </c>
      <c r="E585" s="66" t="s">
        <v>184</v>
      </c>
      <c r="F585" s="66" t="s">
        <v>748</v>
      </c>
      <c r="G585" s="65" t="str">
        <f t="shared" si="1"/>
        <v>MCC046UC0687</v>
      </c>
      <c r="H585" s="35" t="str">
        <f t="shared" si="2"/>
        <v>Saída</v>
      </c>
      <c r="I585" s="25" t="s">
        <v>241</v>
      </c>
    </row>
    <row r="586" hidden="1">
      <c r="A586" s="64">
        <v>46028.53065972222</v>
      </c>
      <c r="B586" s="66" t="s">
        <v>239</v>
      </c>
      <c r="C586" s="66" t="s">
        <v>215</v>
      </c>
      <c r="D586" s="67">
        <v>1.0</v>
      </c>
      <c r="E586" s="66" t="s">
        <v>184</v>
      </c>
      <c r="F586" s="66" t="s">
        <v>749</v>
      </c>
      <c r="G586" s="65" t="str">
        <f t="shared" si="1"/>
        <v>MCC046UC0082</v>
      </c>
      <c r="H586" s="35" t="str">
        <f t="shared" si="2"/>
        <v>Saída</v>
      </c>
      <c r="I586" s="25" t="s">
        <v>241</v>
      </c>
    </row>
    <row r="587">
      <c r="A587" s="64">
        <v>46028.55196759259</v>
      </c>
      <c r="B587" s="66" t="s">
        <v>455</v>
      </c>
      <c r="C587" s="66" t="s">
        <v>224</v>
      </c>
      <c r="D587" s="67">
        <v>24.0</v>
      </c>
      <c r="E587" s="66" t="s">
        <v>184</v>
      </c>
      <c r="F587" s="66" t="s">
        <v>735</v>
      </c>
      <c r="G587" s="65" t="str">
        <f t="shared" si="1"/>
        <v>MCC015UC0045</v>
      </c>
      <c r="H587" s="35" t="str">
        <f t="shared" si="2"/>
        <v>Saída</v>
      </c>
      <c r="I587" s="25" t="s">
        <v>457</v>
      </c>
    </row>
    <row r="588" hidden="1">
      <c r="A588" s="64">
        <v>46028.55247685185</v>
      </c>
      <c r="B588" s="66" t="s">
        <v>455</v>
      </c>
      <c r="C588" s="66" t="s">
        <v>447</v>
      </c>
      <c r="D588" s="67">
        <v>6.0</v>
      </c>
      <c r="E588" s="66" t="s">
        <v>184</v>
      </c>
      <c r="F588" s="66" t="s">
        <v>750</v>
      </c>
      <c r="G588" s="65" t="str">
        <f t="shared" si="1"/>
        <v>EMC015MO0007</v>
      </c>
      <c r="H588" s="35" t="str">
        <f t="shared" si="2"/>
        <v>Saída</v>
      </c>
      <c r="I588" s="25" t="s">
        <v>457</v>
      </c>
    </row>
    <row r="589">
      <c r="A589" s="64">
        <v>46028.740891203706</v>
      </c>
      <c r="B589" s="66" t="s">
        <v>366</v>
      </c>
      <c r="C589" s="66" t="s">
        <v>224</v>
      </c>
      <c r="D589" s="67">
        <v>12.0</v>
      </c>
      <c r="E589" s="66" t="s">
        <v>181</v>
      </c>
      <c r="F589" s="66" t="s">
        <v>751</v>
      </c>
      <c r="G589" s="65" t="str">
        <f t="shared" si="1"/>
        <v>MCC015UC0045</v>
      </c>
      <c r="H589" s="35" t="str">
        <f t="shared" si="2"/>
        <v>Saída</v>
      </c>
      <c r="I589" s="25" t="s">
        <v>368</v>
      </c>
    </row>
    <row r="590" hidden="1">
      <c r="A590" s="64">
        <v>46028.83667824074</v>
      </c>
      <c r="B590" s="66" t="s">
        <v>235</v>
      </c>
      <c r="C590" s="66" t="s">
        <v>245</v>
      </c>
      <c r="D590" s="67">
        <v>2.0</v>
      </c>
      <c r="E590" s="66" t="s">
        <v>184</v>
      </c>
      <c r="F590" s="66" t="s">
        <v>752</v>
      </c>
      <c r="G590" s="65" t="str">
        <f t="shared" si="1"/>
        <v>MCC015UC0008</v>
      </c>
      <c r="H590" s="35" t="str">
        <f t="shared" si="2"/>
        <v>Saída</v>
      </c>
      <c r="I590" s="25" t="s">
        <v>238</v>
      </c>
    </row>
    <row r="591" hidden="1">
      <c r="A591" s="64">
        <v>46028.84936342593</v>
      </c>
      <c r="B591" s="66" t="s">
        <v>455</v>
      </c>
      <c r="C591" s="66" t="s">
        <v>245</v>
      </c>
      <c r="D591" s="67">
        <v>2.0</v>
      </c>
      <c r="E591" s="66" t="s">
        <v>184</v>
      </c>
      <c r="F591" s="66" t="s">
        <v>753</v>
      </c>
      <c r="G591" s="65" t="str">
        <f t="shared" si="1"/>
        <v>MCC015UC0008</v>
      </c>
      <c r="H591" s="35" t="str">
        <f t="shared" si="2"/>
        <v>Saída</v>
      </c>
      <c r="I591" s="25" t="s">
        <v>457</v>
      </c>
    </row>
    <row r="592" hidden="1">
      <c r="A592" s="64">
        <v>46029.4746875</v>
      </c>
      <c r="B592" s="66" t="s">
        <v>239</v>
      </c>
      <c r="C592" s="66" t="s">
        <v>218</v>
      </c>
      <c r="D592" s="67">
        <v>1.0</v>
      </c>
      <c r="E592" s="66" t="s">
        <v>184</v>
      </c>
      <c r="F592" s="66" t="s">
        <v>754</v>
      </c>
      <c r="G592" s="65" t="str">
        <f t="shared" si="1"/>
        <v>MCC046UC0398</v>
      </c>
      <c r="H592" s="35" t="str">
        <f t="shared" si="2"/>
        <v>Saída</v>
      </c>
      <c r="I592" s="25" t="s">
        <v>241</v>
      </c>
    </row>
    <row r="593" hidden="1">
      <c r="A593" s="64">
        <v>46029.505324074074</v>
      </c>
      <c r="B593" s="66" t="s">
        <v>401</v>
      </c>
      <c r="C593" s="66" t="s">
        <v>248</v>
      </c>
      <c r="D593" s="67">
        <v>1.0</v>
      </c>
      <c r="E593" s="66" t="s">
        <v>184</v>
      </c>
      <c r="F593" s="66" t="s">
        <v>755</v>
      </c>
      <c r="G593" s="65" t="str">
        <f t="shared" si="1"/>
        <v>MCC046UC0387</v>
      </c>
      <c r="H593" s="35" t="str">
        <f t="shared" si="2"/>
        <v>Saída</v>
      </c>
      <c r="I593" s="25" t="s">
        <v>403</v>
      </c>
    </row>
    <row r="594" hidden="1">
      <c r="A594" s="64">
        <v>46029.644212962965</v>
      </c>
      <c r="B594" s="66" t="s">
        <v>282</v>
      </c>
      <c r="C594" s="66" t="s">
        <v>271</v>
      </c>
      <c r="D594" s="67">
        <v>4.0</v>
      </c>
      <c r="E594" s="66" t="s">
        <v>184</v>
      </c>
      <c r="F594" s="66" t="s">
        <v>756</v>
      </c>
      <c r="G594" s="65" t="str">
        <f t="shared" si="1"/>
        <v>MCC046UC0216</v>
      </c>
      <c r="H594" s="35" t="str">
        <f t="shared" si="2"/>
        <v>Saída</v>
      </c>
      <c r="I594" s="25" t="s">
        <v>284</v>
      </c>
    </row>
    <row r="595" hidden="1">
      <c r="A595" s="64">
        <v>46029.71959490741</v>
      </c>
      <c r="B595" s="66" t="s">
        <v>455</v>
      </c>
      <c r="C595" s="66" t="s">
        <v>398</v>
      </c>
      <c r="D595" s="67">
        <v>24.0</v>
      </c>
      <c r="E595" s="66" t="s">
        <v>184</v>
      </c>
      <c r="F595" s="66" t="s">
        <v>735</v>
      </c>
      <c r="G595" s="65" t="str">
        <f t="shared" si="1"/>
        <v>MCC046UC0360</v>
      </c>
      <c r="H595" s="35" t="str">
        <f t="shared" si="2"/>
        <v>Saída</v>
      </c>
      <c r="I595" s="25" t="s">
        <v>457</v>
      </c>
    </row>
    <row r="596" hidden="1">
      <c r="A596" s="64">
        <v>46030.483761574076</v>
      </c>
      <c r="B596" s="66" t="s">
        <v>305</v>
      </c>
      <c r="C596" s="66" t="s">
        <v>226</v>
      </c>
      <c r="D596" s="67">
        <v>12.0</v>
      </c>
      <c r="E596" s="66" t="s">
        <v>184</v>
      </c>
      <c r="F596" s="66" t="s">
        <v>757</v>
      </c>
      <c r="G596" s="65" t="str">
        <f t="shared" si="1"/>
        <v>MCC046UC0596</v>
      </c>
      <c r="H596" s="35" t="str">
        <f t="shared" si="2"/>
        <v>Saída</v>
      </c>
      <c r="I596" s="25" t="s">
        <v>307</v>
      </c>
    </row>
    <row r="597" hidden="1">
      <c r="A597" s="64">
        <v>46030.518483796295</v>
      </c>
      <c r="B597" s="66" t="s">
        <v>455</v>
      </c>
      <c r="C597" s="66" t="s">
        <v>520</v>
      </c>
      <c r="D597" s="67">
        <v>3.0</v>
      </c>
      <c r="E597" s="66" t="s">
        <v>184</v>
      </c>
      <c r="F597" s="66" t="s">
        <v>735</v>
      </c>
      <c r="G597" s="65" t="str">
        <f t="shared" si="1"/>
        <v>MCC049UC0393</v>
      </c>
      <c r="H597" s="35" t="str">
        <f t="shared" si="2"/>
        <v>Saída</v>
      </c>
      <c r="I597" s="25" t="s">
        <v>457</v>
      </c>
    </row>
    <row r="598" hidden="1">
      <c r="A598" s="64">
        <v>46030.603842592594</v>
      </c>
      <c r="B598" s="66" t="s">
        <v>343</v>
      </c>
      <c r="C598" s="66" t="s">
        <v>250</v>
      </c>
      <c r="D598" s="67">
        <v>3.0</v>
      </c>
      <c r="E598" s="66" t="s">
        <v>180</v>
      </c>
      <c r="F598" s="66" t="s">
        <v>758</v>
      </c>
      <c r="G598" s="65" t="str">
        <f t="shared" si="1"/>
        <v>MCC046UC0526</v>
      </c>
      <c r="H598" s="35" t="str">
        <f t="shared" si="2"/>
        <v>Saída</v>
      </c>
      <c r="I598" s="25" t="s">
        <v>345</v>
      </c>
    </row>
    <row r="599" hidden="1">
      <c r="A599" s="64">
        <v>46030.74444444444</v>
      </c>
      <c r="B599" s="66" t="s">
        <v>232</v>
      </c>
      <c r="C599" s="66" t="s">
        <v>245</v>
      </c>
      <c r="D599" s="67">
        <v>5.0</v>
      </c>
      <c r="E599" s="66" t="s">
        <v>183</v>
      </c>
      <c r="F599" s="66" t="s">
        <v>759</v>
      </c>
      <c r="G599" s="65" t="str">
        <f t="shared" si="1"/>
        <v>MCC015UC0008</v>
      </c>
      <c r="H599" s="35" t="str">
        <f t="shared" si="2"/>
        <v>Saída</v>
      </c>
      <c r="I599" s="25" t="s">
        <v>234</v>
      </c>
    </row>
    <row r="600">
      <c r="A600" s="64">
        <v>46030.80237268518</v>
      </c>
      <c r="B600" s="66" t="s">
        <v>270</v>
      </c>
      <c r="C600" s="66" t="s">
        <v>224</v>
      </c>
      <c r="D600" s="67">
        <v>3.0</v>
      </c>
      <c r="E600" s="66" t="s">
        <v>180</v>
      </c>
      <c r="F600" s="66" t="s">
        <v>760</v>
      </c>
      <c r="G600" s="65" t="str">
        <f t="shared" si="1"/>
        <v>MCC015UC0045</v>
      </c>
      <c r="H600" s="35" t="str">
        <f t="shared" si="2"/>
        <v>Saída</v>
      </c>
      <c r="I600" s="25" t="s">
        <v>273</v>
      </c>
    </row>
    <row r="601" hidden="1">
      <c r="A601" s="64">
        <v>46031.62741898148</v>
      </c>
      <c r="B601" s="66" t="s">
        <v>343</v>
      </c>
      <c r="C601" s="66" t="s">
        <v>245</v>
      </c>
      <c r="D601" s="67">
        <v>30.0</v>
      </c>
      <c r="E601" s="66" t="s">
        <v>180</v>
      </c>
      <c r="F601" s="66" t="s">
        <v>761</v>
      </c>
      <c r="G601" s="65" t="str">
        <f t="shared" si="1"/>
        <v>MCC015UC0008</v>
      </c>
      <c r="H601" s="35" t="str">
        <f t="shared" si="2"/>
        <v>Saída</v>
      </c>
      <c r="I601" s="25" t="s">
        <v>345</v>
      </c>
    </row>
    <row r="602" hidden="1">
      <c r="A602" s="64">
        <v>46031.78065972222</v>
      </c>
      <c r="B602" s="66" t="s">
        <v>282</v>
      </c>
      <c r="C602" s="66" t="s">
        <v>221</v>
      </c>
      <c r="D602" s="67">
        <v>24.0</v>
      </c>
      <c r="E602" s="66" t="s">
        <v>184</v>
      </c>
      <c r="F602" s="66" t="s">
        <v>762</v>
      </c>
      <c r="G602" s="65" t="str">
        <f t="shared" si="1"/>
        <v>MCC049UC0600</v>
      </c>
      <c r="H602" s="35" t="str">
        <f t="shared" si="2"/>
        <v>Saída</v>
      </c>
      <c r="I602" s="25" t="s">
        <v>284</v>
      </c>
    </row>
    <row r="603" hidden="1">
      <c r="A603" s="64">
        <v>46034.49048611111</v>
      </c>
      <c r="B603" s="66" t="s">
        <v>455</v>
      </c>
      <c r="C603" s="66" t="s">
        <v>360</v>
      </c>
      <c r="D603" s="67">
        <v>5.0</v>
      </c>
      <c r="E603" s="66" t="s">
        <v>184</v>
      </c>
      <c r="F603" s="66" t="s">
        <v>763</v>
      </c>
      <c r="G603" s="65" t="str">
        <f t="shared" si="1"/>
        <v>MCC049UC0288</v>
      </c>
      <c r="H603" s="35" t="str">
        <f t="shared" si="2"/>
        <v>Saída</v>
      </c>
      <c r="I603" s="25" t="s">
        <v>457</v>
      </c>
    </row>
    <row r="604" hidden="1">
      <c r="A604" s="64">
        <v>46034.50649305555</v>
      </c>
      <c r="B604" s="66" t="s">
        <v>337</v>
      </c>
      <c r="C604" s="66" t="s">
        <v>215</v>
      </c>
      <c r="D604" s="67">
        <v>91.0</v>
      </c>
      <c r="E604" s="66" t="s">
        <v>184</v>
      </c>
      <c r="F604" s="66" t="s">
        <v>477</v>
      </c>
      <c r="G604" s="65" t="str">
        <f t="shared" si="1"/>
        <v>MCC046UC0082</v>
      </c>
      <c r="H604" s="35" t="str">
        <f t="shared" si="2"/>
        <v>Saída</v>
      </c>
      <c r="I604" s="25" t="s">
        <v>189</v>
      </c>
    </row>
    <row r="605" hidden="1">
      <c r="A605" s="64">
        <v>46034.576689814814</v>
      </c>
      <c r="B605" s="66" t="s">
        <v>401</v>
      </c>
      <c r="C605" s="66" t="s">
        <v>291</v>
      </c>
      <c r="D605" s="67">
        <v>1.0</v>
      </c>
      <c r="E605" s="66" t="s">
        <v>184</v>
      </c>
      <c r="F605" s="66" t="s">
        <v>764</v>
      </c>
      <c r="G605" s="65" t="str">
        <f t="shared" si="1"/>
        <v>MCC046UC0695</v>
      </c>
      <c r="H605" s="35" t="str">
        <f t="shared" si="2"/>
        <v>Saída</v>
      </c>
      <c r="I605" s="25" t="s">
        <v>403</v>
      </c>
    </row>
    <row r="606" hidden="1">
      <c r="A606" s="64">
        <v>46034.70460648148</v>
      </c>
      <c r="B606" s="66" t="s">
        <v>359</v>
      </c>
      <c r="C606" s="66" t="s">
        <v>218</v>
      </c>
      <c r="D606" s="67">
        <v>1.0</v>
      </c>
      <c r="E606" s="66" t="s">
        <v>183</v>
      </c>
      <c r="F606" s="66" t="s">
        <v>765</v>
      </c>
      <c r="G606" s="65" t="str">
        <f t="shared" si="1"/>
        <v>MCC046UC0398</v>
      </c>
      <c r="H606" s="35" t="str">
        <f t="shared" si="2"/>
        <v>Saída</v>
      </c>
      <c r="I606" s="25" t="s">
        <v>362</v>
      </c>
    </row>
    <row r="607">
      <c r="A607" s="64">
        <v>46034.70552083333</v>
      </c>
      <c r="B607" s="66" t="s">
        <v>359</v>
      </c>
      <c r="C607" s="66" t="s">
        <v>224</v>
      </c>
      <c r="D607" s="67">
        <v>8.0</v>
      </c>
      <c r="E607" s="66" t="s">
        <v>183</v>
      </c>
      <c r="F607" s="66" t="s">
        <v>765</v>
      </c>
      <c r="G607" s="65" t="str">
        <f t="shared" si="1"/>
        <v>MCC015UC0045</v>
      </c>
      <c r="H607" s="35" t="str">
        <f t="shared" si="2"/>
        <v>Saída</v>
      </c>
      <c r="I607" s="25" t="s">
        <v>362</v>
      </c>
    </row>
    <row r="608" hidden="1">
      <c r="A608" s="64">
        <v>46034.70689814815</v>
      </c>
      <c r="B608" s="66" t="s">
        <v>359</v>
      </c>
      <c r="C608" s="66" t="s">
        <v>291</v>
      </c>
      <c r="D608" s="67">
        <v>3.0</v>
      </c>
      <c r="E608" s="66" t="s">
        <v>183</v>
      </c>
      <c r="F608" s="66" t="s">
        <v>765</v>
      </c>
      <c r="G608" s="65" t="str">
        <f t="shared" si="1"/>
        <v>MCC046UC0695</v>
      </c>
      <c r="H608" s="35" t="str">
        <f t="shared" si="2"/>
        <v>Saída</v>
      </c>
      <c r="I608" s="25" t="s">
        <v>362</v>
      </c>
    </row>
    <row r="609" hidden="1">
      <c r="A609" s="64">
        <v>46034.72467592593</v>
      </c>
      <c r="B609" s="66" t="s">
        <v>337</v>
      </c>
      <c r="C609" s="66" t="s">
        <v>311</v>
      </c>
      <c r="D609" s="67">
        <v>8.0</v>
      </c>
      <c r="E609" s="66" t="s">
        <v>180</v>
      </c>
      <c r="F609" s="66" t="s">
        <v>477</v>
      </c>
      <c r="G609" s="65" t="str">
        <f t="shared" si="1"/>
        <v>MCC046UC0638</v>
      </c>
      <c r="H609" s="35" t="str">
        <f t="shared" si="2"/>
        <v>Saída</v>
      </c>
      <c r="I609" s="25" t="s">
        <v>189</v>
      </c>
    </row>
    <row r="610" hidden="1">
      <c r="A610" s="64">
        <v>46035.48768518519</v>
      </c>
      <c r="B610" s="66" t="s">
        <v>305</v>
      </c>
      <c r="C610" s="66" t="s">
        <v>229</v>
      </c>
      <c r="D610" s="67">
        <v>12.0</v>
      </c>
      <c r="E610" s="66" t="s">
        <v>184</v>
      </c>
      <c r="F610" s="66" t="s">
        <v>766</v>
      </c>
      <c r="G610" s="65" t="str">
        <f t="shared" si="1"/>
        <v>MCC046UC0597</v>
      </c>
      <c r="H610" s="35" t="str">
        <f t="shared" si="2"/>
        <v>Saída</v>
      </c>
      <c r="I610" s="25" t="s">
        <v>307</v>
      </c>
    </row>
    <row r="611" hidden="1">
      <c r="A611" s="64">
        <v>46035.57790509259</v>
      </c>
      <c r="B611" s="66" t="s">
        <v>282</v>
      </c>
      <c r="C611" s="66" t="s">
        <v>253</v>
      </c>
      <c r="D611" s="67">
        <v>3.0</v>
      </c>
      <c r="E611" s="66" t="s">
        <v>184</v>
      </c>
      <c r="F611" s="66" t="s">
        <v>762</v>
      </c>
      <c r="G611" s="65" t="str">
        <f t="shared" si="1"/>
        <v>MCC046UC0599</v>
      </c>
      <c r="H611" s="35" t="str">
        <f t="shared" si="2"/>
        <v>Saída</v>
      </c>
      <c r="I611" s="25" t="s">
        <v>284</v>
      </c>
    </row>
    <row r="612" hidden="1">
      <c r="A612" s="64">
        <v>46035.57848379629</v>
      </c>
      <c r="B612" s="66" t="s">
        <v>282</v>
      </c>
      <c r="C612" s="66" t="s">
        <v>231</v>
      </c>
      <c r="D612" s="67">
        <v>3.0</v>
      </c>
      <c r="E612" s="66" t="s">
        <v>184</v>
      </c>
      <c r="F612" s="66" t="s">
        <v>762</v>
      </c>
      <c r="G612" s="65" t="str">
        <f t="shared" si="1"/>
        <v>MCC049UC0516</v>
      </c>
      <c r="H612" s="35" t="str">
        <f t="shared" si="2"/>
        <v>Saída</v>
      </c>
      <c r="I612" s="25" t="s">
        <v>284</v>
      </c>
    </row>
    <row r="613" hidden="1">
      <c r="A613" s="64">
        <v>46035.57907407408</v>
      </c>
      <c r="B613" s="66" t="s">
        <v>282</v>
      </c>
      <c r="C613" s="66" t="s">
        <v>227</v>
      </c>
      <c r="D613" s="67">
        <v>4.0</v>
      </c>
      <c r="E613" s="66" t="s">
        <v>184</v>
      </c>
      <c r="F613" s="66" t="s">
        <v>762</v>
      </c>
      <c r="G613" s="65" t="str">
        <f t="shared" si="1"/>
        <v>MCC046UC0668</v>
      </c>
      <c r="H613" s="35" t="str">
        <f t="shared" si="2"/>
        <v>Saída</v>
      </c>
      <c r="I613" s="25" t="s">
        <v>284</v>
      </c>
    </row>
    <row r="614" hidden="1">
      <c r="A614" s="64">
        <v>46036.50740740741</v>
      </c>
      <c r="B614" s="66" t="s">
        <v>235</v>
      </c>
      <c r="C614" s="66" t="s">
        <v>245</v>
      </c>
      <c r="D614" s="67">
        <v>6.0</v>
      </c>
      <c r="E614" s="66" t="s">
        <v>184</v>
      </c>
      <c r="F614" s="66" t="s">
        <v>767</v>
      </c>
      <c r="G614" s="65" t="str">
        <f t="shared" si="1"/>
        <v>MCC015UC0008</v>
      </c>
      <c r="H614" s="35" t="str">
        <f t="shared" si="2"/>
        <v>Saída</v>
      </c>
      <c r="I614" s="25" t="s">
        <v>238</v>
      </c>
    </row>
    <row r="615" hidden="1">
      <c r="A615" s="64">
        <v>46036.58988425926</v>
      </c>
      <c r="B615" s="66" t="s">
        <v>455</v>
      </c>
      <c r="C615" s="66" t="s">
        <v>245</v>
      </c>
      <c r="D615" s="67">
        <v>8.0</v>
      </c>
      <c r="E615" s="66" t="s">
        <v>184</v>
      </c>
      <c r="F615" s="66" t="s">
        <v>735</v>
      </c>
      <c r="G615" s="65" t="str">
        <f t="shared" si="1"/>
        <v>MCC015UC0008</v>
      </c>
      <c r="H615" s="35" t="str">
        <f t="shared" si="2"/>
        <v>Saída</v>
      </c>
      <c r="I615" s="25" t="s">
        <v>457</v>
      </c>
    </row>
    <row r="616" hidden="1">
      <c r="A616" s="64">
        <v>46036.746724537035</v>
      </c>
      <c r="B616" s="66" t="s">
        <v>235</v>
      </c>
      <c r="C616" s="66" t="s">
        <v>245</v>
      </c>
      <c r="D616" s="67">
        <v>12.0</v>
      </c>
      <c r="E616" s="66" t="s">
        <v>184</v>
      </c>
      <c r="F616" s="66" t="s">
        <v>768</v>
      </c>
      <c r="G616" s="65" t="str">
        <f t="shared" si="1"/>
        <v>MCC015UC0008</v>
      </c>
      <c r="H616" s="35" t="str">
        <f t="shared" si="2"/>
        <v>Saída</v>
      </c>
      <c r="I616" s="25" t="s">
        <v>238</v>
      </c>
    </row>
    <row r="617" hidden="1">
      <c r="A617" s="64">
        <v>46037.491793981484</v>
      </c>
      <c r="B617" s="66" t="s">
        <v>235</v>
      </c>
      <c r="C617" s="66" t="s">
        <v>245</v>
      </c>
      <c r="D617" s="67">
        <v>10.0</v>
      </c>
      <c r="E617" s="66" t="s">
        <v>184</v>
      </c>
      <c r="F617" s="66" t="s">
        <v>768</v>
      </c>
      <c r="G617" s="65" t="str">
        <f t="shared" si="1"/>
        <v>MCC015UC0008</v>
      </c>
      <c r="H617" s="35" t="str">
        <f t="shared" si="2"/>
        <v>Saída</v>
      </c>
      <c r="I617" s="25" t="s">
        <v>238</v>
      </c>
    </row>
    <row r="618" hidden="1">
      <c r="A618" s="64">
        <v>46037.495787037034</v>
      </c>
      <c r="B618" s="66" t="s">
        <v>455</v>
      </c>
      <c r="C618" s="66" t="s">
        <v>245</v>
      </c>
      <c r="D618" s="67">
        <v>10.0</v>
      </c>
      <c r="E618" s="66" t="s">
        <v>184</v>
      </c>
      <c r="F618" s="66" t="s">
        <v>769</v>
      </c>
      <c r="G618" s="65" t="str">
        <f t="shared" si="1"/>
        <v>MCC015UC0008</v>
      </c>
      <c r="H618" s="35" t="str">
        <f t="shared" si="2"/>
        <v>Saída</v>
      </c>
      <c r="I618" s="25" t="s">
        <v>457</v>
      </c>
    </row>
    <row r="619" hidden="1">
      <c r="A619" s="64">
        <v>46037.52935185185</v>
      </c>
      <c r="B619" s="66" t="s">
        <v>244</v>
      </c>
      <c r="C619" s="66" t="s">
        <v>271</v>
      </c>
      <c r="D619" s="67">
        <v>1.0</v>
      </c>
      <c r="E619" s="66" t="s">
        <v>183</v>
      </c>
      <c r="F619" s="66" t="s">
        <v>770</v>
      </c>
      <c r="G619" s="65" t="str">
        <f t="shared" si="1"/>
        <v>MCC046UC0216</v>
      </c>
      <c r="H619" s="35" t="str">
        <f t="shared" si="2"/>
        <v>Saída</v>
      </c>
      <c r="I619" s="25" t="s">
        <v>247</v>
      </c>
    </row>
    <row r="620" hidden="1">
      <c r="A620" s="64">
        <v>46037.69681712963</v>
      </c>
      <c r="B620" s="66" t="s">
        <v>297</v>
      </c>
      <c r="C620" s="66" t="s">
        <v>346</v>
      </c>
      <c r="D620" s="67">
        <v>1000.0</v>
      </c>
      <c r="E620" s="66" t="s">
        <v>180</v>
      </c>
      <c r="F620" s="66" t="s">
        <v>771</v>
      </c>
      <c r="G620" s="65" t="str">
        <f t="shared" si="1"/>
        <v>MCC049UC0603</v>
      </c>
      <c r="H620" s="35" t="str">
        <f t="shared" si="2"/>
        <v>Saída</v>
      </c>
      <c r="I620" s="25" t="s">
        <v>300</v>
      </c>
    </row>
    <row r="621" hidden="1">
      <c r="A621" s="64">
        <v>46037.75119212963</v>
      </c>
      <c r="B621" s="66" t="s">
        <v>343</v>
      </c>
      <c r="C621" s="66" t="s">
        <v>372</v>
      </c>
      <c r="D621" s="67">
        <v>3.0</v>
      </c>
      <c r="E621" s="66" t="s">
        <v>180</v>
      </c>
      <c r="F621" s="66" t="s">
        <v>772</v>
      </c>
      <c r="G621" s="65" t="str">
        <f t="shared" si="1"/>
        <v>MCC046UC0549</v>
      </c>
      <c r="H621" s="35" t="str">
        <f t="shared" si="2"/>
        <v>Saída</v>
      </c>
      <c r="I621" s="25" t="s">
        <v>345</v>
      </c>
    </row>
    <row r="622" hidden="1">
      <c r="A622" s="64">
        <v>46038.60413194444</v>
      </c>
      <c r="B622" s="66" t="s">
        <v>282</v>
      </c>
      <c r="C622" s="66" t="s">
        <v>245</v>
      </c>
      <c r="D622" s="67">
        <v>1.0</v>
      </c>
      <c r="E622" s="66" t="s">
        <v>184</v>
      </c>
      <c r="F622" s="66" t="s">
        <v>762</v>
      </c>
      <c r="G622" s="65" t="str">
        <f t="shared" si="1"/>
        <v>MCC015UC0008</v>
      </c>
      <c r="H622" s="35" t="str">
        <f t="shared" si="2"/>
        <v>Saída</v>
      </c>
      <c r="I622" s="25" t="s">
        <v>284</v>
      </c>
    </row>
    <row r="623" hidden="1">
      <c r="A623" s="64">
        <v>46038.6697337963</v>
      </c>
      <c r="B623" s="66" t="s">
        <v>235</v>
      </c>
      <c r="C623" s="66" t="s">
        <v>255</v>
      </c>
      <c r="D623" s="67">
        <v>5.0</v>
      </c>
      <c r="E623" s="66" t="s">
        <v>184</v>
      </c>
      <c r="F623" s="66" t="s">
        <v>773</v>
      </c>
      <c r="G623" s="65" t="str">
        <f t="shared" si="1"/>
        <v>MCC046UC0215</v>
      </c>
      <c r="H623" s="35" t="str">
        <f t="shared" si="2"/>
        <v>Saída</v>
      </c>
      <c r="I623" s="25" t="s">
        <v>238</v>
      </c>
    </row>
    <row r="624" hidden="1">
      <c r="A624" s="64">
        <v>46038.71658564815</v>
      </c>
      <c r="B624" s="66" t="s">
        <v>214</v>
      </c>
      <c r="C624" s="66" t="s">
        <v>226</v>
      </c>
      <c r="D624" s="67">
        <v>10.0</v>
      </c>
      <c r="E624" s="66" t="s">
        <v>184</v>
      </c>
      <c r="F624" s="66" t="s">
        <v>774</v>
      </c>
      <c r="G624" s="65" t="str">
        <f t="shared" si="1"/>
        <v>MCC046UC0596</v>
      </c>
      <c r="H624" s="35" t="str">
        <f t="shared" si="2"/>
        <v>Saída</v>
      </c>
      <c r="I624" s="25" t="s">
        <v>217</v>
      </c>
    </row>
    <row r="625" hidden="1">
      <c r="A625" s="64">
        <v>46041.51096064815</v>
      </c>
      <c r="B625" s="66" t="s">
        <v>235</v>
      </c>
      <c r="C625" s="66" t="s">
        <v>245</v>
      </c>
      <c r="D625" s="67">
        <v>5.0</v>
      </c>
      <c r="E625" s="66" t="s">
        <v>184</v>
      </c>
      <c r="F625" s="66" t="s">
        <v>609</v>
      </c>
      <c r="G625" s="65" t="str">
        <f t="shared" si="1"/>
        <v>MCC015UC0008</v>
      </c>
      <c r="H625" s="35" t="str">
        <f t="shared" si="2"/>
        <v>Saída</v>
      </c>
      <c r="I625" s="25" t="s">
        <v>238</v>
      </c>
    </row>
    <row r="626" hidden="1">
      <c r="A626" s="64">
        <v>46041.71050925926</v>
      </c>
      <c r="B626" s="66" t="s">
        <v>305</v>
      </c>
      <c r="C626" s="66" t="s">
        <v>221</v>
      </c>
      <c r="D626" s="67">
        <v>24.0</v>
      </c>
      <c r="E626" s="66" t="s">
        <v>184</v>
      </c>
      <c r="F626" s="66" t="s">
        <v>775</v>
      </c>
      <c r="G626" s="65" t="str">
        <f t="shared" si="1"/>
        <v>MCC049UC0600</v>
      </c>
      <c r="H626" s="35" t="str">
        <f t="shared" si="2"/>
        <v>Saída</v>
      </c>
      <c r="I626" s="25" t="s">
        <v>307</v>
      </c>
    </row>
    <row r="627" hidden="1">
      <c r="A627" s="64">
        <v>46041.72537037037</v>
      </c>
      <c r="B627" s="66" t="s">
        <v>235</v>
      </c>
      <c r="C627" s="66" t="s">
        <v>245</v>
      </c>
      <c r="D627" s="67">
        <v>10.0</v>
      </c>
      <c r="E627" s="66" t="s">
        <v>184</v>
      </c>
      <c r="F627" s="66" t="s">
        <v>776</v>
      </c>
      <c r="G627" s="65" t="str">
        <f t="shared" si="1"/>
        <v>MCC015UC0008</v>
      </c>
      <c r="H627" s="35" t="str">
        <f t="shared" si="2"/>
        <v>Saída</v>
      </c>
      <c r="I627" s="25" t="s">
        <v>238</v>
      </c>
    </row>
    <row r="628" hidden="1">
      <c r="A628" s="64">
        <v>46042.49736111111</v>
      </c>
      <c r="B628" s="66" t="s">
        <v>343</v>
      </c>
      <c r="C628" s="66" t="s">
        <v>245</v>
      </c>
      <c r="D628" s="67">
        <v>50.0</v>
      </c>
      <c r="E628" s="66" t="s">
        <v>180</v>
      </c>
      <c r="F628" s="66" t="s">
        <v>777</v>
      </c>
      <c r="G628" s="65" t="str">
        <f t="shared" si="1"/>
        <v>MCC015UC0008</v>
      </c>
      <c r="H628" s="35" t="str">
        <f t="shared" si="2"/>
        <v>Saída</v>
      </c>
      <c r="I628" s="25" t="s">
        <v>345</v>
      </c>
    </row>
    <row r="629">
      <c r="A629" s="64">
        <v>46042.497777777775</v>
      </c>
      <c r="B629" s="66" t="s">
        <v>343</v>
      </c>
      <c r="C629" s="66" t="s">
        <v>224</v>
      </c>
      <c r="D629" s="67">
        <v>10.0</v>
      </c>
      <c r="E629" s="66" t="s">
        <v>180</v>
      </c>
      <c r="F629" s="66" t="s">
        <v>778</v>
      </c>
      <c r="G629" s="65" t="str">
        <f t="shared" si="1"/>
        <v>MCC015UC0045</v>
      </c>
      <c r="H629" s="35" t="str">
        <f t="shared" si="2"/>
        <v>Saída</v>
      </c>
      <c r="I629" s="25" t="s">
        <v>345</v>
      </c>
    </row>
    <row r="630">
      <c r="A630" s="64">
        <v>46042.498819444445</v>
      </c>
      <c r="B630" s="66" t="s">
        <v>343</v>
      </c>
      <c r="C630" s="66" t="s">
        <v>224</v>
      </c>
      <c r="D630" s="67">
        <v>2.0</v>
      </c>
      <c r="E630" s="66" t="s">
        <v>180</v>
      </c>
      <c r="F630" s="66" t="s">
        <v>761</v>
      </c>
      <c r="G630" s="65" t="str">
        <f t="shared" si="1"/>
        <v>MCC015UC0045</v>
      </c>
      <c r="H630" s="35" t="str">
        <f t="shared" si="2"/>
        <v>Saída</v>
      </c>
      <c r="I630" s="25" t="s">
        <v>345</v>
      </c>
    </row>
    <row r="631" hidden="1">
      <c r="A631" s="64">
        <v>46042.56994212963</v>
      </c>
      <c r="B631" s="66" t="s">
        <v>239</v>
      </c>
      <c r="C631" s="66" t="s">
        <v>215</v>
      </c>
      <c r="D631" s="67">
        <v>1.0</v>
      </c>
      <c r="E631" s="66" t="s">
        <v>184</v>
      </c>
      <c r="F631" s="66" t="s">
        <v>779</v>
      </c>
      <c r="G631" s="65" t="str">
        <f t="shared" si="1"/>
        <v>MCC046UC0082</v>
      </c>
      <c r="H631" s="35" t="str">
        <f t="shared" si="2"/>
        <v>Saída</v>
      </c>
      <c r="I631" s="25" t="s">
        <v>241</v>
      </c>
    </row>
    <row r="632" hidden="1">
      <c r="A632" s="64">
        <v>46042.5703587963</v>
      </c>
      <c r="B632" s="66" t="s">
        <v>239</v>
      </c>
      <c r="C632" s="66" t="s">
        <v>242</v>
      </c>
      <c r="D632" s="67">
        <v>1.0</v>
      </c>
      <c r="E632" s="66" t="s">
        <v>184</v>
      </c>
      <c r="F632" s="66" t="s">
        <v>780</v>
      </c>
      <c r="G632" s="65" t="str">
        <f t="shared" si="1"/>
        <v>MCC046UC0687</v>
      </c>
      <c r="H632" s="35" t="str">
        <f t="shared" si="2"/>
        <v>Saída</v>
      </c>
      <c r="I632" s="25" t="s">
        <v>241</v>
      </c>
    </row>
    <row r="633" hidden="1">
      <c r="A633" s="64">
        <v>46043.48318287037</v>
      </c>
      <c r="B633" s="66" t="s">
        <v>282</v>
      </c>
      <c r="C633" s="66" t="s">
        <v>271</v>
      </c>
      <c r="D633" s="67">
        <v>1.0</v>
      </c>
      <c r="E633" s="66" t="s">
        <v>184</v>
      </c>
      <c r="F633" s="66" t="s">
        <v>762</v>
      </c>
      <c r="G633" s="65" t="str">
        <f t="shared" si="1"/>
        <v>MCC046UC0216</v>
      </c>
      <c r="H633" s="35" t="str">
        <f t="shared" si="2"/>
        <v>Saída</v>
      </c>
      <c r="I633" s="25" t="s">
        <v>284</v>
      </c>
    </row>
    <row r="634" hidden="1">
      <c r="A634" s="64">
        <v>46043.48358796296</v>
      </c>
      <c r="B634" s="66" t="s">
        <v>282</v>
      </c>
      <c r="C634" s="66" t="s">
        <v>356</v>
      </c>
      <c r="D634" s="67">
        <v>1.0</v>
      </c>
      <c r="E634" s="66" t="s">
        <v>184</v>
      </c>
      <c r="F634" s="66" t="s">
        <v>762</v>
      </c>
      <c r="G634" s="65" t="str">
        <f t="shared" si="1"/>
        <v>MCC046UC0093</v>
      </c>
      <c r="H634" s="35" t="str">
        <f t="shared" si="2"/>
        <v>Saída</v>
      </c>
      <c r="I634" s="25" t="s">
        <v>284</v>
      </c>
    </row>
    <row r="635" hidden="1">
      <c r="A635" s="64">
        <v>46043.525092592594</v>
      </c>
      <c r="B635" s="66" t="s">
        <v>343</v>
      </c>
      <c r="C635" s="66" t="s">
        <v>645</v>
      </c>
      <c r="D635" s="67">
        <v>7.0</v>
      </c>
      <c r="E635" s="66" t="s">
        <v>180</v>
      </c>
      <c r="F635" s="66" t="s">
        <v>781</v>
      </c>
      <c r="G635" s="65" t="str">
        <f t="shared" si="1"/>
        <v>MCC046UC0210</v>
      </c>
      <c r="H635" s="35" t="str">
        <f t="shared" si="2"/>
        <v>Saída</v>
      </c>
      <c r="I635" s="25" t="s">
        <v>345</v>
      </c>
    </row>
    <row r="636" hidden="1">
      <c r="A636" s="64">
        <v>46043.58702546296</v>
      </c>
      <c r="B636" s="66" t="s">
        <v>232</v>
      </c>
      <c r="C636" s="66" t="s">
        <v>245</v>
      </c>
      <c r="D636" s="67">
        <v>4.0</v>
      </c>
      <c r="E636" s="66" t="s">
        <v>183</v>
      </c>
      <c r="F636" s="66" t="s">
        <v>782</v>
      </c>
      <c r="G636" s="65" t="str">
        <f t="shared" si="1"/>
        <v>MCC015UC0008</v>
      </c>
      <c r="H636" s="35" t="str">
        <f t="shared" si="2"/>
        <v>Saída</v>
      </c>
      <c r="I636" s="25" t="s">
        <v>234</v>
      </c>
    </row>
    <row r="637" hidden="1">
      <c r="A637" s="64">
        <v>46043.58758101852</v>
      </c>
      <c r="B637" s="66" t="s">
        <v>232</v>
      </c>
      <c r="C637" s="66" t="s">
        <v>229</v>
      </c>
      <c r="D637" s="67">
        <v>2.0</v>
      </c>
      <c r="E637" s="66" t="s">
        <v>182</v>
      </c>
      <c r="F637" s="66" t="s">
        <v>783</v>
      </c>
      <c r="G637" s="65" t="str">
        <f t="shared" si="1"/>
        <v>MCC046UC0597</v>
      </c>
      <c r="H637" s="35" t="str">
        <f t="shared" si="2"/>
        <v>Saída</v>
      </c>
      <c r="I637" s="25" t="s">
        <v>234</v>
      </c>
    </row>
    <row r="638" hidden="1">
      <c r="A638" s="64">
        <v>46043.58820601852</v>
      </c>
      <c r="B638" s="66" t="s">
        <v>232</v>
      </c>
      <c r="C638" s="66" t="s">
        <v>228</v>
      </c>
      <c r="D638" s="67">
        <v>1.0</v>
      </c>
      <c r="E638" s="66" t="s">
        <v>182</v>
      </c>
      <c r="F638" s="66" t="s">
        <v>784</v>
      </c>
      <c r="G638" s="65" t="str">
        <f t="shared" si="1"/>
        <v>MCC046UC0598</v>
      </c>
      <c r="H638" s="35" t="str">
        <f t="shared" si="2"/>
        <v>Saída</v>
      </c>
      <c r="I638" s="25" t="s">
        <v>234</v>
      </c>
    </row>
    <row r="639" hidden="1">
      <c r="A639" s="64">
        <v>46043.60936342592</v>
      </c>
      <c r="B639" s="66" t="s">
        <v>232</v>
      </c>
      <c r="C639" s="66" t="s">
        <v>255</v>
      </c>
      <c r="D639" s="67">
        <v>2.0</v>
      </c>
      <c r="E639" s="66" t="s">
        <v>183</v>
      </c>
      <c r="F639" s="66" t="s">
        <v>785</v>
      </c>
      <c r="G639" s="65" t="str">
        <f t="shared" si="1"/>
        <v>MCC046UC0215</v>
      </c>
      <c r="H639" s="35" t="str">
        <f t="shared" si="2"/>
        <v>Saída</v>
      </c>
      <c r="I639" s="25" t="s">
        <v>234</v>
      </c>
    </row>
    <row r="640" hidden="1">
      <c r="A640" s="64">
        <v>46043.70798611111</v>
      </c>
      <c r="B640" s="66" t="s">
        <v>297</v>
      </c>
      <c r="C640" s="66" t="s">
        <v>255</v>
      </c>
      <c r="D640" s="67">
        <v>2.0</v>
      </c>
      <c r="E640" s="66" t="s">
        <v>180</v>
      </c>
      <c r="F640" s="66" t="s">
        <v>786</v>
      </c>
      <c r="G640" s="65" t="str">
        <f t="shared" si="1"/>
        <v>MCC046UC0215</v>
      </c>
      <c r="H640" s="35" t="str">
        <f t="shared" si="2"/>
        <v>Saída</v>
      </c>
      <c r="I640" s="25" t="s">
        <v>300</v>
      </c>
    </row>
    <row r="641" hidden="1">
      <c r="A641" s="64">
        <v>46043.738391203704</v>
      </c>
      <c r="B641" s="66" t="s">
        <v>232</v>
      </c>
      <c r="C641" s="66" t="s">
        <v>291</v>
      </c>
      <c r="D641" s="67">
        <v>6.0</v>
      </c>
      <c r="E641" s="66" t="s">
        <v>182</v>
      </c>
      <c r="F641" s="66" t="s">
        <v>787</v>
      </c>
      <c r="G641" s="65" t="str">
        <f t="shared" si="1"/>
        <v>MCC046UC0695</v>
      </c>
      <c r="H641" s="35" t="str">
        <f t="shared" si="2"/>
        <v>Saída</v>
      </c>
      <c r="I641" s="25" t="s">
        <v>234</v>
      </c>
    </row>
    <row r="642" hidden="1">
      <c r="A642" s="64">
        <v>46043.79384259259</v>
      </c>
      <c r="B642" s="66" t="s">
        <v>359</v>
      </c>
      <c r="C642" s="66" t="s">
        <v>311</v>
      </c>
      <c r="D642" s="67">
        <v>1.0</v>
      </c>
      <c r="E642" s="66" t="s">
        <v>183</v>
      </c>
      <c r="F642" s="66" t="s">
        <v>788</v>
      </c>
      <c r="G642" s="65" t="str">
        <f t="shared" si="1"/>
        <v>MCC046UC0638</v>
      </c>
      <c r="H642" s="35" t="str">
        <f t="shared" si="2"/>
        <v>Saída</v>
      </c>
      <c r="I642" s="25" t="s">
        <v>362</v>
      </c>
    </row>
    <row r="643">
      <c r="A643" s="64">
        <v>46044.59416666667</v>
      </c>
      <c r="B643" s="66" t="s">
        <v>214</v>
      </c>
      <c r="C643" s="66" t="s">
        <v>224</v>
      </c>
      <c r="D643" s="67">
        <v>20.0</v>
      </c>
      <c r="E643" s="66" t="s">
        <v>184</v>
      </c>
      <c r="F643" s="66" t="s">
        <v>789</v>
      </c>
      <c r="G643" s="65" t="str">
        <f t="shared" si="1"/>
        <v>MCC015UC0045</v>
      </c>
      <c r="H643" s="35" t="str">
        <f t="shared" si="2"/>
        <v>Saída</v>
      </c>
      <c r="I643" s="25" t="s">
        <v>217</v>
      </c>
    </row>
    <row r="644">
      <c r="A644" s="64">
        <v>46044.60824074074</v>
      </c>
      <c r="B644" s="66" t="s">
        <v>214</v>
      </c>
      <c r="C644" s="66" t="s">
        <v>224</v>
      </c>
      <c r="D644" s="67">
        <v>4.0</v>
      </c>
      <c r="E644" s="66" t="s">
        <v>184</v>
      </c>
      <c r="F644" s="66" t="s">
        <v>790</v>
      </c>
      <c r="G644" s="65" t="str">
        <f t="shared" si="1"/>
        <v>MCC015UC0045</v>
      </c>
      <c r="H644" s="35" t="str">
        <f t="shared" si="2"/>
        <v>Saída</v>
      </c>
      <c r="I644" s="25" t="s">
        <v>217</v>
      </c>
    </row>
    <row r="645" hidden="1">
      <c r="A645" s="64">
        <v>46044.72023148148</v>
      </c>
      <c r="B645" s="66" t="s">
        <v>455</v>
      </c>
      <c r="C645" s="66" t="s">
        <v>230</v>
      </c>
      <c r="D645" s="67">
        <v>10.0</v>
      </c>
      <c r="E645" s="66" t="s">
        <v>184</v>
      </c>
      <c r="F645" s="66" t="s">
        <v>791</v>
      </c>
      <c r="G645" s="65" t="str">
        <f t="shared" si="1"/>
        <v>MCC046UC0658</v>
      </c>
      <c r="H645" s="35" t="str">
        <f t="shared" si="2"/>
        <v>Saída</v>
      </c>
      <c r="I645" s="25" t="s">
        <v>457</v>
      </c>
    </row>
    <row r="646" hidden="1">
      <c r="A646" s="64">
        <v>46045.55111111111</v>
      </c>
      <c r="B646" s="66" t="s">
        <v>297</v>
      </c>
      <c r="C646" s="66" t="s">
        <v>298</v>
      </c>
      <c r="D646" s="67">
        <v>1.0</v>
      </c>
      <c r="E646" s="66" t="s">
        <v>180</v>
      </c>
      <c r="F646" s="66" t="s">
        <v>792</v>
      </c>
      <c r="G646" s="65" t="str">
        <f t="shared" si="1"/>
        <v>MCC046UC0639</v>
      </c>
      <c r="H646" s="35" t="str">
        <f t="shared" si="2"/>
        <v>Saída</v>
      </c>
      <c r="I646" s="25" t="s">
        <v>300</v>
      </c>
    </row>
    <row r="647" hidden="1">
      <c r="A647" s="64">
        <v>46045.76464120371</v>
      </c>
      <c r="B647" s="66" t="s">
        <v>468</v>
      </c>
      <c r="C647" s="66" t="s">
        <v>255</v>
      </c>
      <c r="D647" s="67">
        <v>2.0</v>
      </c>
      <c r="E647" s="66" t="s">
        <v>182</v>
      </c>
      <c r="F647" s="66" t="s">
        <v>469</v>
      </c>
      <c r="G647" s="65" t="str">
        <f t="shared" si="1"/>
        <v>MCC046UC0215</v>
      </c>
      <c r="H647" s="35" t="str">
        <f t="shared" si="2"/>
        <v>Saída</v>
      </c>
      <c r="I647" s="25" t="s">
        <v>470</v>
      </c>
    </row>
    <row r="648" hidden="1">
      <c r="A648" s="64">
        <v>46048.56863425926</v>
      </c>
      <c r="B648" s="66" t="s">
        <v>297</v>
      </c>
      <c r="C648" s="66" t="s">
        <v>245</v>
      </c>
      <c r="D648" s="67">
        <v>10.0</v>
      </c>
      <c r="E648" s="66" t="s">
        <v>180</v>
      </c>
      <c r="F648" s="66" t="s">
        <v>793</v>
      </c>
      <c r="G648" s="65" t="str">
        <f t="shared" si="1"/>
        <v>MCC015UC0008</v>
      </c>
      <c r="H648" s="35" t="str">
        <f t="shared" si="2"/>
        <v>Saída</v>
      </c>
      <c r="I648" s="25" t="s">
        <v>300</v>
      </c>
    </row>
    <row r="649" hidden="1">
      <c r="A649" s="64">
        <v>46048.569074074076</v>
      </c>
      <c r="B649" s="66" t="s">
        <v>297</v>
      </c>
      <c r="C649" s="66" t="s">
        <v>319</v>
      </c>
      <c r="D649" s="67">
        <v>1.0</v>
      </c>
      <c r="E649" s="66" t="s">
        <v>180</v>
      </c>
      <c r="F649" s="66" t="s">
        <v>794</v>
      </c>
      <c r="G649" s="65" t="str">
        <f t="shared" si="1"/>
        <v>MCC049UC0610</v>
      </c>
      <c r="H649" s="35" t="str">
        <f t="shared" si="2"/>
        <v>Saída</v>
      </c>
      <c r="I649" s="25" t="s">
        <v>300</v>
      </c>
    </row>
    <row r="650" hidden="1">
      <c r="A650" s="64">
        <v>46048.77134259259</v>
      </c>
      <c r="B650" s="66" t="s">
        <v>343</v>
      </c>
      <c r="C650" s="66" t="s">
        <v>255</v>
      </c>
      <c r="D650" s="67">
        <v>2.0</v>
      </c>
      <c r="E650" s="66" t="s">
        <v>180</v>
      </c>
      <c r="F650" s="66" t="s">
        <v>772</v>
      </c>
      <c r="G650" s="65" t="str">
        <f t="shared" si="1"/>
        <v>MCC046UC0215</v>
      </c>
      <c r="H650" s="35" t="str">
        <f t="shared" si="2"/>
        <v>Saída</v>
      </c>
      <c r="I650" s="25" t="s">
        <v>345</v>
      </c>
    </row>
    <row r="651" hidden="1">
      <c r="A651" s="64">
        <v>46048.77171296296</v>
      </c>
      <c r="B651" s="66" t="s">
        <v>343</v>
      </c>
      <c r="C651" s="66" t="s">
        <v>507</v>
      </c>
      <c r="D651" s="67">
        <v>1.0</v>
      </c>
      <c r="E651" s="66" t="s">
        <v>180</v>
      </c>
      <c r="F651" s="66" t="s">
        <v>795</v>
      </c>
      <c r="G651" s="65" t="str">
        <f t="shared" si="1"/>
        <v>MCC046UC0540</v>
      </c>
      <c r="H651" s="35" t="str">
        <f t="shared" si="2"/>
        <v>Saída</v>
      </c>
      <c r="I651" s="25" t="s">
        <v>345</v>
      </c>
    </row>
    <row r="652" hidden="1">
      <c r="A652" s="64">
        <v>46049.49681712963</v>
      </c>
      <c r="B652" s="66" t="s">
        <v>200</v>
      </c>
      <c r="C652" s="66" t="s">
        <v>363</v>
      </c>
      <c r="D652" s="67">
        <v>1.0</v>
      </c>
      <c r="E652" s="66" t="s">
        <v>184</v>
      </c>
      <c r="F652" s="66" t="s">
        <v>796</v>
      </c>
      <c r="G652" s="65" t="str">
        <f t="shared" si="1"/>
        <v>MCC015UC0033</v>
      </c>
      <c r="H652" s="35" t="str">
        <f t="shared" si="2"/>
        <v>Saída</v>
      </c>
      <c r="I652" s="25" t="s">
        <v>257</v>
      </c>
    </row>
    <row r="653" hidden="1">
      <c r="A653" s="64">
        <v>46049.49798611111</v>
      </c>
      <c r="B653" s="66" t="s">
        <v>200</v>
      </c>
      <c r="C653" s="66" t="s">
        <v>245</v>
      </c>
      <c r="D653" s="67">
        <v>4.0</v>
      </c>
      <c r="E653" s="66" t="s">
        <v>184</v>
      </c>
      <c r="F653" s="66" t="s">
        <v>797</v>
      </c>
      <c r="G653" s="65" t="str">
        <f t="shared" si="1"/>
        <v>MCC015UC0008</v>
      </c>
      <c r="H653" s="35" t="str">
        <f t="shared" si="2"/>
        <v>Saída</v>
      </c>
      <c r="I653" s="25" t="s">
        <v>257</v>
      </c>
    </row>
    <row r="654" hidden="1">
      <c r="A654" s="64">
        <v>46049.513020833336</v>
      </c>
      <c r="B654" s="66" t="s">
        <v>232</v>
      </c>
      <c r="C654" s="66" t="s">
        <v>245</v>
      </c>
      <c r="D654" s="67">
        <v>1.0</v>
      </c>
      <c r="E654" s="66" t="s">
        <v>183</v>
      </c>
      <c r="F654" s="66" t="s">
        <v>798</v>
      </c>
      <c r="G654" s="65" t="str">
        <f t="shared" si="1"/>
        <v>MCC015UC0008</v>
      </c>
      <c r="H654" s="35" t="str">
        <f t="shared" si="2"/>
        <v>Saída</v>
      </c>
      <c r="I654" s="25" t="s">
        <v>234</v>
      </c>
    </row>
    <row r="655" hidden="1">
      <c r="A655" s="64">
        <v>46049.52179398148</v>
      </c>
      <c r="B655" s="66" t="s">
        <v>468</v>
      </c>
      <c r="C655" s="66" t="s">
        <v>215</v>
      </c>
      <c r="D655" s="67">
        <v>3.0</v>
      </c>
      <c r="E655" s="66" t="s">
        <v>182</v>
      </c>
      <c r="F655" s="66" t="s">
        <v>715</v>
      </c>
      <c r="G655" s="65" t="str">
        <f t="shared" si="1"/>
        <v>MCC046UC0082</v>
      </c>
      <c r="H655" s="35" t="str">
        <f t="shared" si="2"/>
        <v>Saída</v>
      </c>
      <c r="I655" s="25" t="s">
        <v>470</v>
      </c>
    </row>
    <row r="656">
      <c r="A656" s="64">
        <v>46049.74545138889</v>
      </c>
      <c r="B656" s="66" t="s">
        <v>297</v>
      </c>
      <c r="C656" s="66" t="s">
        <v>224</v>
      </c>
      <c r="D656" s="67">
        <v>10.0</v>
      </c>
      <c r="E656" s="66" t="s">
        <v>180</v>
      </c>
      <c r="F656" s="66" t="s">
        <v>799</v>
      </c>
      <c r="G656" s="65" t="str">
        <f t="shared" si="1"/>
        <v>MCC015UC0045</v>
      </c>
      <c r="H656" s="35" t="str">
        <f t="shared" si="2"/>
        <v>Saída</v>
      </c>
      <c r="I656" s="25" t="s">
        <v>300</v>
      </c>
    </row>
    <row r="657" hidden="1">
      <c r="A657" s="64">
        <v>46049.78428240741</v>
      </c>
      <c r="B657" s="66" t="s">
        <v>366</v>
      </c>
      <c r="C657" s="66" t="s">
        <v>245</v>
      </c>
      <c r="D657" s="67">
        <v>8.0</v>
      </c>
      <c r="E657" s="66" t="s">
        <v>181</v>
      </c>
      <c r="F657" s="66" t="s">
        <v>704</v>
      </c>
      <c r="G657" s="65" t="str">
        <f t="shared" si="1"/>
        <v>MCC015UC0008</v>
      </c>
      <c r="H657" s="35" t="str">
        <f t="shared" si="2"/>
        <v>Saída</v>
      </c>
      <c r="I657" s="25" t="s">
        <v>368</v>
      </c>
    </row>
    <row r="658">
      <c r="A658" s="64">
        <v>46050.69415509259</v>
      </c>
      <c r="B658" s="66" t="s">
        <v>235</v>
      </c>
      <c r="C658" s="66" t="s">
        <v>224</v>
      </c>
      <c r="D658" s="67">
        <v>12.0</v>
      </c>
      <c r="E658" s="66" t="s">
        <v>184</v>
      </c>
      <c r="F658" s="66" t="s">
        <v>609</v>
      </c>
      <c r="G658" s="65" t="str">
        <f t="shared" si="1"/>
        <v>MCC015UC0045</v>
      </c>
      <c r="H658" s="35" t="str">
        <f t="shared" si="2"/>
        <v>Saída</v>
      </c>
      <c r="I658" s="25" t="s">
        <v>238</v>
      </c>
    </row>
    <row r="659">
      <c r="A659" s="64">
        <v>46050.707974537036</v>
      </c>
      <c r="B659" s="66" t="s">
        <v>235</v>
      </c>
      <c r="C659" s="66" t="s">
        <v>224</v>
      </c>
      <c r="D659" s="67">
        <v>12.0</v>
      </c>
      <c r="E659" s="66" t="s">
        <v>184</v>
      </c>
      <c r="F659" s="66" t="s">
        <v>800</v>
      </c>
      <c r="G659" s="65" t="str">
        <f t="shared" si="1"/>
        <v>MCC015UC0045</v>
      </c>
      <c r="H659" s="35" t="str">
        <f t="shared" si="2"/>
        <v>Saída</v>
      </c>
      <c r="I659" s="25" t="s">
        <v>238</v>
      </c>
    </row>
    <row r="660" hidden="1">
      <c r="A660" s="64">
        <v>46051.0</v>
      </c>
      <c r="B660" s="66" t="s">
        <v>401</v>
      </c>
      <c r="C660" s="66" t="s">
        <v>242</v>
      </c>
      <c r="D660" s="67">
        <v>1.0</v>
      </c>
      <c r="E660" s="66" t="s">
        <v>184</v>
      </c>
      <c r="F660" s="66" t="s">
        <v>801</v>
      </c>
      <c r="G660" s="65" t="str">
        <f t="shared" si="1"/>
        <v>MCC046UC0687</v>
      </c>
      <c r="H660" s="35" t="str">
        <f t="shared" si="2"/>
        <v>Saída</v>
      </c>
      <c r="I660" s="25" t="s">
        <v>403</v>
      </c>
    </row>
    <row r="661" hidden="1">
      <c r="A661" s="64">
        <v>46051.0</v>
      </c>
      <c r="B661" s="66" t="s">
        <v>468</v>
      </c>
      <c r="C661" s="66" t="s">
        <v>291</v>
      </c>
      <c r="D661" s="67">
        <v>6.0</v>
      </c>
      <c r="E661" s="66" t="s">
        <v>182</v>
      </c>
      <c r="F661" s="66" t="s">
        <v>469</v>
      </c>
      <c r="G661" s="65" t="str">
        <f t="shared" si="1"/>
        <v>MCC046UC0695</v>
      </c>
      <c r="H661" s="35" t="str">
        <f t="shared" si="2"/>
        <v>Saída</v>
      </c>
      <c r="I661" s="25" t="s">
        <v>470</v>
      </c>
    </row>
    <row r="662">
      <c r="A662" s="64">
        <v>46051.0</v>
      </c>
      <c r="B662" s="66" t="s">
        <v>468</v>
      </c>
      <c r="C662" s="66" t="s">
        <v>224</v>
      </c>
      <c r="D662" s="67">
        <v>5.0</v>
      </c>
      <c r="E662" s="66" t="s">
        <v>182</v>
      </c>
      <c r="F662" s="66" t="s">
        <v>469</v>
      </c>
      <c r="G662" s="65" t="str">
        <f t="shared" si="1"/>
        <v>MCC015UC0045</v>
      </c>
      <c r="H662" s="35" t="str">
        <f t="shared" si="2"/>
        <v>Saída</v>
      </c>
      <c r="I662" s="25" t="s">
        <v>470</v>
      </c>
    </row>
    <row r="663" hidden="1">
      <c r="A663" s="64">
        <v>46052.0</v>
      </c>
      <c r="B663" s="66" t="s">
        <v>401</v>
      </c>
      <c r="C663" s="66" t="s">
        <v>215</v>
      </c>
      <c r="D663" s="67">
        <v>10.0</v>
      </c>
      <c r="E663" s="66" t="s">
        <v>184</v>
      </c>
      <c r="F663" s="66" t="s">
        <v>802</v>
      </c>
      <c r="G663" s="65" t="str">
        <f t="shared" si="1"/>
        <v>MCC046UC0082</v>
      </c>
      <c r="H663" s="35" t="str">
        <f t="shared" si="2"/>
        <v>Saída</v>
      </c>
      <c r="I663" s="25" t="s">
        <v>403</v>
      </c>
    </row>
    <row r="664" hidden="1">
      <c r="A664" s="64">
        <v>46052.0</v>
      </c>
      <c r="B664" s="66" t="s">
        <v>401</v>
      </c>
      <c r="C664" s="66" t="s">
        <v>242</v>
      </c>
      <c r="D664" s="67">
        <v>11.0</v>
      </c>
      <c r="E664" s="66" t="s">
        <v>184</v>
      </c>
      <c r="F664" s="66" t="s">
        <v>803</v>
      </c>
      <c r="G664" s="65" t="str">
        <f t="shared" si="1"/>
        <v>MCC046UC0687</v>
      </c>
      <c r="H664" s="35" t="str">
        <f t="shared" si="2"/>
        <v>Saída</v>
      </c>
      <c r="I664" s="25" t="s">
        <v>403</v>
      </c>
    </row>
    <row r="665" hidden="1">
      <c r="A665" s="64">
        <v>46055.0</v>
      </c>
      <c r="B665" s="66" t="s">
        <v>305</v>
      </c>
      <c r="C665" s="66" t="s">
        <v>221</v>
      </c>
      <c r="D665" s="67">
        <v>24.0</v>
      </c>
      <c r="E665" s="66" t="s">
        <v>184</v>
      </c>
      <c r="F665" s="66" t="s">
        <v>486</v>
      </c>
      <c r="G665" s="65" t="str">
        <f t="shared" si="1"/>
        <v>MCC049UC0600</v>
      </c>
      <c r="H665" s="35" t="str">
        <f t="shared" si="2"/>
        <v>Saída</v>
      </c>
      <c r="I665" s="25" t="s">
        <v>307</v>
      </c>
    </row>
    <row r="666" hidden="1">
      <c r="A666" s="64">
        <v>46055.0</v>
      </c>
      <c r="B666" s="66" t="s">
        <v>282</v>
      </c>
      <c r="C666" s="66" t="s">
        <v>447</v>
      </c>
      <c r="D666" s="67">
        <v>5.0</v>
      </c>
      <c r="E666" s="66" t="s">
        <v>184</v>
      </c>
      <c r="F666" s="66" t="s">
        <v>804</v>
      </c>
      <c r="G666" s="65" t="str">
        <f t="shared" si="1"/>
        <v>EMC015MO0007</v>
      </c>
      <c r="H666" s="35" t="str">
        <f t="shared" si="2"/>
        <v>Saída</v>
      </c>
      <c r="I666" s="25" t="s">
        <v>284</v>
      </c>
    </row>
    <row r="667" hidden="1">
      <c r="A667" s="64">
        <v>46056.0</v>
      </c>
      <c r="B667" s="66" t="s">
        <v>343</v>
      </c>
      <c r="C667" s="66" t="s">
        <v>245</v>
      </c>
      <c r="D667" s="67">
        <v>14.0</v>
      </c>
      <c r="E667" s="66" t="s">
        <v>180</v>
      </c>
      <c r="F667" s="66" t="s">
        <v>805</v>
      </c>
      <c r="G667" s="65" t="str">
        <f t="shared" si="1"/>
        <v>MCC015UC0008</v>
      </c>
      <c r="H667" s="35" t="str">
        <f t="shared" si="2"/>
        <v>Saída</v>
      </c>
      <c r="I667" s="25" t="s">
        <v>345</v>
      </c>
    </row>
    <row r="668" hidden="1">
      <c r="A668" s="64">
        <v>46056.0</v>
      </c>
      <c r="B668" s="66" t="s">
        <v>297</v>
      </c>
      <c r="C668" s="66" t="s">
        <v>245</v>
      </c>
      <c r="D668" s="67">
        <v>8.0</v>
      </c>
      <c r="E668" s="66" t="s">
        <v>180</v>
      </c>
      <c r="F668" s="66" t="s">
        <v>806</v>
      </c>
      <c r="G668" s="65" t="str">
        <f t="shared" si="1"/>
        <v>MCC015UC0008</v>
      </c>
      <c r="H668" s="35" t="str">
        <f t="shared" si="2"/>
        <v>Saída</v>
      </c>
      <c r="I668" s="25" t="s">
        <v>300</v>
      </c>
    </row>
    <row r="669" hidden="1">
      <c r="A669" s="64">
        <v>46056.0</v>
      </c>
      <c r="B669" s="66" t="s">
        <v>343</v>
      </c>
      <c r="C669" s="66" t="s">
        <v>398</v>
      </c>
      <c r="D669" s="67">
        <v>24.0</v>
      </c>
      <c r="E669" s="66" t="s">
        <v>180</v>
      </c>
      <c r="F669" s="66" t="s">
        <v>805</v>
      </c>
      <c r="G669" s="65" t="str">
        <f t="shared" si="1"/>
        <v>MCC046UC0360</v>
      </c>
      <c r="H669" s="35" t="str">
        <f t="shared" si="2"/>
        <v>Saída</v>
      </c>
      <c r="I669" s="25" t="s">
        <v>345</v>
      </c>
    </row>
    <row r="670" hidden="1">
      <c r="A670" s="64">
        <v>46057.0</v>
      </c>
      <c r="B670" s="66" t="s">
        <v>807</v>
      </c>
      <c r="C670" s="66" t="s">
        <v>215</v>
      </c>
      <c r="D670" s="67">
        <v>1.0</v>
      </c>
      <c r="E670" s="66" t="s">
        <v>184</v>
      </c>
      <c r="F670" s="66" t="s">
        <v>779</v>
      </c>
      <c r="G670" s="65" t="str">
        <f t="shared" si="1"/>
        <v>MCC046UC0082</v>
      </c>
      <c r="H670" s="35" t="str">
        <f t="shared" si="2"/>
        <v>Saída</v>
      </c>
      <c r="I670" s="25" t="s">
        <v>808</v>
      </c>
    </row>
    <row r="671" hidden="1">
      <c r="A671" s="64">
        <v>46057.0</v>
      </c>
      <c r="B671" s="66" t="s">
        <v>282</v>
      </c>
      <c r="C671" s="66" t="s">
        <v>271</v>
      </c>
      <c r="D671" s="67">
        <v>10.0</v>
      </c>
      <c r="E671" s="66" t="s">
        <v>184</v>
      </c>
      <c r="F671" s="66" t="s">
        <v>762</v>
      </c>
      <c r="G671" s="65" t="str">
        <f t="shared" si="1"/>
        <v>MCC046UC0216</v>
      </c>
      <c r="H671" s="35" t="str">
        <f t="shared" si="2"/>
        <v>Saída</v>
      </c>
      <c r="I671" s="25" t="s">
        <v>284</v>
      </c>
    </row>
    <row r="672" hidden="1">
      <c r="A672" s="64">
        <v>46057.0</v>
      </c>
      <c r="B672" s="66" t="s">
        <v>214</v>
      </c>
      <c r="C672" s="66" t="s">
        <v>226</v>
      </c>
      <c r="D672" s="67">
        <v>10.0</v>
      </c>
      <c r="E672" s="66" t="s">
        <v>184</v>
      </c>
      <c r="F672" s="66" t="s">
        <v>809</v>
      </c>
      <c r="G672" s="65" t="str">
        <f t="shared" si="1"/>
        <v>MCC046UC0596</v>
      </c>
      <c r="H672" s="35" t="str">
        <f t="shared" si="2"/>
        <v>Saída</v>
      </c>
      <c r="I672" s="25" t="s">
        <v>217</v>
      </c>
    </row>
    <row r="673" hidden="1">
      <c r="A673" s="64">
        <v>46057.0</v>
      </c>
      <c r="B673" s="66" t="s">
        <v>232</v>
      </c>
      <c r="C673" s="66" t="s">
        <v>263</v>
      </c>
      <c r="D673" s="67">
        <v>1.0</v>
      </c>
      <c r="E673" s="66" t="s">
        <v>182</v>
      </c>
      <c r="F673" s="66" t="s">
        <v>810</v>
      </c>
      <c r="G673" s="65" t="str">
        <f t="shared" si="1"/>
        <v>MCC015UC0038</v>
      </c>
      <c r="H673" s="35" t="str">
        <f t="shared" si="2"/>
        <v>Saída</v>
      </c>
      <c r="I673" s="25" t="s">
        <v>234</v>
      </c>
    </row>
    <row r="674" hidden="1">
      <c r="A674" s="64">
        <v>46057.0</v>
      </c>
      <c r="B674" s="66" t="s">
        <v>232</v>
      </c>
      <c r="C674" s="66" t="s">
        <v>231</v>
      </c>
      <c r="D674" s="67">
        <v>2.0</v>
      </c>
      <c r="E674" s="66" t="s">
        <v>182</v>
      </c>
      <c r="F674" s="66" t="s">
        <v>811</v>
      </c>
      <c r="G674" s="65" t="str">
        <f t="shared" si="1"/>
        <v>MCC049UC0516</v>
      </c>
      <c r="H674" s="35" t="str">
        <f t="shared" si="2"/>
        <v>Saída</v>
      </c>
      <c r="I674" s="25" t="s">
        <v>234</v>
      </c>
    </row>
    <row r="675" hidden="1">
      <c r="A675" s="64">
        <v>46057.0</v>
      </c>
      <c r="B675" s="66" t="s">
        <v>366</v>
      </c>
      <c r="C675" s="66" t="s">
        <v>438</v>
      </c>
      <c r="D675" s="67">
        <v>1.0</v>
      </c>
      <c r="E675" s="66" t="s">
        <v>181</v>
      </c>
      <c r="F675" s="66" t="s">
        <v>812</v>
      </c>
      <c r="G675" s="65" t="str">
        <f t="shared" si="1"/>
        <v>MCC046UC0671</v>
      </c>
      <c r="H675" s="35" t="str">
        <f t="shared" si="2"/>
        <v>Saída</v>
      </c>
      <c r="I675" s="25" t="s">
        <v>368</v>
      </c>
    </row>
    <row r="676" hidden="1">
      <c r="A676" s="64">
        <v>46058.0</v>
      </c>
      <c r="B676" s="66" t="s">
        <v>343</v>
      </c>
      <c r="C676" s="66" t="s">
        <v>360</v>
      </c>
      <c r="D676" s="67">
        <v>5.0</v>
      </c>
      <c r="E676" s="66" t="s">
        <v>180</v>
      </c>
      <c r="F676" s="66" t="s">
        <v>813</v>
      </c>
      <c r="G676" s="65" t="str">
        <f t="shared" si="1"/>
        <v>MCC049UC0288</v>
      </c>
      <c r="H676" s="35" t="str">
        <f t="shared" si="2"/>
        <v>Saída</v>
      </c>
      <c r="I676" s="25" t="s">
        <v>345</v>
      </c>
    </row>
    <row r="677" hidden="1">
      <c r="A677" s="64">
        <v>46058.0</v>
      </c>
      <c r="B677" s="66" t="s">
        <v>343</v>
      </c>
      <c r="C677" s="66" t="s">
        <v>245</v>
      </c>
      <c r="D677" s="67">
        <v>74.0</v>
      </c>
      <c r="E677" s="66" t="s">
        <v>180</v>
      </c>
      <c r="F677" s="66" t="s">
        <v>814</v>
      </c>
      <c r="G677" s="65" t="str">
        <f t="shared" si="1"/>
        <v>MCC015UC0008</v>
      </c>
      <c r="H677" s="35" t="str">
        <f t="shared" si="2"/>
        <v>Saída</v>
      </c>
      <c r="I677" s="25" t="s">
        <v>345</v>
      </c>
    </row>
    <row r="678">
      <c r="A678" s="64">
        <v>46058.0</v>
      </c>
      <c r="B678" s="66" t="s">
        <v>455</v>
      </c>
      <c r="C678" s="66" t="s">
        <v>224</v>
      </c>
      <c r="D678" s="67">
        <v>24.0</v>
      </c>
      <c r="E678" s="66" t="s">
        <v>184</v>
      </c>
      <c r="F678" s="66" t="s">
        <v>727</v>
      </c>
      <c r="G678" s="65" t="str">
        <f t="shared" si="1"/>
        <v>MCC015UC0045</v>
      </c>
      <c r="H678" s="35" t="str">
        <f t="shared" si="2"/>
        <v>Saída</v>
      </c>
      <c r="I678" s="25" t="s">
        <v>457</v>
      </c>
    </row>
    <row r="679" hidden="1">
      <c r="A679" s="64">
        <v>46058.0</v>
      </c>
      <c r="B679" s="66" t="s">
        <v>210</v>
      </c>
      <c r="C679" s="66" t="s">
        <v>245</v>
      </c>
      <c r="D679" s="67">
        <v>5.0</v>
      </c>
      <c r="E679" s="66" t="s">
        <v>183</v>
      </c>
      <c r="F679" s="66" t="s">
        <v>815</v>
      </c>
      <c r="G679" s="65" t="str">
        <f t="shared" si="1"/>
        <v>MCC015UC0008</v>
      </c>
      <c r="H679" s="35" t="str">
        <f t="shared" si="2"/>
        <v>Saída</v>
      </c>
      <c r="I679" s="25" t="s">
        <v>213</v>
      </c>
    </row>
    <row r="680" hidden="1">
      <c r="A680" s="64">
        <v>46058.0</v>
      </c>
      <c r="B680" s="66" t="s">
        <v>244</v>
      </c>
      <c r="C680" s="66" t="s">
        <v>245</v>
      </c>
      <c r="D680" s="67">
        <v>6.0</v>
      </c>
      <c r="E680" s="66" t="s">
        <v>183</v>
      </c>
      <c r="F680" s="66" t="s">
        <v>816</v>
      </c>
      <c r="G680" s="65" t="str">
        <f t="shared" si="1"/>
        <v>MCC015UC0008</v>
      </c>
      <c r="H680" s="35" t="str">
        <f t="shared" si="2"/>
        <v>Saída</v>
      </c>
      <c r="I680" s="25" t="s">
        <v>247</v>
      </c>
    </row>
    <row r="681" hidden="1">
      <c r="A681" s="64">
        <v>46058.0</v>
      </c>
      <c r="B681" s="66" t="s">
        <v>232</v>
      </c>
      <c r="C681" s="66" t="s">
        <v>398</v>
      </c>
      <c r="D681" s="67">
        <v>1.0</v>
      </c>
      <c r="E681" s="66" t="s">
        <v>182</v>
      </c>
      <c r="F681" s="66" t="s">
        <v>817</v>
      </c>
      <c r="G681" s="65" t="str">
        <f t="shared" si="1"/>
        <v>MCC046UC0360</v>
      </c>
      <c r="H681" s="35" t="str">
        <f t="shared" si="2"/>
        <v>Saída</v>
      </c>
      <c r="I681" s="25" t="s">
        <v>234</v>
      </c>
    </row>
    <row r="682" hidden="1">
      <c r="A682" s="64">
        <v>46058.0</v>
      </c>
      <c r="B682" s="66" t="s">
        <v>337</v>
      </c>
      <c r="C682" s="66" t="s">
        <v>245</v>
      </c>
      <c r="D682" s="67">
        <v>15.0</v>
      </c>
      <c r="E682" s="66" t="s">
        <v>183</v>
      </c>
      <c r="F682" s="66" t="s">
        <v>818</v>
      </c>
      <c r="G682" s="65" t="str">
        <f t="shared" si="1"/>
        <v>MCC015UC0008</v>
      </c>
      <c r="H682" s="35" t="str">
        <f t="shared" si="2"/>
        <v>Saída</v>
      </c>
      <c r="I682" s="25" t="s">
        <v>189</v>
      </c>
    </row>
    <row r="683" hidden="1">
      <c r="A683" s="64">
        <v>46058.0</v>
      </c>
      <c r="B683" s="66" t="s">
        <v>337</v>
      </c>
      <c r="C683" s="66" t="s">
        <v>263</v>
      </c>
      <c r="D683" s="67">
        <v>9.0</v>
      </c>
      <c r="E683" s="66" t="s">
        <v>182</v>
      </c>
      <c r="F683" s="66" t="s">
        <v>818</v>
      </c>
      <c r="G683" s="65" t="str">
        <f t="shared" si="1"/>
        <v>MCC015UC0038</v>
      </c>
      <c r="H683" s="35" t="str">
        <f t="shared" si="2"/>
        <v>Saída</v>
      </c>
      <c r="I683" s="25" t="s">
        <v>189</v>
      </c>
    </row>
    <row r="684" hidden="1">
      <c r="A684" s="64">
        <v>46059.0</v>
      </c>
      <c r="B684" s="66" t="s">
        <v>343</v>
      </c>
      <c r="C684" s="66" t="s">
        <v>346</v>
      </c>
      <c r="D684" s="67">
        <v>14.0</v>
      </c>
      <c r="E684" s="66" t="s">
        <v>180</v>
      </c>
      <c r="F684" s="66" t="s">
        <v>819</v>
      </c>
      <c r="G684" s="65" t="str">
        <f t="shared" si="1"/>
        <v>MCC049UC0603</v>
      </c>
      <c r="H684" s="35" t="str">
        <f t="shared" si="2"/>
        <v>Saída</v>
      </c>
      <c r="I684" s="25" t="s">
        <v>345</v>
      </c>
    </row>
    <row r="685" hidden="1">
      <c r="A685" s="64">
        <v>46059.0</v>
      </c>
      <c r="B685" s="66" t="s">
        <v>297</v>
      </c>
      <c r="C685" s="66" t="s">
        <v>291</v>
      </c>
      <c r="D685" s="67">
        <v>2.0</v>
      </c>
      <c r="E685" s="66" t="s">
        <v>180</v>
      </c>
      <c r="F685" s="66" t="s">
        <v>820</v>
      </c>
      <c r="G685" s="65" t="str">
        <f t="shared" si="1"/>
        <v>MCC046UC0695</v>
      </c>
      <c r="H685" s="35" t="str">
        <f t="shared" si="2"/>
        <v>Saída</v>
      </c>
      <c r="I685" s="25" t="s">
        <v>300</v>
      </c>
    </row>
    <row r="686" hidden="1">
      <c r="A686" s="64">
        <v>46062.0</v>
      </c>
      <c r="B686" s="66" t="s">
        <v>232</v>
      </c>
      <c r="C686" s="66" t="s">
        <v>291</v>
      </c>
      <c r="D686" s="67">
        <v>6.0</v>
      </c>
      <c r="E686" s="66" t="s">
        <v>182</v>
      </c>
      <c r="F686" s="66" t="s">
        <v>821</v>
      </c>
      <c r="G686" s="65" t="str">
        <f t="shared" si="1"/>
        <v>MCC046UC0695</v>
      </c>
      <c r="H686" s="35" t="str">
        <f t="shared" si="2"/>
        <v>Saída</v>
      </c>
      <c r="I686" s="25" t="s">
        <v>234</v>
      </c>
    </row>
    <row r="687" hidden="1">
      <c r="A687" s="64">
        <v>46062.0</v>
      </c>
      <c r="B687" s="66" t="s">
        <v>337</v>
      </c>
      <c r="C687" s="66" t="s">
        <v>298</v>
      </c>
      <c r="D687" s="67">
        <v>1.0</v>
      </c>
      <c r="E687" s="66" t="s">
        <v>180</v>
      </c>
      <c r="F687" s="66" t="s">
        <v>822</v>
      </c>
      <c r="G687" s="65" t="str">
        <f t="shared" si="1"/>
        <v>MCC046UC0639</v>
      </c>
      <c r="H687" s="35" t="str">
        <f t="shared" si="2"/>
        <v>Saída</v>
      </c>
      <c r="I687" s="25" t="s">
        <v>189</v>
      </c>
    </row>
    <row r="688" hidden="1">
      <c r="A688" s="64">
        <v>46062.0</v>
      </c>
      <c r="B688" s="66" t="s">
        <v>343</v>
      </c>
      <c r="C688" s="66" t="s">
        <v>250</v>
      </c>
      <c r="D688" s="67">
        <v>3.0</v>
      </c>
      <c r="E688" s="66" t="s">
        <v>180</v>
      </c>
      <c r="F688" s="66" t="s">
        <v>823</v>
      </c>
      <c r="G688" s="65" t="str">
        <f t="shared" si="1"/>
        <v>MCC046UC0526</v>
      </c>
      <c r="H688" s="35" t="str">
        <f t="shared" si="2"/>
        <v>Saída</v>
      </c>
      <c r="I688" s="25" t="s">
        <v>345</v>
      </c>
    </row>
    <row r="689" hidden="1">
      <c r="A689" s="64">
        <v>46062.0</v>
      </c>
      <c r="B689" s="66" t="s">
        <v>343</v>
      </c>
      <c r="C689" s="66" t="s">
        <v>255</v>
      </c>
      <c r="D689" s="67">
        <v>5.0</v>
      </c>
      <c r="E689" s="66" t="s">
        <v>180</v>
      </c>
      <c r="F689" s="66" t="s">
        <v>707</v>
      </c>
      <c r="G689" s="65" t="str">
        <f t="shared" si="1"/>
        <v>MCC046UC0215</v>
      </c>
      <c r="H689" s="35" t="str">
        <f t="shared" si="2"/>
        <v>Saída</v>
      </c>
      <c r="I689" s="25" t="s">
        <v>345</v>
      </c>
    </row>
    <row r="690" hidden="1">
      <c r="A690" s="64">
        <v>46062.0</v>
      </c>
      <c r="B690" s="66" t="s">
        <v>232</v>
      </c>
      <c r="C690" s="66" t="s">
        <v>215</v>
      </c>
      <c r="D690" s="67">
        <v>3.0</v>
      </c>
      <c r="E690" s="66" t="s">
        <v>182</v>
      </c>
      <c r="F690" s="66" t="s">
        <v>824</v>
      </c>
      <c r="G690" s="65" t="str">
        <f t="shared" si="1"/>
        <v>MCC046UC0082</v>
      </c>
      <c r="H690" s="35" t="str">
        <f t="shared" si="2"/>
        <v>Saída</v>
      </c>
      <c r="I690" s="25" t="s">
        <v>234</v>
      </c>
    </row>
    <row r="691" hidden="1">
      <c r="A691" s="64">
        <v>46062.0</v>
      </c>
      <c r="B691" s="66" t="s">
        <v>214</v>
      </c>
      <c r="C691" s="66" t="s">
        <v>255</v>
      </c>
      <c r="D691" s="67">
        <v>5.0</v>
      </c>
      <c r="E691" s="66" t="s">
        <v>184</v>
      </c>
      <c r="F691" s="66" t="s">
        <v>589</v>
      </c>
      <c r="G691" s="65" t="str">
        <f t="shared" si="1"/>
        <v>MCC046UC0215</v>
      </c>
      <c r="H691" s="35" t="str">
        <f t="shared" si="2"/>
        <v>Saída</v>
      </c>
      <c r="I691" s="25" t="s">
        <v>217</v>
      </c>
    </row>
    <row r="692" hidden="1">
      <c r="A692" s="64">
        <v>46062.0</v>
      </c>
      <c r="B692" s="66" t="s">
        <v>244</v>
      </c>
      <c r="C692" s="66" t="s">
        <v>255</v>
      </c>
      <c r="D692" s="67">
        <v>1.0</v>
      </c>
      <c r="E692" s="66" t="s">
        <v>183</v>
      </c>
      <c r="F692" s="66" t="s">
        <v>825</v>
      </c>
      <c r="G692" s="65" t="str">
        <f t="shared" si="1"/>
        <v>MCC046UC0215</v>
      </c>
      <c r="H692" s="35" t="str">
        <f t="shared" si="2"/>
        <v>Saída</v>
      </c>
      <c r="I692" s="25" t="s">
        <v>247</v>
      </c>
    </row>
    <row r="693" hidden="1">
      <c r="A693" s="64">
        <v>46062.0</v>
      </c>
      <c r="B693" s="66" t="s">
        <v>343</v>
      </c>
      <c r="C693" s="66" t="s">
        <v>245</v>
      </c>
      <c r="D693" s="67">
        <v>50.0</v>
      </c>
      <c r="E693" s="66" t="s">
        <v>180</v>
      </c>
      <c r="F693" s="66" t="s">
        <v>826</v>
      </c>
      <c r="G693" s="65" t="str">
        <f t="shared" si="1"/>
        <v>MCC015UC0008</v>
      </c>
      <c r="H693" s="35" t="str">
        <f t="shared" si="2"/>
        <v>Saída</v>
      </c>
      <c r="I693" s="25" t="s">
        <v>345</v>
      </c>
    </row>
    <row r="694">
      <c r="A694" s="64">
        <v>46063.0</v>
      </c>
      <c r="B694" s="66" t="s">
        <v>214</v>
      </c>
      <c r="C694" s="66" t="s">
        <v>224</v>
      </c>
      <c r="D694" s="67">
        <v>10.0</v>
      </c>
      <c r="E694" s="66" t="s">
        <v>184</v>
      </c>
      <c r="F694" s="66" t="s">
        <v>451</v>
      </c>
      <c r="G694" s="65" t="str">
        <f t="shared" si="1"/>
        <v>MCC015UC0045</v>
      </c>
      <c r="H694" s="35" t="str">
        <f t="shared" si="2"/>
        <v>Saída</v>
      </c>
      <c r="I694" s="25" t="s">
        <v>217</v>
      </c>
    </row>
    <row r="695">
      <c r="A695" s="64">
        <v>46063.0</v>
      </c>
      <c r="B695" s="66" t="s">
        <v>297</v>
      </c>
      <c r="C695" s="66" t="s">
        <v>224</v>
      </c>
      <c r="D695" s="67">
        <v>10.0</v>
      </c>
      <c r="E695" s="66" t="s">
        <v>180</v>
      </c>
      <c r="F695" s="66" t="s">
        <v>827</v>
      </c>
      <c r="G695" s="65" t="str">
        <f t="shared" si="1"/>
        <v>MCC015UC0045</v>
      </c>
      <c r="H695" s="35" t="str">
        <f t="shared" si="2"/>
        <v>Saída</v>
      </c>
      <c r="I695" s="25" t="s">
        <v>300</v>
      </c>
    </row>
    <row r="696" hidden="1">
      <c r="A696" s="64">
        <v>46063.0</v>
      </c>
      <c r="B696" s="66" t="s">
        <v>235</v>
      </c>
      <c r="C696" s="66" t="s">
        <v>255</v>
      </c>
      <c r="D696" s="67">
        <v>3.0</v>
      </c>
      <c r="E696" s="66" t="s">
        <v>184</v>
      </c>
      <c r="F696" s="66" t="s">
        <v>609</v>
      </c>
      <c r="G696" s="65" t="str">
        <f t="shared" si="1"/>
        <v>MCC046UC0215</v>
      </c>
      <c r="H696" s="35" t="str">
        <f t="shared" si="2"/>
        <v>Saída</v>
      </c>
      <c r="I696" s="25" t="s">
        <v>238</v>
      </c>
    </row>
    <row r="697" hidden="1">
      <c r="A697" s="64">
        <v>46063.0</v>
      </c>
      <c r="B697" s="66" t="s">
        <v>455</v>
      </c>
      <c r="C697" s="66" t="s">
        <v>226</v>
      </c>
      <c r="D697" s="67">
        <v>8.0</v>
      </c>
      <c r="E697" s="66" t="s">
        <v>184</v>
      </c>
      <c r="F697" s="66" t="s">
        <v>722</v>
      </c>
      <c r="G697" s="65" t="str">
        <f t="shared" si="1"/>
        <v>MCC046UC0596</v>
      </c>
      <c r="H697" s="35" t="str">
        <f t="shared" si="2"/>
        <v>Saída</v>
      </c>
      <c r="I697" s="25" t="s">
        <v>457</v>
      </c>
    </row>
    <row r="698" hidden="1">
      <c r="A698" s="64">
        <v>46063.0</v>
      </c>
      <c r="B698" s="66" t="s">
        <v>359</v>
      </c>
      <c r="C698" s="66" t="s">
        <v>319</v>
      </c>
      <c r="D698" s="67">
        <v>1.0</v>
      </c>
      <c r="E698" s="66" t="s">
        <v>183</v>
      </c>
      <c r="F698" s="66" t="s">
        <v>828</v>
      </c>
      <c r="G698" s="65" t="str">
        <f t="shared" si="1"/>
        <v>MCC049UC0610</v>
      </c>
      <c r="H698" s="35" t="str">
        <f t="shared" si="2"/>
        <v>Saída</v>
      </c>
      <c r="I698" s="25" t="s">
        <v>362</v>
      </c>
    </row>
    <row r="699">
      <c r="A699" s="64">
        <v>46063.0</v>
      </c>
      <c r="B699" s="66" t="s">
        <v>359</v>
      </c>
      <c r="C699" s="66" t="s">
        <v>224</v>
      </c>
      <c r="D699" s="67">
        <v>4.0</v>
      </c>
      <c r="E699" s="66" t="s">
        <v>183</v>
      </c>
      <c r="F699" s="66" t="s">
        <v>765</v>
      </c>
      <c r="G699" s="65" t="str">
        <f t="shared" si="1"/>
        <v>MCC015UC0045</v>
      </c>
      <c r="H699" s="35" t="str">
        <f t="shared" si="2"/>
        <v>Saída</v>
      </c>
      <c r="I699" s="25" t="s">
        <v>362</v>
      </c>
    </row>
    <row r="700" hidden="1">
      <c r="A700" s="64">
        <v>46063.0</v>
      </c>
      <c r="B700" s="66" t="s">
        <v>244</v>
      </c>
      <c r="C700" s="66" t="s">
        <v>319</v>
      </c>
      <c r="D700" s="67">
        <v>7.0</v>
      </c>
      <c r="E700" s="66" t="s">
        <v>183</v>
      </c>
      <c r="F700" s="66" t="s">
        <v>829</v>
      </c>
      <c r="G700" s="65" t="str">
        <f t="shared" si="1"/>
        <v>MCC049UC0610</v>
      </c>
      <c r="H700" s="35" t="str">
        <f t="shared" si="2"/>
        <v>Saída</v>
      </c>
      <c r="I700" s="25" t="s">
        <v>247</v>
      </c>
    </row>
    <row r="701">
      <c r="A701" s="64">
        <v>46063.0</v>
      </c>
      <c r="B701" s="66" t="s">
        <v>232</v>
      </c>
      <c r="C701" s="66" t="s">
        <v>224</v>
      </c>
      <c r="D701" s="67">
        <v>24.0</v>
      </c>
      <c r="E701" s="66" t="s">
        <v>182</v>
      </c>
      <c r="F701" s="66" t="s">
        <v>824</v>
      </c>
      <c r="G701" s="65" t="str">
        <f t="shared" si="1"/>
        <v>MCC015UC0045</v>
      </c>
      <c r="H701" s="35" t="str">
        <f t="shared" si="2"/>
        <v>Saída</v>
      </c>
      <c r="I701" s="25" t="s">
        <v>234</v>
      </c>
    </row>
    <row r="702" hidden="1">
      <c r="A702" s="64">
        <v>46063.0</v>
      </c>
      <c r="B702" s="66" t="s">
        <v>235</v>
      </c>
      <c r="C702" s="66" t="s">
        <v>226</v>
      </c>
      <c r="D702" s="67">
        <v>16.0</v>
      </c>
      <c r="E702" s="66" t="s">
        <v>184</v>
      </c>
      <c r="F702" s="66" t="s">
        <v>830</v>
      </c>
      <c r="G702" s="65" t="str">
        <f t="shared" si="1"/>
        <v>MCC046UC0596</v>
      </c>
      <c r="H702" s="35"/>
      <c r="I702" s="25" t="s">
        <v>238</v>
      </c>
    </row>
    <row r="703" hidden="1">
      <c r="A703" s="64">
        <v>46064.0</v>
      </c>
      <c r="B703" s="66" t="s">
        <v>239</v>
      </c>
      <c r="C703" s="66" t="s">
        <v>215</v>
      </c>
      <c r="D703" s="67">
        <v>1.0</v>
      </c>
      <c r="E703" s="66" t="s">
        <v>184</v>
      </c>
      <c r="F703" s="66" t="s">
        <v>831</v>
      </c>
      <c r="G703" s="65" t="str">
        <f t="shared" si="1"/>
        <v>MCC046UC0082</v>
      </c>
      <c r="H703" s="35"/>
      <c r="I703" s="25" t="s">
        <v>241</v>
      </c>
    </row>
    <row r="704" hidden="1">
      <c r="A704" s="64">
        <v>46064.0</v>
      </c>
      <c r="B704" s="66" t="s">
        <v>239</v>
      </c>
      <c r="C704" s="66" t="s">
        <v>261</v>
      </c>
      <c r="D704" s="67">
        <v>1.0</v>
      </c>
      <c r="E704" s="66" t="s">
        <v>184</v>
      </c>
      <c r="F704" s="66" t="s">
        <v>832</v>
      </c>
      <c r="G704" s="65" t="str">
        <f t="shared" si="1"/>
        <v>EMC015MO0001</v>
      </c>
      <c r="H704" s="35"/>
      <c r="I704" s="25" t="s">
        <v>241</v>
      </c>
    </row>
    <row r="705" hidden="1">
      <c r="A705" s="64">
        <v>46064.0</v>
      </c>
      <c r="B705" s="66" t="s">
        <v>239</v>
      </c>
      <c r="C705" s="66" t="s">
        <v>226</v>
      </c>
      <c r="D705" s="67">
        <v>6.0</v>
      </c>
      <c r="E705" s="66" t="s">
        <v>184</v>
      </c>
      <c r="F705" s="66" t="s">
        <v>833</v>
      </c>
      <c r="G705" s="65" t="str">
        <f t="shared" si="1"/>
        <v>MCC046UC0596</v>
      </c>
      <c r="H705" s="35"/>
      <c r="I705" s="25" t="s">
        <v>241</v>
      </c>
    </row>
    <row r="706" hidden="1">
      <c r="A706" s="64">
        <v>46064.0</v>
      </c>
      <c r="B706" s="66" t="s">
        <v>305</v>
      </c>
      <c r="C706" s="66" t="s">
        <v>398</v>
      </c>
      <c r="D706" s="67">
        <v>24.0</v>
      </c>
      <c r="E706" s="66" t="s">
        <v>184</v>
      </c>
      <c r="F706" s="66" t="s">
        <v>486</v>
      </c>
      <c r="G706" s="65" t="str">
        <f t="shared" si="1"/>
        <v>MCC046UC0360</v>
      </c>
      <c r="H706" s="35"/>
      <c r="I706" s="25" t="s">
        <v>307</v>
      </c>
    </row>
    <row r="707" hidden="1">
      <c r="A707" s="64">
        <v>46064.0</v>
      </c>
      <c r="B707" s="66" t="s">
        <v>244</v>
      </c>
      <c r="C707" s="66" t="s">
        <v>645</v>
      </c>
      <c r="D707" s="67">
        <v>1.0</v>
      </c>
      <c r="E707" s="66" t="s">
        <v>183</v>
      </c>
      <c r="F707" s="66" t="s">
        <v>834</v>
      </c>
      <c r="G707" s="65" t="str">
        <f t="shared" si="1"/>
        <v>MCC046UC0210</v>
      </c>
      <c r="H707" s="35"/>
      <c r="I707" s="25" t="s">
        <v>247</v>
      </c>
    </row>
    <row r="708" hidden="1">
      <c r="A708" s="64">
        <v>46064.0</v>
      </c>
      <c r="B708" s="66" t="s">
        <v>297</v>
      </c>
      <c r="C708" s="66" t="s">
        <v>319</v>
      </c>
      <c r="D708" s="67">
        <v>1.0</v>
      </c>
      <c r="E708" s="66" t="s">
        <v>180</v>
      </c>
      <c r="F708" s="66" t="s">
        <v>835</v>
      </c>
      <c r="G708" s="65" t="str">
        <f t="shared" si="1"/>
        <v>MCC049UC0610</v>
      </c>
      <c r="H708" s="35"/>
      <c r="I708" s="25" t="s">
        <v>300</v>
      </c>
    </row>
    <row r="709" hidden="1">
      <c r="A709" s="64">
        <v>46064.0</v>
      </c>
      <c r="B709" s="66" t="s">
        <v>297</v>
      </c>
      <c r="C709" s="66" t="s">
        <v>245</v>
      </c>
      <c r="D709" s="67">
        <v>10.0</v>
      </c>
      <c r="E709" s="66" t="s">
        <v>180</v>
      </c>
      <c r="F709" s="66" t="s">
        <v>836</v>
      </c>
      <c r="G709" s="65" t="str">
        <f t="shared" si="1"/>
        <v>MCC015UC0008</v>
      </c>
      <c r="H709" s="35"/>
      <c r="I709" s="25" t="s">
        <v>300</v>
      </c>
    </row>
    <row r="710" hidden="1">
      <c r="A710" s="64">
        <v>46064.0</v>
      </c>
      <c r="B710" s="66" t="s">
        <v>200</v>
      </c>
      <c r="C710" s="66" t="s">
        <v>245</v>
      </c>
      <c r="D710" s="67">
        <v>1.0</v>
      </c>
      <c r="E710" s="66" t="s">
        <v>184</v>
      </c>
      <c r="F710" s="66" t="s">
        <v>837</v>
      </c>
      <c r="G710" s="65" t="str">
        <f t="shared" si="1"/>
        <v>MCC015UC0008</v>
      </c>
      <c r="H710" s="35"/>
      <c r="I710" s="25" t="s">
        <v>257</v>
      </c>
    </row>
    <row r="711" hidden="1">
      <c r="A711" s="64">
        <v>46065.0</v>
      </c>
      <c r="B711" s="66" t="s">
        <v>235</v>
      </c>
      <c r="C711" s="66" t="s">
        <v>245</v>
      </c>
      <c r="D711" s="67">
        <v>8.0</v>
      </c>
      <c r="E711" s="66" t="s">
        <v>184</v>
      </c>
      <c r="F711" s="66" t="s">
        <v>609</v>
      </c>
      <c r="G711" s="65" t="str">
        <f t="shared" si="1"/>
        <v>MCC015UC0008</v>
      </c>
      <c r="H711" s="35"/>
      <c r="I711" s="25" t="s">
        <v>238</v>
      </c>
    </row>
    <row r="712" hidden="1">
      <c r="A712" s="64">
        <v>46065.0</v>
      </c>
      <c r="B712" s="66" t="s">
        <v>235</v>
      </c>
      <c r="C712" s="66" t="s">
        <v>236</v>
      </c>
      <c r="D712" s="67">
        <v>8.0</v>
      </c>
      <c r="E712" s="66" t="s">
        <v>184</v>
      </c>
      <c r="F712" s="66" t="s">
        <v>609</v>
      </c>
      <c r="G712" s="65" t="str">
        <f t="shared" si="1"/>
        <v>MCC046UC0659</v>
      </c>
      <c r="H712" s="35"/>
      <c r="I712" s="25" t="s">
        <v>238</v>
      </c>
    </row>
    <row r="713">
      <c r="A713" s="64">
        <v>46065.0</v>
      </c>
      <c r="B713" s="66" t="s">
        <v>297</v>
      </c>
      <c r="C713" s="66" t="s">
        <v>224</v>
      </c>
      <c r="D713" s="67">
        <v>10.0</v>
      </c>
      <c r="E713" s="66" t="s">
        <v>180</v>
      </c>
      <c r="F713" s="66" t="s">
        <v>838</v>
      </c>
      <c r="G713" s="65" t="str">
        <f t="shared" si="1"/>
        <v>MCC015UC0045</v>
      </c>
      <c r="H713" s="35" t="str">
        <f>IF(A713&lt;&gt;"","Saída","")</f>
        <v>Saída</v>
      </c>
      <c r="I713" s="25" t="s">
        <v>300</v>
      </c>
    </row>
    <row r="714" hidden="1">
      <c r="A714" s="64">
        <v>46065.0</v>
      </c>
      <c r="B714" s="66" t="s">
        <v>214</v>
      </c>
      <c r="C714" s="66" t="s">
        <v>245</v>
      </c>
      <c r="D714" s="67">
        <v>1.0</v>
      </c>
      <c r="E714" s="66" t="s">
        <v>184</v>
      </c>
      <c r="F714" s="66" t="s">
        <v>839</v>
      </c>
      <c r="G714" s="65" t="str">
        <f t="shared" si="1"/>
        <v>MCC015UC0008</v>
      </c>
      <c r="H714" s="35"/>
      <c r="I714" s="25" t="s">
        <v>217</v>
      </c>
    </row>
    <row r="715" hidden="1">
      <c r="A715" s="64">
        <v>46065.0</v>
      </c>
      <c r="B715" s="66" t="s">
        <v>297</v>
      </c>
      <c r="C715" s="66" t="s">
        <v>245</v>
      </c>
      <c r="D715" s="67">
        <v>10.0</v>
      </c>
      <c r="E715" s="66" t="s">
        <v>180</v>
      </c>
      <c r="F715" s="66" t="s">
        <v>840</v>
      </c>
      <c r="G715" s="65" t="str">
        <f t="shared" si="1"/>
        <v>MCC015UC0008</v>
      </c>
      <c r="H715" s="35"/>
      <c r="I715" s="25" t="s">
        <v>300</v>
      </c>
    </row>
    <row r="716" hidden="1">
      <c r="A716" s="64">
        <v>46066.0</v>
      </c>
      <c r="B716" s="66" t="s">
        <v>200</v>
      </c>
      <c r="C716" s="66" t="s">
        <v>507</v>
      </c>
      <c r="D716" s="67">
        <v>1.0</v>
      </c>
      <c r="E716" s="66" t="s">
        <v>184</v>
      </c>
      <c r="F716" s="66" t="s">
        <v>841</v>
      </c>
      <c r="G716" s="65" t="str">
        <f t="shared" si="1"/>
        <v>MCC046UC0540</v>
      </c>
      <c r="H716" s="35"/>
      <c r="I716" s="25" t="s">
        <v>257</v>
      </c>
    </row>
    <row r="717" hidden="1">
      <c r="A717" s="64">
        <v>46066.0</v>
      </c>
      <c r="B717" s="66" t="s">
        <v>305</v>
      </c>
      <c r="C717" s="66" t="s">
        <v>221</v>
      </c>
      <c r="D717" s="67">
        <v>24.0</v>
      </c>
      <c r="E717" s="66" t="s">
        <v>184</v>
      </c>
      <c r="F717" s="66" t="s">
        <v>486</v>
      </c>
      <c r="G717" s="65" t="str">
        <f t="shared" si="1"/>
        <v>MCC049UC0600</v>
      </c>
      <c r="H717" s="35"/>
      <c r="I717" s="25" t="s">
        <v>307</v>
      </c>
    </row>
    <row r="718" hidden="1">
      <c r="A718" s="64">
        <v>46066.0</v>
      </c>
      <c r="B718" s="66" t="s">
        <v>343</v>
      </c>
      <c r="C718" s="66" t="s">
        <v>245</v>
      </c>
      <c r="D718" s="67">
        <v>20.0</v>
      </c>
      <c r="E718" s="66" t="s">
        <v>180</v>
      </c>
      <c r="F718" s="66" t="s">
        <v>842</v>
      </c>
      <c r="G718" s="65" t="str">
        <f t="shared" si="1"/>
        <v>MCC015UC0008</v>
      </c>
      <c r="H718" s="35"/>
      <c r="I718" s="25" t="s">
        <v>345</v>
      </c>
    </row>
    <row r="719" hidden="1">
      <c r="A719" s="64">
        <v>46066.0</v>
      </c>
      <c r="B719" s="66" t="s">
        <v>343</v>
      </c>
      <c r="C719" s="66" t="s">
        <v>245</v>
      </c>
      <c r="D719" s="67">
        <v>5.0</v>
      </c>
      <c r="E719" s="66" t="s">
        <v>180</v>
      </c>
      <c r="F719" s="66" t="s">
        <v>843</v>
      </c>
      <c r="G719" s="65" t="str">
        <f t="shared" si="1"/>
        <v>MCC015UC0008</v>
      </c>
      <c r="H719" s="35"/>
      <c r="I719" s="25" t="s">
        <v>345</v>
      </c>
    </row>
    <row r="720" hidden="1">
      <c r="A720" s="64">
        <v>46066.0</v>
      </c>
      <c r="B720" s="66" t="s">
        <v>343</v>
      </c>
      <c r="C720" s="66" t="s">
        <v>215</v>
      </c>
      <c r="D720" s="67">
        <v>5.0</v>
      </c>
      <c r="E720" s="66" t="s">
        <v>180</v>
      </c>
      <c r="F720" s="66" t="s">
        <v>844</v>
      </c>
      <c r="G720" s="65" t="str">
        <f t="shared" si="1"/>
        <v>MCC046UC0082</v>
      </c>
      <c r="H720" s="35"/>
      <c r="I720" s="25" t="s">
        <v>345</v>
      </c>
    </row>
    <row r="721" hidden="1">
      <c r="A721" s="64">
        <v>46071.0</v>
      </c>
      <c r="B721" s="66" t="s">
        <v>343</v>
      </c>
      <c r="C721" s="66" t="s">
        <v>410</v>
      </c>
      <c r="D721" s="67">
        <v>2.0</v>
      </c>
      <c r="E721" s="66" t="s">
        <v>180</v>
      </c>
      <c r="F721" s="66" t="s">
        <v>843</v>
      </c>
      <c r="G721" s="65" t="str">
        <f t="shared" si="1"/>
        <v>MCC049UC0604</v>
      </c>
      <c r="H721" s="35"/>
      <c r="I721" s="25" t="s">
        <v>345</v>
      </c>
    </row>
    <row r="722" hidden="1">
      <c r="A722" s="64">
        <v>46071.0</v>
      </c>
      <c r="B722" s="66" t="s">
        <v>210</v>
      </c>
      <c r="C722" s="66" t="s">
        <v>298</v>
      </c>
      <c r="D722" s="67">
        <v>2.0</v>
      </c>
      <c r="E722" s="66" t="s">
        <v>183</v>
      </c>
      <c r="F722" s="66" t="s">
        <v>845</v>
      </c>
      <c r="G722" s="65" t="str">
        <f t="shared" si="1"/>
        <v>MCC046UC0639</v>
      </c>
      <c r="H722" s="35"/>
      <c r="I722" s="25" t="s">
        <v>213</v>
      </c>
    </row>
    <row r="723" hidden="1">
      <c r="A723" s="64">
        <v>46071.0</v>
      </c>
      <c r="B723" s="66" t="s">
        <v>343</v>
      </c>
      <c r="C723" s="66" t="s">
        <v>410</v>
      </c>
      <c r="D723" s="67">
        <v>2.0</v>
      </c>
      <c r="E723" s="66" t="s">
        <v>180</v>
      </c>
      <c r="F723" s="66" t="s">
        <v>844</v>
      </c>
      <c r="G723" s="65" t="str">
        <f t="shared" si="1"/>
        <v>MCC049UC0604</v>
      </c>
      <c r="H723" s="35"/>
      <c r="I723" s="25" t="s">
        <v>345</v>
      </c>
    </row>
    <row r="724" hidden="1">
      <c r="A724" s="64">
        <v>46072.0</v>
      </c>
      <c r="B724" s="66" t="s">
        <v>297</v>
      </c>
      <c r="C724" s="66" t="s">
        <v>245</v>
      </c>
      <c r="D724" s="67">
        <v>10.0</v>
      </c>
      <c r="E724" s="66" t="s">
        <v>180</v>
      </c>
      <c r="F724" s="66" t="s">
        <v>846</v>
      </c>
      <c r="G724" s="65" t="str">
        <f t="shared" si="1"/>
        <v>MCC015UC0008</v>
      </c>
      <c r="H724" s="35"/>
      <c r="I724" s="25" t="s">
        <v>300</v>
      </c>
    </row>
    <row r="725" hidden="1">
      <c r="A725" s="64">
        <v>46073.0</v>
      </c>
      <c r="B725" s="66" t="s">
        <v>343</v>
      </c>
      <c r="C725" s="66" t="s">
        <v>226</v>
      </c>
      <c r="D725" s="67">
        <v>16.0</v>
      </c>
      <c r="E725" s="66" t="s">
        <v>180</v>
      </c>
      <c r="F725" s="66" t="s">
        <v>772</v>
      </c>
      <c r="G725" s="65" t="str">
        <f t="shared" si="1"/>
        <v>MCC046UC0596</v>
      </c>
      <c r="H725" s="35"/>
      <c r="I725" s="25" t="s">
        <v>345</v>
      </c>
    </row>
    <row r="726" hidden="1">
      <c r="A726" s="64">
        <v>46073.0</v>
      </c>
      <c r="B726" s="66" t="s">
        <v>239</v>
      </c>
      <c r="C726" s="66" t="s">
        <v>271</v>
      </c>
      <c r="D726" s="67">
        <v>4.0</v>
      </c>
      <c r="E726" s="66" t="s">
        <v>184</v>
      </c>
      <c r="F726" s="66" t="s">
        <v>847</v>
      </c>
      <c r="G726" s="65" t="str">
        <f t="shared" si="1"/>
        <v>MCC046UC0216</v>
      </c>
      <c r="H726" s="35"/>
      <c r="I726" s="25" t="s">
        <v>241</v>
      </c>
    </row>
    <row r="727" hidden="1">
      <c r="A727" s="64">
        <v>46073.0</v>
      </c>
      <c r="B727" s="66" t="s">
        <v>239</v>
      </c>
      <c r="C727" s="66" t="s">
        <v>218</v>
      </c>
      <c r="D727" s="67">
        <v>1.0</v>
      </c>
      <c r="E727" s="66" t="s">
        <v>184</v>
      </c>
      <c r="F727" s="66" t="s">
        <v>848</v>
      </c>
      <c r="G727" s="65" t="str">
        <f t="shared" si="1"/>
        <v>MCC046UC0398</v>
      </c>
      <c r="H727" s="35"/>
      <c r="I727" s="25" t="s">
        <v>241</v>
      </c>
    </row>
    <row r="728" hidden="1">
      <c r="A728" s="64">
        <v>46073.0</v>
      </c>
      <c r="B728" s="66" t="s">
        <v>366</v>
      </c>
      <c r="C728" s="66" t="s">
        <v>263</v>
      </c>
      <c r="D728" s="67">
        <v>1.0</v>
      </c>
      <c r="E728" s="66" t="s">
        <v>181</v>
      </c>
      <c r="F728" s="66" t="s">
        <v>849</v>
      </c>
      <c r="G728" s="65" t="str">
        <f t="shared" si="1"/>
        <v>MCC015UC0038</v>
      </c>
      <c r="H728" s="35"/>
      <c r="I728" s="25" t="s">
        <v>368</v>
      </c>
    </row>
    <row r="729">
      <c r="A729" s="64">
        <v>46076.0</v>
      </c>
      <c r="B729" s="66" t="s">
        <v>305</v>
      </c>
      <c r="C729" s="66" t="s">
        <v>224</v>
      </c>
      <c r="D729" s="67">
        <v>24.0</v>
      </c>
      <c r="E729" s="66" t="s">
        <v>184</v>
      </c>
      <c r="F729" s="66" t="s">
        <v>486</v>
      </c>
      <c r="G729" s="65" t="str">
        <f t="shared" si="1"/>
        <v>MCC015UC0045</v>
      </c>
      <c r="H729" s="35" t="str">
        <f>IF(A729&lt;&gt;"","Saída","")</f>
        <v>Saída</v>
      </c>
      <c r="I729" s="25" t="s">
        <v>307</v>
      </c>
    </row>
    <row r="730" hidden="1">
      <c r="A730" s="64">
        <v>46076.0</v>
      </c>
      <c r="B730" s="66" t="s">
        <v>282</v>
      </c>
      <c r="C730" s="66" t="s">
        <v>261</v>
      </c>
      <c r="D730" s="67">
        <v>8.0</v>
      </c>
      <c r="E730" s="66" t="s">
        <v>184</v>
      </c>
      <c r="F730" s="66" t="s">
        <v>762</v>
      </c>
      <c r="G730" s="65" t="str">
        <f t="shared" si="1"/>
        <v>EMC015MO0001</v>
      </c>
      <c r="H730" s="35"/>
      <c r="I730" s="25" t="s">
        <v>284</v>
      </c>
    </row>
    <row r="731" hidden="1">
      <c r="A731" s="64">
        <v>46076.0</v>
      </c>
      <c r="B731" s="66" t="s">
        <v>340</v>
      </c>
      <c r="C731" s="66" t="s">
        <v>245</v>
      </c>
      <c r="D731" s="67">
        <v>15.0</v>
      </c>
      <c r="E731" s="66" t="s">
        <v>180</v>
      </c>
      <c r="F731" s="66" t="s">
        <v>850</v>
      </c>
      <c r="G731" s="65" t="str">
        <f t="shared" si="1"/>
        <v>MCC015UC0008</v>
      </c>
      <c r="H731" s="35"/>
      <c r="I731" s="25" t="s">
        <v>342</v>
      </c>
    </row>
    <row r="732" hidden="1">
      <c r="A732" s="64">
        <v>46076.0</v>
      </c>
      <c r="B732" s="66" t="s">
        <v>401</v>
      </c>
      <c r="C732" s="66" t="s">
        <v>261</v>
      </c>
      <c r="D732" s="67">
        <v>23.0</v>
      </c>
      <c r="E732" s="66" t="s">
        <v>184</v>
      </c>
      <c r="F732" s="66" t="s">
        <v>851</v>
      </c>
      <c r="G732" s="65" t="str">
        <f t="shared" si="1"/>
        <v>EMC015MO0001</v>
      </c>
      <c r="H732" s="35"/>
      <c r="I732" s="25" t="s">
        <v>403</v>
      </c>
    </row>
    <row r="733" hidden="1">
      <c r="A733" s="64">
        <v>46076.0</v>
      </c>
      <c r="B733" s="66" t="s">
        <v>401</v>
      </c>
      <c r="C733" s="66" t="s">
        <v>218</v>
      </c>
      <c r="D733" s="67">
        <v>1.0</v>
      </c>
      <c r="E733" s="66" t="s">
        <v>184</v>
      </c>
      <c r="F733" s="66" t="s">
        <v>852</v>
      </c>
      <c r="G733" s="65" t="str">
        <f t="shared" si="1"/>
        <v>MCC046UC0398</v>
      </c>
      <c r="H733" s="35"/>
      <c r="I733" s="25" t="s">
        <v>403</v>
      </c>
    </row>
    <row r="734" hidden="1">
      <c r="A734" s="64">
        <v>46076.0</v>
      </c>
      <c r="B734" s="66" t="s">
        <v>401</v>
      </c>
      <c r="C734" s="66" t="s">
        <v>242</v>
      </c>
      <c r="D734" s="67">
        <v>12.0</v>
      </c>
      <c r="E734" s="66" t="s">
        <v>184</v>
      </c>
      <c r="F734" s="66" t="s">
        <v>853</v>
      </c>
      <c r="G734" s="65" t="str">
        <f t="shared" si="1"/>
        <v>MCC046UC0687</v>
      </c>
      <c r="H734" s="35"/>
      <c r="I734" s="25" t="s">
        <v>403</v>
      </c>
    </row>
    <row r="735" hidden="1">
      <c r="A735" s="64">
        <v>46076.0</v>
      </c>
      <c r="B735" s="66" t="s">
        <v>210</v>
      </c>
      <c r="C735" s="66" t="s">
        <v>261</v>
      </c>
      <c r="D735" s="67">
        <v>5.0</v>
      </c>
      <c r="E735" s="66" t="s">
        <v>180</v>
      </c>
      <c r="F735" s="66" t="s">
        <v>639</v>
      </c>
      <c r="G735" s="65" t="str">
        <f t="shared" si="1"/>
        <v>EMC015MO0001</v>
      </c>
      <c r="H735" s="35"/>
      <c r="I735" s="25" t="s">
        <v>213</v>
      </c>
    </row>
    <row r="736" hidden="1">
      <c r="A736" s="64">
        <v>46076.0</v>
      </c>
      <c r="B736" s="66" t="s">
        <v>244</v>
      </c>
      <c r="C736" s="66" t="s">
        <v>245</v>
      </c>
      <c r="D736" s="67">
        <v>10.0</v>
      </c>
      <c r="E736" s="66" t="s">
        <v>183</v>
      </c>
      <c r="F736" s="66" t="s">
        <v>854</v>
      </c>
      <c r="G736" s="65" t="str">
        <f t="shared" si="1"/>
        <v>MCC015UC0008</v>
      </c>
      <c r="H736" s="35"/>
      <c r="I736" s="25" t="s">
        <v>247</v>
      </c>
    </row>
    <row r="737" hidden="1">
      <c r="A737" s="64">
        <v>46077.0</v>
      </c>
      <c r="B737" s="66" t="s">
        <v>239</v>
      </c>
      <c r="C737" s="66" t="s">
        <v>215</v>
      </c>
      <c r="D737" s="67">
        <v>1.0</v>
      </c>
      <c r="E737" s="66" t="s">
        <v>184</v>
      </c>
      <c r="F737" s="66" t="s">
        <v>855</v>
      </c>
      <c r="G737" s="65" t="str">
        <f t="shared" si="1"/>
        <v>MCC046UC0082</v>
      </c>
      <c r="H737" s="35"/>
      <c r="I737" s="25" t="s">
        <v>241</v>
      </c>
    </row>
    <row r="738" hidden="1">
      <c r="A738" s="64">
        <v>46077.0</v>
      </c>
      <c r="B738" s="66" t="s">
        <v>239</v>
      </c>
      <c r="C738" s="66" t="s">
        <v>242</v>
      </c>
      <c r="D738" s="67">
        <v>1.0</v>
      </c>
      <c r="E738" s="66" t="s">
        <v>184</v>
      </c>
      <c r="F738" s="66" t="s">
        <v>780</v>
      </c>
      <c r="G738" s="65" t="str">
        <f t="shared" si="1"/>
        <v>MCC046UC0687</v>
      </c>
      <c r="H738" s="35"/>
      <c r="I738" s="25" t="s">
        <v>241</v>
      </c>
    </row>
    <row r="739" hidden="1">
      <c r="A739" s="64">
        <v>46077.0</v>
      </c>
      <c r="B739" s="66" t="s">
        <v>366</v>
      </c>
      <c r="C739" s="66" t="s">
        <v>245</v>
      </c>
      <c r="D739" s="67">
        <v>6.0</v>
      </c>
      <c r="E739" s="66" t="s">
        <v>181</v>
      </c>
      <c r="F739" s="66" t="s">
        <v>704</v>
      </c>
      <c r="G739" s="65" t="str">
        <f t="shared" si="1"/>
        <v>MCC015UC0008</v>
      </c>
      <c r="H739" s="35"/>
      <c r="I739" s="25" t="s">
        <v>368</v>
      </c>
    </row>
    <row r="740" hidden="1">
      <c r="A740" s="64">
        <v>46077.0</v>
      </c>
      <c r="B740" s="66" t="s">
        <v>359</v>
      </c>
      <c r="C740" s="66" t="s">
        <v>245</v>
      </c>
      <c r="D740" s="67">
        <v>10.0</v>
      </c>
      <c r="E740" s="66" t="s">
        <v>183</v>
      </c>
      <c r="F740" s="66" t="s">
        <v>465</v>
      </c>
      <c r="G740" s="65" t="str">
        <f t="shared" si="1"/>
        <v>MCC015UC0008</v>
      </c>
      <c r="H740" s="35"/>
      <c r="I740" s="25" t="s">
        <v>362</v>
      </c>
    </row>
    <row r="741" hidden="1">
      <c r="A741" s="64">
        <v>46077.0</v>
      </c>
      <c r="B741" s="66" t="s">
        <v>359</v>
      </c>
      <c r="C741" s="66" t="s">
        <v>311</v>
      </c>
      <c r="D741" s="67">
        <v>1.0</v>
      </c>
      <c r="E741" s="66" t="s">
        <v>180</v>
      </c>
      <c r="F741" s="66" t="s">
        <v>856</v>
      </c>
      <c r="G741" s="65" t="str">
        <f t="shared" si="1"/>
        <v>MCC046UC0638</v>
      </c>
      <c r="H741" s="35"/>
      <c r="I741" s="25" t="s">
        <v>362</v>
      </c>
    </row>
    <row r="742" hidden="1">
      <c r="A742" s="64">
        <v>46077.0</v>
      </c>
      <c r="B742" s="66" t="s">
        <v>340</v>
      </c>
      <c r="C742" s="66" t="s">
        <v>245</v>
      </c>
      <c r="D742" s="67">
        <v>50.0</v>
      </c>
      <c r="E742" s="66" t="s">
        <v>180</v>
      </c>
      <c r="F742" s="66" t="s">
        <v>724</v>
      </c>
      <c r="G742" s="65" t="str">
        <f t="shared" si="1"/>
        <v>MCC015UC0008</v>
      </c>
      <c r="H742" s="35"/>
      <c r="I742" s="25" t="s">
        <v>342</v>
      </c>
    </row>
    <row r="743">
      <c r="A743" s="64">
        <v>46077.0</v>
      </c>
      <c r="B743" s="66" t="s">
        <v>366</v>
      </c>
      <c r="C743" s="66" t="s">
        <v>224</v>
      </c>
      <c r="D743" s="67">
        <v>12.0</v>
      </c>
      <c r="E743" s="66" t="s">
        <v>181</v>
      </c>
      <c r="F743" s="66" t="s">
        <v>545</v>
      </c>
      <c r="G743" s="65" t="str">
        <f t="shared" si="1"/>
        <v>MCC015UC0045</v>
      </c>
      <c r="H743" s="35" t="str">
        <f>IF(A743&lt;&gt;"","Saída","")</f>
        <v>Saída</v>
      </c>
      <c r="I743" s="25" t="s">
        <v>368</v>
      </c>
    </row>
    <row r="744" hidden="1">
      <c r="A744" s="64">
        <v>46077.0</v>
      </c>
      <c r="B744" s="66" t="s">
        <v>270</v>
      </c>
      <c r="C744" s="66" t="s">
        <v>245</v>
      </c>
      <c r="D744" s="67">
        <v>7.0</v>
      </c>
      <c r="E744" s="66" t="s">
        <v>180</v>
      </c>
      <c r="F744" s="66" t="s">
        <v>624</v>
      </c>
      <c r="G744" s="65" t="str">
        <f t="shared" si="1"/>
        <v>MCC015UC0008</v>
      </c>
      <c r="H744" s="35"/>
      <c r="I744" s="25" t="s">
        <v>273</v>
      </c>
    </row>
    <row r="745" hidden="1">
      <c r="A745" s="64">
        <v>46077.0</v>
      </c>
      <c r="B745" s="66" t="s">
        <v>232</v>
      </c>
      <c r="C745" s="66" t="s">
        <v>250</v>
      </c>
      <c r="D745" s="67">
        <v>1.0</v>
      </c>
      <c r="E745" s="66" t="s">
        <v>182</v>
      </c>
      <c r="F745" s="66" t="s">
        <v>857</v>
      </c>
      <c r="G745" s="65" t="str">
        <f t="shared" si="1"/>
        <v>MCC046UC0526</v>
      </c>
      <c r="H745" s="35"/>
      <c r="I745" s="25" t="s">
        <v>234</v>
      </c>
    </row>
    <row r="746" hidden="1">
      <c r="A746" s="64">
        <v>46077.0</v>
      </c>
      <c r="B746" s="66" t="s">
        <v>232</v>
      </c>
      <c r="C746" s="66" t="s">
        <v>474</v>
      </c>
      <c r="D746" s="67">
        <v>1.0</v>
      </c>
      <c r="E746" s="66" t="s">
        <v>182</v>
      </c>
      <c r="F746" s="66" t="s">
        <v>858</v>
      </c>
      <c r="G746" s="65" t="str">
        <f t="shared" si="1"/>
        <v>MCC046UC0525</v>
      </c>
      <c r="H746" s="35"/>
      <c r="I746" s="25" t="s">
        <v>234</v>
      </c>
    </row>
    <row r="747" hidden="1">
      <c r="A747" s="64">
        <v>46077.0</v>
      </c>
      <c r="B747" s="66" t="s">
        <v>232</v>
      </c>
      <c r="C747" s="66" t="s">
        <v>255</v>
      </c>
      <c r="D747" s="67">
        <v>2.0</v>
      </c>
      <c r="E747" s="66" t="s">
        <v>182</v>
      </c>
      <c r="F747" s="66" t="s">
        <v>859</v>
      </c>
      <c r="G747" s="65" t="str">
        <f t="shared" si="1"/>
        <v>MCC046UC0215</v>
      </c>
      <c r="H747" s="35"/>
      <c r="I747" s="25" t="s">
        <v>234</v>
      </c>
    </row>
    <row r="748">
      <c r="A748" s="64">
        <v>46078.0</v>
      </c>
      <c r="B748" s="66" t="s">
        <v>305</v>
      </c>
      <c r="C748" s="66" t="s">
        <v>224</v>
      </c>
      <c r="D748" s="67">
        <v>24.0</v>
      </c>
      <c r="E748" s="66" t="s">
        <v>184</v>
      </c>
      <c r="F748" s="66" t="s">
        <v>486</v>
      </c>
      <c r="G748" s="65" t="str">
        <f t="shared" si="1"/>
        <v>MCC015UC0045</v>
      </c>
      <c r="H748" s="35" t="str">
        <f>IF(A748&lt;&gt;"","Saída","")</f>
        <v>Saída</v>
      </c>
      <c r="I748" s="25" t="s">
        <v>307</v>
      </c>
    </row>
    <row r="749" hidden="1">
      <c r="A749" s="64">
        <v>46078.0</v>
      </c>
      <c r="B749" s="66" t="s">
        <v>232</v>
      </c>
      <c r="C749" s="66" t="s">
        <v>291</v>
      </c>
      <c r="D749" s="67">
        <v>4.0</v>
      </c>
      <c r="E749" s="66" t="s">
        <v>182</v>
      </c>
      <c r="F749" s="66" t="s">
        <v>860</v>
      </c>
      <c r="G749" s="65" t="str">
        <f t="shared" si="1"/>
        <v>MCC046UC0695</v>
      </c>
      <c r="H749" s="35"/>
      <c r="I749" s="25" t="s">
        <v>234</v>
      </c>
    </row>
    <row r="750" hidden="1">
      <c r="A750" s="64">
        <v>46078.0</v>
      </c>
      <c r="B750" s="66" t="s">
        <v>232</v>
      </c>
      <c r="C750" s="66" t="s">
        <v>263</v>
      </c>
      <c r="D750" s="67">
        <v>1.0</v>
      </c>
      <c r="E750" s="66" t="s">
        <v>182</v>
      </c>
      <c r="F750" s="66" t="s">
        <v>861</v>
      </c>
      <c r="G750" s="65" t="str">
        <f t="shared" si="1"/>
        <v>MCC015UC0038</v>
      </c>
      <c r="H750" s="35"/>
      <c r="I750" s="25" t="s">
        <v>234</v>
      </c>
    </row>
    <row r="751" hidden="1">
      <c r="A751" s="64">
        <v>46079.0</v>
      </c>
      <c r="B751" s="66" t="s">
        <v>593</v>
      </c>
      <c r="C751" s="66" t="s">
        <v>400</v>
      </c>
      <c r="D751" s="67">
        <v>1.0</v>
      </c>
      <c r="E751" s="66" t="s">
        <v>180</v>
      </c>
      <c r="F751" s="66" t="s">
        <v>862</v>
      </c>
      <c r="G751" s="65" t="str">
        <f t="shared" si="1"/>
        <v>MCC046UC0520</v>
      </c>
      <c r="H751" s="35"/>
      <c r="I751" s="25" t="s">
        <v>595</v>
      </c>
    </row>
    <row r="752" hidden="1">
      <c r="A752" s="64">
        <v>46079.0</v>
      </c>
      <c r="B752" s="66" t="s">
        <v>593</v>
      </c>
      <c r="C752" s="66" t="s">
        <v>507</v>
      </c>
      <c r="D752" s="67">
        <v>1.0</v>
      </c>
      <c r="E752" s="66" t="s">
        <v>180</v>
      </c>
      <c r="F752" s="66" t="s">
        <v>863</v>
      </c>
      <c r="G752" s="65" t="str">
        <f t="shared" si="1"/>
        <v>MCC046UC0540</v>
      </c>
      <c r="H752" s="35"/>
      <c r="I752" s="25" t="s">
        <v>595</v>
      </c>
    </row>
    <row r="753" hidden="1">
      <c r="A753" s="64">
        <v>46080.0</v>
      </c>
      <c r="B753" s="66" t="s">
        <v>455</v>
      </c>
      <c r="C753" s="66" t="s">
        <v>245</v>
      </c>
      <c r="D753" s="67">
        <v>8.0</v>
      </c>
      <c r="E753" s="66" t="s">
        <v>184</v>
      </c>
      <c r="F753" s="66" t="s">
        <v>742</v>
      </c>
      <c r="G753" s="65" t="str">
        <f t="shared" si="1"/>
        <v>MCC015UC0008</v>
      </c>
      <c r="H753" s="35"/>
      <c r="I753" s="25" t="s">
        <v>457</v>
      </c>
    </row>
    <row r="754">
      <c r="A754" s="64">
        <v>46080.0</v>
      </c>
      <c r="B754" s="66" t="s">
        <v>343</v>
      </c>
      <c r="C754" s="66" t="s">
        <v>224</v>
      </c>
      <c r="D754" s="67">
        <v>24.0</v>
      </c>
      <c r="E754" s="66" t="s">
        <v>180</v>
      </c>
      <c r="F754" s="66" t="s">
        <v>819</v>
      </c>
      <c r="G754" s="65" t="str">
        <f t="shared" si="1"/>
        <v>MCC015UC0045</v>
      </c>
      <c r="H754" s="35" t="str">
        <f>IF(A754&lt;&gt;"","Saída","")</f>
        <v>Saída</v>
      </c>
      <c r="I754" s="25" t="s">
        <v>345</v>
      </c>
    </row>
    <row r="755" hidden="1">
      <c r="A755" s="64">
        <v>46080.0</v>
      </c>
      <c r="B755" s="66" t="s">
        <v>232</v>
      </c>
      <c r="C755" s="66" t="s">
        <v>263</v>
      </c>
      <c r="D755" s="67">
        <v>1.0</v>
      </c>
      <c r="E755" s="66" t="s">
        <v>182</v>
      </c>
      <c r="F755" s="66" t="s">
        <v>554</v>
      </c>
      <c r="G755" s="65" t="str">
        <f t="shared" si="1"/>
        <v>MCC015UC0038</v>
      </c>
      <c r="H755" s="35"/>
      <c r="I755" s="25" t="s">
        <v>234</v>
      </c>
    </row>
    <row r="756" hidden="1">
      <c r="A756" s="64">
        <v>46080.0</v>
      </c>
      <c r="B756" s="66" t="s">
        <v>232</v>
      </c>
      <c r="C756" s="66" t="s">
        <v>291</v>
      </c>
      <c r="D756" s="67">
        <v>10.0</v>
      </c>
      <c r="E756" s="66" t="s">
        <v>182</v>
      </c>
      <c r="F756" s="66" t="s">
        <v>821</v>
      </c>
      <c r="G756" s="65" t="str">
        <f t="shared" si="1"/>
        <v>MCC046UC0695</v>
      </c>
      <c r="H756" s="35"/>
      <c r="I756" s="25" t="s">
        <v>234</v>
      </c>
    </row>
    <row r="757">
      <c r="A757" s="64">
        <v>46083.0</v>
      </c>
      <c r="B757" s="66" t="s">
        <v>297</v>
      </c>
      <c r="C757" s="66" t="s">
        <v>224</v>
      </c>
      <c r="D757" s="67">
        <v>8.0</v>
      </c>
      <c r="E757" s="66" t="s">
        <v>180</v>
      </c>
      <c r="F757" s="66" t="s">
        <v>864</v>
      </c>
      <c r="G757" s="65" t="str">
        <f t="shared" si="1"/>
        <v>MCC015UC0045</v>
      </c>
      <c r="H757" s="35" t="str">
        <f>IF(A757&lt;&gt;"","Saída","")</f>
        <v>Saída</v>
      </c>
      <c r="I757" s="25" t="s">
        <v>300</v>
      </c>
    </row>
    <row r="758" hidden="1">
      <c r="A758" s="64">
        <v>46083.0</v>
      </c>
      <c r="B758" s="66" t="s">
        <v>282</v>
      </c>
      <c r="C758" s="66" t="s">
        <v>865</v>
      </c>
      <c r="D758" s="67">
        <v>1.0</v>
      </c>
      <c r="E758" s="66" t="s">
        <v>184</v>
      </c>
      <c r="F758" s="66" t="s">
        <v>762</v>
      </c>
      <c r="G758" s="65" t="str">
        <f t="shared" si="1"/>
        <v>MCC049UC0609</v>
      </c>
      <c r="H758" s="35"/>
      <c r="I758" s="25" t="s">
        <v>284</v>
      </c>
    </row>
    <row r="759" hidden="1">
      <c r="A759" s="64">
        <v>46083.0</v>
      </c>
      <c r="B759" s="66" t="s">
        <v>343</v>
      </c>
      <c r="C759" s="66" t="s">
        <v>245</v>
      </c>
      <c r="D759" s="67">
        <v>50.0</v>
      </c>
      <c r="E759" s="66" t="s">
        <v>180</v>
      </c>
      <c r="F759" s="66" t="s">
        <v>772</v>
      </c>
      <c r="G759" s="65" t="str">
        <f t="shared" si="1"/>
        <v>MCC015UC0008</v>
      </c>
      <c r="H759" s="35"/>
      <c r="I759" s="25" t="s">
        <v>345</v>
      </c>
    </row>
    <row r="760" hidden="1">
      <c r="A760" s="64">
        <v>46084.0</v>
      </c>
      <c r="B760" s="66" t="s">
        <v>366</v>
      </c>
      <c r="C760" s="66" t="s">
        <v>245</v>
      </c>
      <c r="D760" s="67">
        <v>6.0</v>
      </c>
      <c r="E760" s="66" t="s">
        <v>181</v>
      </c>
      <c r="F760" s="66" t="s">
        <v>866</v>
      </c>
      <c r="G760" s="65" t="str">
        <f t="shared" si="1"/>
        <v>MCC015UC0008</v>
      </c>
      <c r="H760" s="35"/>
      <c r="I760" s="25" t="s">
        <v>368</v>
      </c>
    </row>
    <row r="761" hidden="1">
      <c r="A761" s="64">
        <v>46084.0</v>
      </c>
      <c r="B761" s="66" t="s">
        <v>200</v>
      </c>
      <c r="C761" s="66" t="s">
        <v>255</v>
      </c>
      <c r="D761" s="67">
        <v>5.0</v>
      </c>
      <c r="E761" s="66" t="s">
        <v>184</v>
      </c>
      <c r="F761" s="66" t="s">
        <v>867</v>
      </c>
      <c r="G761" s="65" t="str">
        <f t="shared" si="1"/>
        <v>MCC046UC0215</v>
      </c>
      <c r="H761" s="35"/>
      <c r="I761" s="25" t="s">
        <v>257</v>
      </c>
    </row>
    <row r="762" hidden="1">
      <c r="A762" s="64">
        <v>46084.0</v>
      </c>
      <c r="B762" s="66" t="s">
        <v>200</v>
      </c>
      <c r="C762" s="66" t="s">
        <v>271</v>
      </c>
      <c r="D762" s="67">
        <v>5.0</v>
      </c>
      <c r="E762" s="66" t="s">
        <v>184</v>
      </c>
      <c r="F762" s="66" t="s">
        <v>867</v>
      </c>
      <c r="G762" s="65" t="str">
        <f t="shared" si="1"/>
        <v>MCC046UC0216</v>
      </c>
      <c r="H762" s="35"/>
      <c r="I762" s="25" t="s">
        <v>257</v>
      </c>
    </row>
    <row r="763" hidden="1">
      <c r="A763" s="64">
        <v>46084.0</v>
      </c>
      <c r="B763" s="66" t="s">
        <v>232</v>
      </c>
      <c r="C763" s="66" t="s">
        <v>291</v>
      </c>
      <c r="D763" s="67">
        <v>14.0</v>
      </c>
      <c r="E763" s="66" t="s">
        <v>182</v>
      </c>
      <c r="F763" s="66" t="s">
        <v>824</v>
      </c>
      <c r="G763" s="65" t="str">
        <f t="shared" si="1"/>
        <v>MCC046UC0695</v>
      </c>
      <c r="H763" s="35"/>
      <c r="I763" s="25" t="s">
        <v>234</v>
      </c>
    </row>
    <row r="764" hidden="1">
      <c r="A764" s="64">
        <v>46084.0</v>
      </c>
      <c r="B764" s="66" t="s">
        <v>210</v>
      </c>
      <c r="C764" s="66" t="s">
        <v>311</v>
      </c>
      <c r="D764" s="67">
        <v>2.0</v>
      </c>
      <c r="E764" s="66" t="s">
        <v>183</v>
      </c>
      <c r="F764" s="66" t="s">
        <v>312</v>
      </c>
      <c r="G764" s="65" t="str">
        <f t="shared" si="1"/>
        <v>MCC046UC0638</v>
      </c>
      <c r="H764" s="35"/>
      <c r="I764" s="25" t="s">
        <v>213</v>
      </c>
    </row>
    <row r="765" hidden="1">
      <c r="A765" s="64">
        <v>46084.0</v>
      </c>
      <c r="B765" s="66" t="s">
        <v>214</v>
      </c>
      <c r="C765" s="66" t="s">
        <v>868</v>
      </c>
      <c r="D765" s="67">
        <v>1.0</v>
      </c>
      <c r="E765" s="66" t="s">
        <v>184</v>
      </c>
      <c r="F765" s="66" t="s">
        <v>869</v>
      </c>
      <c r="G765" s="65" t="str">
        <f t="shared" si="1"/>
        <v>MCC046UC0617</v>
      </c>
      <c r="H765" s="35"/>
      <c r="I765" s="25" t="s">
        <v>217</v>
      </c>
    </row>
    <row r="766" hidden="1">
      <c r="A766" s="64">
        <v>46084.0</v>
      </c>
      <c r="B766" s="66" t="s">
        <v>343</v>
      </c>
      <c r="C766" s="66" t="s">
        <v>346</v>
      </c>
      <c r="D766" s="67">
        <v>20.0</v>
      </c>
      <c r="E766" s="66" t="s">
        <v>180</v>
      </c>
      <c r="F766" s="66" t="s">
        <v>842</v>
      </c>
      <c r="G766" s="65" t="str">
        <f t="shared" si="1"/>
        <v>MCC049UC0603</v>
      </c>
      <c r="H766" s="35"/>
      <c r="I766" s="25" t="s">
        <v>345</v>
      </c>
    </row>
    <row r="767" hidden="1">
      <c r="A767" s="64">
        <v>46084.0</v>
      </c>
      <c r="B767" s="66" t="s">
        <v>214</v>
      </c>
      <c r="C767" s="66" t="s">
        <v>226</v>
      </c>
      <c r="D767" s="67">
        <v>10.0</v>
      </c>
      <c r="E767" s="66" t="s">
        <v>184</v>
      </c>
      <c r="F767" s="66" t="s">
        <v>870</v>
      </c>
      <c r="G767" s="65" t="str">
        <f t="shared" si="1"/>
        <v>MCC046UC0596</v>
      </c>
      <c r="H767" s="35"/>
      <c r="I767" s="25" t="s">
        <v>217</v>
      </c>
    </row>
    <row r="768" hidden="1">
      <c r="A768" s="64">
        <v>46084.0</v>
      </c>
      <c r="B768" s="66" t="s">
        <v>297</v>
      </c>
      <c r="C768" s="66" t="s">
        <v>245</v>
      </c>
      <c r="D768" s="67">
        <v>10.0</v>
      </c>
      <c r="E768" s="66" t="s">
        <v>180</v>
      </c>
      <c r="F768" s="66" t="s">
        <v>871</v>
      </c>
      <c r="G768" s="65" t="str">
        <f t="shared" si="1"/>
        <v>MCC015UC0008</v>
      </c>
      <c r="H768" s="35"/>
      <c r="I768" s="25" t="s">
        <v>300</v>
      </c>
    </row>
    <row r="769">
      <c r="A769" s="64">
        <v>46085.0</v>
      </c>
      <c r="B769" s="66" t="s">
        <v>244</v>
      </c>
      <c r="C769" s="66" t="s">
        <v>224</v>
      </c>
      <c r="D769" s="67">
        <v>1.0</v>
      </c>
      <c r="E769" s="66" t="s">
        <v>183</v>
      </c>
      <c r="F769" s="66" t="s">
        <v>829</v>
      </c>
      <c r="G769" s="65" t="str">
        <f t="shared" si="1"/>
        <v>MCC015UC0045</v>
      </c>
      <c r="H769" s="35" t="str">
        <f>IF(A769&lt;&gt;"","Saída","")</f>
        <v>Saída</v>
      </c>
      <c r="I769" s="25" t="s">
        <v>247</v>
      </c>
    </row>
    <row r="770" hidden="1">
      <c r="A770" s="64">
        <v>46085.0</v>
      </c>
      <c r="B770" s="66" t="s">
        <v>270</v>
      </c>
      <c r="C770" s="66" t="s">
        <v>245</v>
      </c>
      <c r="D770" s="67">
        <v>15.0</v>
      </c>
      <c r="E770" s="66" t="s">
        <v>180</v>
      </c>
      <c r="F770" s="66" t="s">
        <v>624</v>
      </c>
      <c r="G770" s="65" t="str">
        <f t="shared" si="1"/>
        <v>MCC015UC0008</v>
      </c>
      <c r="H770" s="35"/>
      <c r="I770" s="25" t="s">
        <v>273</v>
      </c>
    </row>
    <row r="771" hidden="1">
      <c r="A771" s="64">
        <v>46086.0</v>
      </c>
      <c r="B771" s="66" t="s">
        <v>258</v>
      </c>
      <c r="C771" s="66" t="s">
        <v>474</v>
      </c>
      <c r="D771" s="67">
        <v>12.0</v>
      </c>
      <c r="E771" s="66" t="s">
        <v>184</v>
      </c>
      <c r="F771" s="66" t="s">
        <v>872</v>
      </c>
      <c r="G771" s="65" t="str">
        <f t="shared" si="1"/>
        <v>MCC046UC0525</v>
      </c>
      <c r="H771" s="35"/>
      <c r="I771" s="25" t="s">
        <v>260</v>
      </c>
    </row>
    <row r="772" hidden="1">
      <c r="A772" s="64">
        <v>46086.0</v>
      </c>
      <c r="B772" s="66" t="s">
        <v>232</v>
      </c>
      <c r="C772" s="66" t="s">
        <v>346</v>
      </c>
      <c r="D772" s="67">
        <v>1.0</v>
      </c>
      <c r="E772" s="66" t="s">
        <v>182</v>
      </c>
      <c r="F772" s="66" t="s">
        <v>873</v>
      </c>
      <c r="G772" s="65" t="str">
        <f t="shared" si="1"/>
        <v>MCC049UC0603</v>
      </c>
      <c r="H772" s="35"/>
      <c r="I772" s="25" t="s">
        <v>234</v>
      </c>
    </row>
    <row r="773" hidden="1">
      <c r="A773" s="64">
        <v>46086.0</v>
      </c>
      <c r="B773" s="66" t="s">
        <v>366</v>
      </c>
      <c r="C773" s="66" t="s">
        <v>245</v>
      </c>
      <c r="D773" s="67">
        <v>2.0</v>
      </c>
      <c r="E773" s="66" t="s">
        <v>181</v>
      </c>
      <c r="F773" s="66" t="s">
        <v>544</v>
      </c>
      <c r="G773" s="65" t="str">
        <f t="shared" si="1"/>
        <v>MCC015UC0008</v>
      </c>
      <c r="H773" s="35"/>
      <c r="I773" s="25" t="s">
        <v>368</v>
      </c>
    </row>
    <row r="774">
      <c r="A774" s="64">
        <v>46086.0</v>
      </c>
      <c r="B774" s="66" t="s">
        <v>455</v>
      </c>
      <c r="C774" s="66" t="s">
        <v>224</v>
      </c>
      <c r="D774" s="67">
        <v>24.0</v>
      </c>
      <c r="E774" s="66" t="s">
        <v>184</v>
      </c>
      <c r="F774" s="66" t="s">
        <v>727</v>
      </c>
      <c r="G774" s="65" t="str">
        <f t="shared" si="1"/>
        <v>MCC015UC0045</v>
      </c>
      <c r="H774" s="35" t="str">
        <f>IF(A774&lt;&gt;"","Saída","")</f>
        <v>Saída</v>
      </c>
      <c r="I774" s="25" t="s">
        <v>457</v>
      </c>
    </row>
    <row r="775" hidden="1">
      <c r="A775" s="64">
        <v>46086.0</v>
      </c>
      <c r="B775" s="66" t="s">
        <v>401</v>
      </c>
      <c r="C775" s="66" t="s">
        <v>498</v>
      </c>
      <c r="D775" s="67">
        <v>10.0</v>
      </c>
      <c r="E775" s="66" t="s">
        <v>184</v>
      </c>
      <c r="F775" s="66" t="s">
        <v>874</v>
      </c>
      <c r="G775" s="65" t="str">
        <f t="shared" si="1"/>
        <v>MCC049UC0607</v>
      </c>
      <c r="H775" s="35"/>
      <c r="I775" s="25" t="s">
        <v>403</v>
      </c>
    </row>
    <row r="776" hidden="1">
      <c r="A776" s="64">
        <v>46086.0</v>
      </c>
      <c r="B776" s="66" t="s">
        <v>515</v>
      </c>
      <c r="C776" s="66" t="s">
        <v>245</v>
      </c>
      <c r="D776" s="67">
        <v>20.0</v>
      </c>
      <c r="E776" s="66" t="s">
        <v>183</v>
      </c>
      <c r="F776" s="66" t="s">
        <v>875</v>
      </c>
      <c r="G776" s="65" t="str">
        <f t="shared" si="1"/>
        <v>MCC015UC0008</v>
      </c>
      <c r="H776" s="35"/>
      <c r="I776" s="25" t="s">
        <v>517</v>
      </c>
    </row>
    <row r="777" hidden="1">
      <c r="A777" s="64">
        <v>46086.0</v>
      </c>
      <c r="B777" s="66" t="s">
        <v>214</v>
      </c>
      <c r="C777" s="66" t="s">
        <v>248</v>
      </c>
      <c r="D777" s="67">
        <v>1.0</v>
      </c>
      <c r="E777" s="66" t="s">
        <v>184</v>
      </c>
      <c r="F777" s="66" t="s">
        <v>839</v>
      </c>
      <c r="G777" s="65" t="str">
        <f t="shared" si="1"/>
        <v>MCC046UC0387</v>
      </c>
      <c r="H777" s="35"/>
      <c r="I777" s="25" t="s">
        <v>217</v>
      </c>
    </row>
    <row r="778" hidden="1">
      <c r="A778" s="64">
        <v>46087.0</v>
      </c>
      <c r="B778" s="66" t="s">
        <v>239</v>
      </c>
      <c r="C778" s="66" t="s">
        <v>215</v>
      </c>
      <c r="D778" s="67">
        <v>1.0</v>
      </c>
      <c r="E778" s="66" t="s">
        <v>184</v>
      </c>
      <c r="F778" s="66" t="s">
        <v>876</v>
      </c>
      <c r="G778" s="65" t="str">
        <f t="shared" si="1"/>
        <v>MCC046UC0082</v>
      </c>
      <c r="H778" s="35"/>
      <c r="I778" s="25" t="s">
        <v>241</v>
      </c>
    </row>
    <row r="779" hidden="1">
      <c r="A779" s="64">
        <v>46087.0</v>
      </c>
      <c r="B779" s="66" t="s">
        <v>200</v>
      </c>
      <c r="C779" s="66" t="s">
        <v>221</v>
      </c>
      <c r="D779" s="67">
        <v>10.0</v>
      </c>
      <c r="E779" s="66" t="s">
        <v>184</v>
      </c>
      <c r="F779" s="66" t="s">
        <v>877</v>
      </c>
      <c r="G779" s="65" t="str">
        <f t="shared" si="1"/>
        <v>MCC049UC0600</v>
      </c>
      <c r="H779" s="35"/>
      <c r="I779" s="25" t="s">
        <v>257</v>
      </c>
    </row>
    <row r="780" hidden="1">
      <c r="A780" s="64">
        <v>46087.0</v>
      </c>
      <c r="B780" s="66" t="s">
        <v>235</v>
      </c>
      <c r="C780" s="66" t="s">
        <v>253</v>
      </c>
      <c r="D780" s="67">
        <v>20.0</v>
      </c>
      <c r="E780" s="66" t="s">
        <v>184</v>
      </c>
      <c r="F780" s="66" t="s">
        <v>878</v>
      </c>
      <c r="G780" s="65" t="str">
        <f t="shared" si="1"/>
        <v>MCC046UC0599</v>
      </c>
      <c r="H780" s="35"/>
      <c r="I780" s="25" t="s">
        <v>238</v>
      </c>
    </row>
    <row r="781" hidden="1">
      <c r="A781" s="64">
        <v>46087.0</v>
      </c>
      <c r="B781" s="66" t="s">
        <v>239</v>
      </c>
      <c r="C781" s="66" t="s">
        <v>298</v>
      </c>
      <c r="D781" s="67">
        <v>1.0</v>
      </c>
      <c r="E781" s="66" t="s">
        <v>184</v>
      </c>
      <c r="F781" s="66" t="s">
        <v>879</v>
      </c>
      <c r="G781" s="65" t="str">
        <f t="shared" si="1"/>
        <v>MCC046UC0639</v>
      </c>
      <c r="H781" s="35"/>
      <c r="I781" s="25" t="s">
        <v>241</v>
      </c>
    </row>
    <row r="782" hidden="1">
      <c r="A782" s="64">
        <v>46087.0</v>
      </c>
      <c r="B782" s="66" t="s">
        <v>455</v>
      </c>
      <c r="C782" s="66" t="s">
        <v>253</v>
      </c>
      <c r="D782" s="67">
        <v>8.0</v>
      </c>
      <c r="E782" s="66" t="s">
        <v>184</v>
      </c>
      <c r="F782" s="66" t="s">
        <v>722</v>
      </c>
      <c r="G782" s="65" t="str">
        <f t="shared" si="1"/>
        <v>MCC046UC0599</v>
      </c>
      <c r="H782" s="35"/>
      <c r="I782" s="25" t="s">
        <v>457</v>
      </c>
    </row>
    <row r="783" hidden="1">
      <c r="A783" s="64">
        <v>46087.0</v>
      </c>
      <c r="B783" s="66" t="s">
        <v>455</v>
      </c>
      <c r="C783" s="66" t="s">
        <v>360</v>
      </c>
      <c r="D783" s="67">
        <v>5.0</v>
      </c>
      <c r="E783" s="66" t="s">
        <v>184</v>
      </c>
      <c r="F783" s="66" t="s">
        <v>880</v>
      </c>
      <c r="G783" s="65" t="str">
        <f t="shared" si="1"/>
        <v>MCC049UC0288</v>
      </c>
      <c r="H783" s="35"/>
      <c r="I783" s="25" t="s">
        <v>457</v>
      </c>
    </row>
    <row r="784" hidden="1">
      <c r="A784" s="64">
        <v>46087.0</v>
      </c>
      <c r="B784" s="66" t="s">
        <v>455</v>
      </c>
      <c r="C784" s="66" t="s">
        <v>245</v>
      </c>
      <c r="D784" s="67">
        <v>20.0</v>
      </c>
      <c r="E784" s="66" t="s">
        <v>184</v>
      </c>
      <c r="F784" s="66" t="s">
        <v>742</v>
      </c>
      <c r="G784" s="65" t="str">
        <f t="shared" si="1"/>
        <v>MCC015UC0008</v>
      </c>
      <c r="H784" s="35"/>
      <c r="I784" s="25" t="s">
        <v>457</v>
      </c>
    </row>
    <row r="785" hidden="1">
      <c r="A785" s="64">
        <v>46087.0</v>
      </c>
      <c r="B785" s="66" t="s">
        <v>270</v>
      </c>
      <c r="C785" s="66" t="s">
        <v>245</v>
      </c>
      <c r="D785" s="67">
        <v>10.0</v>
      </c>
      <c r="E785" s="66" t="s">
        <v>180</v>
      </c>
      <c r="F785" s="66" t="s">
        <v>624</v>
      </c>
      <c r="G785" s="65" t="str">
        <f t="shared" si="1"/>
        <v>MCC015UC0008</v>
      </c>
      <c r="H785" s="35"/>
      <c r="I785" s="25" t="s">
        <v>273</v>
      </c>
    </row>
    <row r="786" hidden="1">
      <c r="A786" s="64">
        <v>46090.0</v>
      </c>
      <c r="B786" s="66" t="s">
        <v>343</v>
      </c>
      <c r="C786" s="66" t="s">
        <v>363</v>
      </c>
      <c r="D786" s="67">
        <v>2.0</v>
      </c>
      <c r="E786" s="66" t="s">
        <v>180</v>
      </c>
      <c r="F786" s="66" t="s">
        <v>881</v>
      </c>
      <c r="G786" s="65" t="str">
        <f t="shared" si="1"/>
        <v>MCC015UC0033</v>
      </c>
      <c r="H786" s="35"/>
      <c r="I786" s="25" t="s">
        <v>345</v>
      </c>
    </row>
    <row r="787" hidden="1">
      <c r="A787" s="64">
        <v>46090.0</v>
      </c>
      <c r="B787" s="66" t="s">
        <v>305</v>
      </c>
      <c r="C787" s="66" t="s">
        <v>227</v>
      </c>
      <c r="D787" s="67">
        <v>4.0</v>
      </c>
      <c r="E787" s="66" t="s">
        <v>184</v>
      </c>
      <c r="F787" s="66" t="s">
        <v>486</v>
      </c>
      <c r="G787" s="65" t="str">
        <f t="shared" si="1"/>
        <v>MCC046UC0668</v>
      </c>
      <c r="H787" s="35"/>
      <c r="I787" s="25" t="s">
        <v>307</v>
      </c>
    </row>
    <row r="788">
      <c r="A788" s="64">
        <v>46090.0</v>
      </c>
      <c r="B788" s="66" t="s">
        <v>214</v>
      </c>
      <c r="C788" s="66" t="s">
        <v>224</v>
      </c>
      <c r="D788" s="67">
        <v>10.0</v>
      </c>
      <c r="E788" s="66" t="s">
        <v>184</v>
      </c>
      <c r="F788" s="66" t="s">
        <v>882</v>
      </c>
      <c r="G788" s="65" t="str">
        <f t="shared" si="1"/>
        <v>MCC015UC0045</v>
      </c>
      <c r="H788" s="35" t="str">
        <f>IF(A788&lt;&gt;"","Saída","")</f>
        <v>Saída</v>
      </c>
      <c r="I788" s="25" t="s">
        <v>217</v>
      </c>
    </row>
    <row r="789" hidden="1">
      <c r="A789" s="64">
        <v>46090.0</v>
      </c>
      <c r="B789" s="66" t="s">
        <v>305</v>
      </c>
      <c r="C789" s="66" t="s">
        <v>226</v>
      </c>
      <c r="D789" s="67">
        <v>8.0</v>
      </c>
      <c r="E789" s="66" t="s">
        <v>184</v>
      </c>
      <c r="F789" s="66" t="s">
        <v>486</v>
      </c>
      <c r="G789" s="65" t="str">
        <f t="shared" si="1"/>
        <v>MCC046UC0596</v>
      </c>
      <c r="H789" s="35"/>
      <c r="I789" s="25" t="s">
        <v>307</v>
      </c>
    </row>
    <row r="790" hidden="1">
      <c r="A790" s="64">
        <v>46090.0</v>
      </c>
      <c r="B790" s="66" t="s">
        <v>305</v>
      </c>
      <c r="C790" s="66" t="s">
        <v>398</v>
      </c>
      <c r="D790" s="67">
        <v>24.0</v>
      </c>
      <c r="E790" s="66" t="s">
        <v>184</v>
      </c>
      <c r="F790" s="66" t="s">
        <v>486</v>
      </c>
      <c r="G790" s="65" t="str">
        <f t="shared" si="1"/>
        <v>MCC046UC0360</v>
      </c>
      <c r="H790" s="35"/>
      <c r="I790" s="25" t="s">
        <v>307</v>
      </c>
    </row>
    <row r="791" hidden="1">
      <c r="A791" s="64">
        <v>46090.0</v>
      </c>
      <c r="B791" s="66" t="s">
        <v>214</v>
      </c>
      <c r="C791" s="66" t="s">
        <v>226</v>
      </c>
      <c r="D791" s="67">
        <v>10.0</v>
      </c>
      <c r="E791" s="66" t="s">
        <v>184</v>
      </c>
      <c r="F791" s="66" t="s">
        <v>883</v>
      </c>
      <c r="G791" s="65" t="str">
        <f t="shared" si="1"/>
        <v>MCC046UC0596</v>
      </c>
      <c r="H791" s="35"/>
      <c r="I791" s="25" t="s">
        <v>217</v>
      </c>
    </row>
    <row r="792" hidden="1">
      <c r="A792" s="64">
        <v>46090.0</v>
      </c>
      <c r="B792" s="66" t="s">
        <v>305</v>
      </c>
      <c r="C792" s="66" t="s">
        <v>228</v>
      </c>
      <c r="D792" s="67">
        <v>5.0</v>
      </c>
      <c r="E792" s="66" t="s">
        <v>184</v>
      </c>
      <c r="F792" s="66" t="s">
        <v>486</v>
      </c>
      <c r="G792" s="65" t="str">
        <f t="shared" si="1"/>
        <v>MCC046UC0598</v>
      </c>
      <c r="H792" s="35"/>
      <c r="I792" s="25" t="s">
        <v>307</v>
      </c>
    </row>
    <row r="793" hidden="1">
      <c r="A793" s="64">
        <v>46090.0</v>
      </c>
      <c r="B793" s="66" t="s">
        <v>235</v>
      </c>
      <c r="C793" s="66" t="s">
        <v>228</v>
      </c>
      <c r="D793" s="67">
        <v>4.0</v>
      </c>
      <c r="E793" s="66" t="s">
        <v>184</v>
      </c>
      <c r="F793" s="66" t="s">
        <v>884</v>
      </c>
      <c r="G793" s="65" t="str">
        <f t="shared" si="1"/>
        <v>MCC046UC0598</v>
      </c>
      <c r="H793" s="35"/>
      <c r="I793" s="25" t="s">
        <v>238</v>
      </c>
    </row>
    <row r="794">
      <c r="A794" s="64">
        <v>46091.0</v>
      </c>
      <c r="B794" s="66" t="s">
        <v>235</v>
      </c>
      <c r="C794" s="66" t="s">
        <v>224</v>
      </c>
      <c r="D794" s="67">
        <v>6.0</v>
      </c>
      <c r="E794" s="66" t="s">
        <v>184</v>
      </c>
      <c r="F794" s="66" t="s">
        <v>237</v>
      </c>
      <c r="G794" s="65" t="str">
        <f t="shared" si="1"/>
        <v>MCC015UC0045</v>
      </c>
      <c r="H794" s="35" t="str">
        <f t="shared" ref="H794:H796" si="3">IF(A794&lt;&gt;"","Saída","")</f>
        <v>Saída</v>
      </c>
      <c r="I794" s="25" t="s">
        <v>238</v>
      </c>
    </row>
    <row r="795">
      <c r="A795" s="64">
        <v>46091.0</v>
      </c>
      <c r="B795" s="66" t="s">
        <v>366</v>
      </c>
      <c r="C795" s="66" t="s">
        <v>224</v>
      </c>
      <c r="D795" s="67">
        <v>8.0</v>
      </c>
      <c r="E795" s="66" t="s">
        <v>181</v>
      </c>
      <c r="F795" s="66" t="s">
        <v>704</v>
      </c>
      <c r="G795" s="65" t="str">
        <f t="shared" si="1"/>
        <v>MCC015UC0045</v>
      </c>
      <c r="H795" s="35" t="str">
        <f t="shared" si="3"/>
        <v>Saída</v>
      </c>
      <c r="I795" s="25" t="s">
        <v>368</v>
      </c>
    </row>
    <row r="796">
      <c r="A796" s="64">
        <v>46092.0</v>
      </c>
      <c r="B796" s="66" t="s">
        <v>235</v>
      </c>
      <c r="C796" s="66" t="s">
        <v>224</v>
      </c>
      <c r="D796" s="67">
        <v>18.0</v>
      </c>
      <c r="E796" s="66" t="s">
        <v>184</v>
      </c>
      <c r="F796" s="66" t="s">
        <v>884</v>
      </c>
      <c r="G796" s="65" t="str">
        <f t="shared" si="1"/>
        <v>MCC015UC0045</v>
      </c>
      <c r="H796" s="35" t="str">
        <f t="shared" si="3"/>
        <v>Saída</v>
      </c>
      <c r="I796" s="25" t="s">
        <v>238</v>
      </c>
    </row>
    <row r="797" hidden="1">
      <c r="A797" s="64">
        <v>46092.0</v>
      </c>
      <c r="B797" s="66" t="s">
        <v>322</v>
      </c>
      <c r="C797" s="66" t="s">
        <v>311</v>
      </c>
      <c r="D797" s="67">
        <v>4.0</v>
      </c>
      <c r="E797" s="66" t="s">
        <v>183</v>
      </c>
      <c r="F797" s="66" t="s">
        <v>885</v>
      </c>
      <c r="G797" s="65" t="str">
        <f t="shared" si="1"/>
        <v>MCC046UC0638</v>
      </c>
      <c r="H797" s="35"/>
      <c r="I797" s="25" t="s">
        <v>324</v>
      </c>
    </row>
    <row r="798" hidden="1">
      <c r="A798" s="64">
        <v>46092.0</v>
      </c>
      <c r="B798" s="66" t="s">
        <v>366</v>
      </c>
      <c r="C798" s="66" t="s">
        <v>245</v>
      </c>
      <c r="D798" s="67">
        <v>8.0</v>
      </c>
      <c r="E798" s="66" t="s">
        <v>181</v>
      </c>
      <c r="F798" s="66" t="s">
        <v>886</v>
      </c>
      <c r="G798" s="65" t="str">
        <f t="shared" si="1"/>
        <v>MCC015UC0008</v>
      </c>
      <c r="H798" s="35"/>
      <c r="I798" s="25" t="s">
        <v>368</v>
      </c>
    </row>
    <row r="799" hidden="1">
      <c r="A799" s="64">
        <v>46092.0</v>
      </c>
      <c r="B799" s="66" t="s">
        <v>258</v>
      </c>
      <c r="C799" s="66" t="s">
        <v>236</v>
      </c>
      <c r="D799" s="67">
        <v>5.0</v>
      </c>
      <c r="E799" s="66" t="s">
        <v>184</v>
      </c>
      <c r="F799" s="66" t="s">
        <v>887</v>
      </c>
      <c r="G799" s="65" t="str">
        <f t="shared" si="1"/>
        <v>MCC046UC0659</v>
      </c>
      <c r="H799" s="35"/>
      <c r="I799" s="25" t="s">
        <v>260</v>
      </c>
    </row>
    <row r="800" hidden="1">
      <c r="A800" s="64">
        <v>46092.0</v>
      </c>
      <c r="B800" s="66" t="s">
        <v>258</v>
      </c>
      <c r="C800" s="66" t="s">
        <v>374</v>
      </c>
      <c r="D800" s="67">
        <v>5.0</v>
      </c>
      <c r="E800" s="66" t="s">
        <v>184</v>
      </c>
      <c r="F800" s="66" t="s">
        <v>887</v>
      </c>
      <c r="G800" s="65" t="str">
        <f t="shared" si="1"/>
        <v>MCC046UC0660</v>
      </c>
      <c r="H800" s="35"/>
      <c r="I800" s="25" t="s">
        <v>260</v>
      </c>
    </row>
    <row r="801" hidden="1">
      <c r="A801" s="64">
        <v>46092.0</v>
      </c>
      <c r="B801" s="66" t="s">
        <v>305</v>
      </c>
      <c r="C801" s="66" t="s">
        <v>226</v>
      </c>
      <c r="D801" s="67">
        <v>10.0</v>
      </c>
      <c r="E801" s="66" t="s">
        <v>184</v>
      </c>
      <c r="F801" s="66" t="s">
        <v>486</v>
      </c>
      <c r="G801" s="65" t="str">
        <f t="shared" si="1"/>
        <v>MCC046UC0596</v>
      </c>
      <c r="H801" s="35"/>
      <c r="I801" s="25" t="s">
        <v>307</v>
      </c>
    </row>
    <row r="802" hidden="1">
      <c r="A802" s="64">
        <v>46092.0</v>
      </c>
      <c r="B802" s="66" t="s">
        <v>239</v>
      </c>
      <c r="C802" s="66" t="s">
        <v>215</v>
      </c>
      <c r="D802" s="67">
        <v>1.0</v>
      </c>
      <c r="E802" s="66" t="s">
        <v>184</v>
      </c>
      <c r="F802" s="66" t="s">
        <v>888</v>
      </c>
      <c r="G802" s="65" t="str">
        <f t="shared" si="1"/>
        <v>MCC046UC0082</v>
      </c>
      <c r="H802" s="35"/>
      <c r="I802" s="25" t="s">
        <v>241</v>
      </c>
    </row>
    <row r="803" hidden="1">
      <c r="A803" s="64">
        <v>46092.0</v>
      </c>
      <c r="B803" s="66" t="s">
        <v>239</v>
      </c>
      <c r="C803" s="66" t="s">
        <v>261</v>
      </c>
      <c r="D803" s="67">
        <v>1.0</v>
      </c>
      <c r="E803" s="66" t="s">
        <v>184</v>
      </c>
      <c r="F803" s="66" t="s">
        <v>889</v>
      </c>
      <c r="G803" s="65" t="str">
        <f t="shared" si="1"/>
        <v>EMC015MO0001</v>
      </c>
      <c r="H803" s="35"/>
      <c r="I803" s="25" t="s">
        <v>241</v>
      </c>
    </row>
    <row r="804" hidden="1">
      <c r="A804" s="64">
        <v>46092.0</v>
      </c>
      <c r="B804" s="66" t="s">
        <v>239</v>
      </c>
      <c r="C804" s="66" t="s">
        <v>242</v>
      </c>
      <c r="D804" s="67">
        <v>1.0</v>
      </c>
      <c r="E804" s="66" t="s">
        <v>184</v>
      </c>
      <c r="F804" s="66" t="s">
        <v>890</v>
      </c>
      <c r="G804" s="65" t="str">
        <f t="shared" si="1"/>
        <v>MCC046UC0687</v>
      </c>
      <c r="H804" s="35"/>
      <c r="I804" s="25" t="s">
        <v>241</v>
      </c>
    </row>
    <row r="805" hidden="1">
      <c r="A805" s="64">
        <v>46093.0</v>
      </c>
      <c r="B805" s="66" t="s">
        <v>244</v>
      </c>
      <c r="C805" s="66" t="s">
        <v>271</v>
      </c>
      <c r="D805" s="67">
        <v>1.0</v>
      </c>
      <c r="E805" s="66" t="s">
        <v>183</v>
      </c>
      <c r="F805" s="66" t="s">
        <v>891</v>
      </c>
      <c r="G805" s="65" t="str">
        <f t="shared" si="1"/>
        <v>MCC046UC0216</v>
      </c>
      <c r="H805" s="35"/>
      <c r="I805" s="25" t="s">
        <v>247</v>
      </c>
    </row>
    <row r="806" hidden="1">
      <c r="A806" s="64">
        <v>46093.0</v>
      </c>
      <c r="B806" s="66" t="s">
        <v>258</v>
      </c>
      <c r="C806" s="66" t="s">
        <v>261</v>
      </c>
      <c r="D806" s="67">
        <v>24.0</v>
      </c>
      <c r="E806" s="66" t="s">
        <v>184</v>
      </c>
      <c r="F806" s="66" t="s">
        <v>407</v>
      </c>
      <c r="G806" s="65" t="str">
        <f t="shared" si="1"/>
        <v>EMC015MO0001</v>
      </c>
      <c r="H806" s="35"/>
      <c r="I806" s="25" t="s">
        <v>260</v>
      </c>
    </row>
    <row r="807" hidden="1">
      <c r="A807" s="64">
        <v>46093.0</v>
      </c>
      <c r="B807" s="66" t="s">
        <v>258</v>
      </c>
      <c r="C807" s="66" t="s">
        <v>261</v>
      </c>
      <c r="D807" s="67">
        <v>14.0</v>
      </c>
      <c r="E807" s="66" t="s">
        <v>184</v>
      </c>
      <c r="F807" s="66" t="s">
        <v>407</v>
      </c>
      <c r="G807" s="65" t="str">
        <f t="shared" si="1"/>
        <v>EMC015MO0001</v>
      </c>
      <c r="H807" s="35"/>
      <c r="I807" s="25" t="s">
        <v>260</v>
      </c>
    </row>
    <row r="808" hidden="1">
      <c r="A808" s="64">
        <v>46093.0</v>
      </c>
      <c r="B808" s="66" t="s">
        <v>305</v>
      </c>
      <c r="C808" s="66" t="s">
        <v>398</v>
      </c>
      <c r="D808" s="67">
        <v>24.0</v>
      </c>
      <c r="E808" s="66" t="s">
        <v>184</v>
      </c>
      <c r="F808" s="66" t="s">
        <v>892</v>
      </c>
      <c r="G808" s="65" t="str">
        <f t="shared" si="1"/>
        <v>MCC046UC0360</v>
      </c>
      <c r="H808" s="35"/>
      <c r="I808" s="25" t="s">
        <v>307</v>
      </c>
    </row>
    <row r="809">
      <c r="A809" s="64">
        <v>46093.0</v>
      </c>
      <c r="B809" s="66" t="s">
        <v>235</v>
      </c>
      <c r="C809" s="66" t="s">
        <v>224</v>
      </c>
      <c r="D809" s="67">
        <v>24.0</v>
      </c>
      <c r="E809" s="66" t="s">
        <v>184</v>
      </c>
      <c r="F809" s="66" t="s">
        <v>893</v>
      </c>
      <c r="G809" s="65" t="str">
        <f t="shared" si="1"/>
        <v>MCC015UC0045</v>
      </c>
      <c r="H809" s="35" t="str">
        <f>IF(A809&lt;&gt;"","Saída","")</f>
        <v>Saída</v>
      </c>
      <c r="I809" s="25" t="s">
        <v>238</v>
      </c>
    </row>
    <row r="810" hidden="1">
      <c r="A810" s="64">
        <v>46093.0</v>
      </c>
      <c r="B810" s="66" t="s">
        <v>232</v>
      </c>
      <c r="C810" s="66" t="s">
        <v>291</v>
      </c>
      <c r="D810" s="67">
        <v>30.0</v>
      </c>
      <c r="E810" s="66" t="s">
        <v>182</v>
      </c>
      <c r="F810" s="66" t="s">
        <v>894</v>
      </c>
      <c r="G810" s="65" t="str">
        <f t="shared" si="1"/>
        <v>MCC046UC0695</v>
      </c>
      <c r="H810" s="35"/>
      <c r="I810" s="25" t="s">
        <v>234</v>
      </c>
    </row>
    <row r="811" hidden="1">
      <c r="A811" s="64">
        <v>46094.0</v>
      </c>
      <c r="B811" s="66" t="s">
        <v>200</v>
      </c>
      <c r="C811" s="66" t="s">
        <v>226</v>
      </c>
      <c r="D811" s="67">
        <v>10.0</v>
      </c>
      <c r="E811" s="66" t="s">
        <v>184</v>
      </c>
      <c r="F811" s="66" t="s">
        <v>895</v>
      </c>
      <c r="G811" s="65" t="str">
        <f t="shared" si="1"/>
        <v>MCC046UC0596</v>
      </c>
      <c r="H811" s="35"/>
      <c r="I811" s="25" t="s">
        <v>257</v>
      </c>
    </row>
    <row r="812" hidden="1">
      <c r="A812" s="64">
        <v>46094.0</v>
      </c>
      <c r="B812" s="66" t="s">
        <v>235</v>
      </c>
      <c r="C812" s="66" t="s">
        <v>314</v>
      </c>
      <c r="D812" s="67">
        <v>8.0</v>
      </c>
      <c r="E812" s="66" t="s">
        <v>184</v>
      </c>
      <c r="F812" s="66" t="s">
        <v>896</v>
      </c>
      <c r="G812" s="65" t="str">
        <f t="shared" si="1"/>
        <v>MCC015UC0047</v>
      </c>
      <c r="H812" s="35"/>
      <c r="I812" s="25" t="s">
        <v>238</v>
      </c>
    </row>
    <row r="813" hidden="1">
      <c r="A813" s="64">
        <v>46094.0</v>
      </c>
      <c r="B813" s="66" t="s">
        <v>455</v>
      </c>
      <c r="C813" s="66" t="s">
        <v>226</v>
      </c>
      <c r="D813" s="67">
        <v>8.0</v>
      </c>
      <c r="E813" s="66" t="s">
        <v>184</v>
      </c>
      <c r="F813" s="66" t="s">
        <v>685</v>
      </c>
      <c r="G813" s="65" t="str">
        <f t="shared" si="1"/>
        <v>MCC046UC0596</v>
      </c>
      <c r="H813" s="35"/>
      <c r="I813" s="25" t="s">
        <v>457</v>
      </c>
    </row>
    <row r="814">
      <c r="A814" s="64">
        <v>46094.0</v>
      </c>
      <c r="B814" s="66" t="s">
        <v>270</v>
      </c>
      <c r="C814" s="66" t="s">
        <v>224</v>
      </c>
      <c r="D814" s="67">
        <v>4.0</v>
      </c>
      <c r="E814" s="66" t="s">
        <v>180</v>
      </c>
      <c r="F814" s="66" t="s">
        <v>897</v>
      </c>
      <c r="G814" s="65" t="str">
        <f t="shared" si="1"/>
        <v>MCC015UC0045</v>
      </c>
      <c r="H814" s="35" t="str">
        <f t="shared" ref="H814:H815" si="4">IF(A814&lt;&gt;"","Saída","")</f>
        <v>Saída</v>
      </c>
      <c r="I814" s="25" t="s">
        <v>273</v>
      </c>
    </row>
    <row r="815">
      <c r="A815" s="64">
        <v>46094.0</v>
      </c>
      <c r="B815" s="66" t="s">
        <v>455</v>
      </c>
      <c r="C815" s="66" t="s">
        <v>224</v>
      </c>
      <c r="D815" s="67">
        <v>24.0</v>
      </c>
      <c r="E815" s="66" t="s">
        <v>184</v>
      </c>
      <c r="F815" s="66" t="s">
        <v>301</v>
      </c>
      <c r="G815" s="65" t="str">
        <f t="shared" si="1"/>
        <v>MCC015UC0045</v>
      </c>
      <c r="H815" s="35" t="str">
        <f t="shared" si="4"/>
        <v>Saída</v>
      </c>
      <c r="I815" s="25" t="s">
        <v>457</v>
      </c>
    </row>
    <row r="816" hidden="1">
      <c r="A816" s="64">
        <v>46097.0</v>
      </c>
      <c r="B816" s="66" t="s">
        <v>575</v>
      </c>
      <c r="C816" s="66" t="s">
        <v>298</v>
      </c>
      <c r="D816" s="67">
        <v>1.0</v>
      </c>
      <c r="E816" s="66" t="s">
        <v>183</v>
      </c>
      <c r="F816" s="66" t="s">
        <v>898</v>
      </c>
      <c r="G816" s="65" t="str">
        <f t="shared" si="1"/>
        <v>MCC046UC0639</v>
      </c>
      <c r="H816" s="35"/>
      <c r="I816" s="25" t="s">
        <v>577</v>
      </c>
    </row>
    <row r="817" hidden="1">
      <c r="A817" s="64">
        <v>46097.0</v>
      </c>
      <c r="B817" s="66" t="s">
        <v>455</v>
      </c>
      <c r="C817" s="66" t="s">
        <v>360</v>
      </c>
      <c r="D817" s="67">
        <v>4.0</v>
      </c>
      <c r="E817" s="66" t="s">
        <v>184</v>
      </c>
      <c r="F817" s="66" t="s">
        <v>727</v>
      </c>
      <c r="G817" s="65" t="str">
        <f t="shared" si="1"/>
        <v>MCC049UC0288</v>
      </c>
      <c r="H817" s="35"/>
      <c r="I817" s="25" t="s">
        <v>457</v>
      </c>
    </row>
    <row r="818">
      <c r="A818" s="64">
        <v>46097.0</v>
      </c>
      <c r="B818" s="66" t="s">
        <v>235</v>
      </c>
      <c r="C818" s="66" t="s">
        <v>224</v>
      </c>
      <c r="D818" s="67">
        <v>24.0</v>
      </c>
      <c r="E818" s="66" t="s">
        <v>184</v>
      </c>
      <c r="F818" s="66" t="s">
        <v>899</v>
      </c>
      <c r="G818" s="65" t="str">
        <f t="shared" si="1"/>
        <v>MCC015UC0045</v>
      </c>
      <c r="H818" s="35" t="str">
        <f t="shared" ref="H818:H849" si="5">IF(A818&lt;&gt;"","Saída","")</f>
        <v>Saída</v>
      </c>
      <c r="I818" s="25" t="s">
        <v>238</v>
      </c>
    </row>
    <row r="819">
      <c r="A819" s="64">
        <v>46098.0</v>
      </c>
      <c r="B819" s="66" t="s">
        <v>900</v>
      </c>
      <c r="C819" s="66" t="s">
        <v>242</v>
      </c>
      <c r="D819" s="67">
        <v>10.0</v>
      </c>
      <c r="E819" s="66" t="s">
        <v>184</v>
      </c>
      <c r="F819" s="66" t="s">
        <v>901</v>
      </c>
      <c r="G819" s="65" t="str">
        <f t="shared" si="1"/>
        <v>MCC046UC0687</v>
      </c>
      <c r="H819" s="35" t="str">
        <f t="shared" si="5"/>
        <v>Saída</v>
      </c>
      <c r="I819" s="25" t="s">
        <v>902</v>
      </c>
    </row>
    <row r="820">
      <c r="A820" s="64">
        <v>46098.0</v>
      </c>
      <c r="B820" s="66" t="s">
        <v>214</v>
      </c>
      <c r="C820" s="66" t="s">
        <v>498</v>
      </c>
      <c r="D820" s="67">
        <v>20.0</v>
      </c>
      <c r="E820" s="66" t="s">
        <v>184</v>
      </c>
      <c r="F820" s="66" t="s">
        <v>903</v>
      </c>
      <c r="G820" s="65" t="str">
        <f t="shared" si="1"/>
        <v>MCC049UC0607</v>
      </c>
      <c r="H820" s="35" t="str">
        <f t="shared" si="5"/>
        <v>Saída</v>
      </c>
      <c r="I820" s="25" t="s">
        <v>217</v>
      </c>
    </row>
    <row r="821">
      <c r="A821" s="64">
        <v>46098.0</v>
      </c>
      <c r="B821" s="66" t="s">
        <v>214</v>
      </c>
      <c r="C821" s="66" t="s">
        <v>242</v>
      </c>
      <c r="D821" s="67">
        <v>24.0</v>
      </c>
      <c r="E821" s="66" t="s">
        <v>184</v>
      </c>
      <c r="F821" s="66" t="s">
        <v>903</v>
      </c>
      <c r="G821" s="65" t="str">
        <f t="shared" si="1"/>
        <v>MCC046UC0687</v>
      </c>
      <c r="H821" s="35" t="str">
        <f t="shared" si="5"/>
        <v>Saída</v>
      </c>
      <c r="I821" s="25" t="s">
        <v>217</v>
      </c>
    </row>
    <row r="822">
      <c r="A822" s="64">
        <v>46098.0</v>
      </c>
      <c r="B822" s="66" t="s">
        <v>214</v>
      </c>
      <c r="C822" s="66" t="s">
        <v>224</v>
      </c>
      <c r="D822" s="67">
        <v>10.0</v>
      </c>
      <c r="E822" s="66" t="s">
        <v>184</v>
      </c>
      <c r="F822" s="66" t="s">
        <v>903</v>
      </c>
      <c r="G822" s="65" t="str">
        <f t="shared" si="1"/>
        <v>MCC015UC0045</v>
      </c>
      <c r="H822" s="35" t="str">
        <f t="shared" si="5"/>
        <v>Saída</v>
      </c>
      <c r="I822" s="25" t="s">
        <v>217</v>
      </c>
    </row>
    <row r="823">
      <c r="A823" s="64">
        <v>46098.0</v>
      </c>
      <c r="B823" s="66" t="s">
        <v>214</v>
      </c>
      <c r="C823" s="66" t="s">
        <v>224</v>
      </c>
      <c r="D823" s="67">
        <v>20.0</v>
      </c>
      <c r="E823" s="66" t="s">
        <v>184</v>
      </c>
      <c r="F823" s="66" t="s">
        <v>903</v>
      </c>
      <c r="G823" s="65" t="str">
        <f t="shared" si="1"/>
        <v>MCC015UC0045</v>
      </c>
      <c r="H823" s="35" t="str">
        <f t="shared" si="5"/>
        <v>Saída</v>
      </c>
      <c r="I823" s="25" t="s">
        <v>217</v>
      </c>
    </row>
    <row r="824">
      <c r="A824" s="64">
        <v>46098.0</v>
      </c>
      <c r="B824" s="66" t="s">
        <v>366</v>
      </c>
      <c r="C824" s="66" t="s">
        <v>263</v>
      </c>
      <c r="D824" s="67">
        <v>1.0</v>
      </c>
      <c r="E824" s="66" t="s">
        <v>181</v>
      </c>
      <c r="F824" s="66" t="s">
        <v>904</v>
      </c>
      <c r="G824" s="65" t="str">
        <f t="shared" si="1"/>
        <v>MCC015UC0038</v>
      </c>
      <c r="H824" s="35" t="str">
        <f t="shared" si="5"/>
        <v>Saída</v>
      </c>
      <c r="I824" s="25" t="s">
        <v>368</v>
      </c>
    </row>
    <row r="825">
      <c r="A825" s="64">
        <v>46099.0</v>
      </c>
      <c r="B825" s="66" t="s">
        <v>210</v>
      </c>
      <c r="C825" s="66" t="s">
        <v>271</v>
      </c>
      <c r="D825" s="67">
        <v>2.0</v>
      </c>
      <c r="E825" s="66" t="s">
        <v>183</v>
      </c>
      <c r="F825" s="66" t="s">
        <v>905</v>
      </c>
      <c r="G825" s="65" t="str">
        <f t="shared" si="1"/>
        <v>MCC046UC0216</v>
      </c>
      <c r="H825" s="35" t="str">
        <f t="shared" si="5"/>
        <v>Saída</v>
      </c>
      <c r="I825" s="25" t="s">
        <v>213</v>
      </c>
    </row>
    <row r="826">
      <c r="A826" s="64">
        <v>46099.0</v>
      </c>
      <c r="B826" s="66" t="s">
        <v>232</v>
      </c>
      <c r="C826" s="66" t="s">
        <v>261</v>
      </c>
      <c r="D826" s="67">
        <v>4.0</v>
      </c>
      <c r="E826" s="66" t="s">
        <v>182</v>
      </c>
      <c r="F826" s="66" t="s">
        <v>906</v>
      </c>
      <c r="G826" s="65" t="str">
        <f t="shared" si="1"/>
        <v>EMC015MO0001</v>
      </c>
      <c r="H826" s="35" t="str">
        <f t="shared" si="5"/>
        <v>Saída</v>
      </c>
      <c r="I826" s="25" t="s">
        <v>234</v>
      </c>
    </row>
    <row r="827">
      <c r="A827" s="64">
        <v>46099.0</v>
      </c>
      <c r="B827" s="66" t="s">
        <v>232</v>
      </c>
      <c r="C827" s="66" t="s">
        <v>291</v>
      </c>
      <c r="D827" s="67">
        <v>30.0</v>
      </c>
      <c r="E827" s="66" t="s">
        <v>182</v>
      </c>
      <c r="F827" s="66" t="s">
        <v>907</v>
      </c>
      <c r="G827" s="65" t="str">
        <f t="shared" si="1"/>
        <v>MCC046UC0695</v>
      </c>
      <c r="H827" s="35" t="str">
        <f t="shared" si="5"/>
        <v>Saída</v>
      </c>
      <c r="I827" s="25" t="s">
        <v>234</v>
      </c>
    </row>
    <row r="828">
      <c r="A828" s="64">
        <v>46099.0</v>
      </c>
      <c r="B828" s="66" t="s">
        <v>343</v>
      </c>
      <c r="C828" s="66" t="s">
        <v>245</v>
      </c>
      <c r="D828" s="67">
        <v>17.0</v>
      </c>
      <c r="E828" s="66" t="s">
        <v>180</v>
      </c>
      <c r="F828" s="66" t="s">
        <v>844</v>
      </c>
      <c r="G828" s="65" t="str">
        <f t="shared" si="1"/>
        <v>MCC015UC0008</v>
      </c>
      <c r="H828" s="35" t="str">
        <f t="shared" si="5"/>
        <v>Saída</v>
      </c>
      <c r="I828" s="25" t="s">
        <v>345</v>
      </c>
    </row>
    <row r="829">
      <c r="A829" s="64">
        <v>46100.0</v>
      </c>
      <c r="B829" s="66" t="s">
        <v>455</v>
      </c>
      <c r="C829" s="66" t="s">
        <v>224</v>
      </c>
      <c r="D829" s="67">
        <v>30.0</v>
      </c>
      <c r="E829" s="66" t="s">
        <v>184</v>
      </c>
      <c r="F829" s="66" t="s">
        <v>908</v>
      </c>
      <c r="G829" s="65" t="str">
        <f t="shared" si="1"/>
        <v>MCC015UC0045</v>
      </c>
      <c r="H829" s="35" t="str">
        <f t="shared" si="5"/>
        <v>Saída</v>
      </c>
      <c r="I829" s="25" t="s">
        <v>457</v>
      </c>
    </row>
    <row r="830">
      <c r="A830" s="64">
        <v>46100.0</v>
      </c>
      <c r="B830" s="66" t="s">
        <v>232</v>
      </c>
      <c r="C830" s="66" t="s">
        <v>230</v>
      </c>
      <c r="D830" s="67">
        <v>2.0</v>
      </c>
      <c r="E830" s="66" t="s">
        <v>182</v>
      </c>
      <c r="F830" s="66" t="s">
        <v>783</v>
      </c>
      <c r="G830" s="65" t="str">
        <f t="shared" si="1"/>
        <v>MCC046UC0658</v>
      </c>
      <c r="H830" s="35" t="str">
        <f t="shared" si="5"/>
        <v>Saída</v>
      </c>
      <c r="I830" s="25" t="s">
        <v>234</v>
      </c>
    </row>
    <row r="831">
      <c r="A831" s="64">
        <v>46100.0</v>
      </c>
      <c r="B831" s="66" t="s">
        <v>232</v>
      </c>
      <c r="C831" s="66" t="s">
        <v>398</v>
      </c>
      <c r="D831" s="67">
        <v>1.0</v>
      </c>
      <c r="E831" s="66" t="s">
        <v>182</v>
      </c>
      <c r="F831" s="66" t="s">
        <v>909</v>
      </c>
      <c r="G831" s="65" t="str">
        <f t="shared" si="1"/>
        <v>MCC046UC0360</v>
      </c>
      <c r="H831" s="35" t="str">
        <f t="shared" si="5"/>
        <v>Saída</v>
      </c>
      <c r="I831" s="25" t="s">
        <v>234</v>
      </c>
    </row>
    <row r="832">
      <c r="A832" s="64">
        <v>46101.0</v>
      </c>
      <c r="B832" s="66" t="s">
        <v>297</v>
      </c>
      <c r="C832" s="66" t="s">
        <v>245</v>
      </c>
      <c r="D832" s="67">
        <v>6.0</v>
      </c>
      <c r="E832" s="66" t="s">
        <v>180</v>
      </c>
      <c r="F832" s="66" t="s">
        <v>910</v>
      </c>
      <c r="G832" s="65" t="str">
        <f t="shared" si="1"/>
        <v>MCC015UC0008</v>
      </c>
      <c r="H832" s="35" t="str">
        <f t="shared" si="5"/>
        <v>Saída</v>
      </c>
      <c r="I832" s="25" t="s">
        <v>300</v>
      </c>
    </row>
    <row r="833">
      <c r="A833" s="64">
        <v>46101.0</v>
      </c>
      <c r="B833" s="66" t="s">
        <v>900</v>
      </c>
      <c r="C833" s="66" t="s">
        <v>507</v>
      </c>
      <c r="D833" s="67">
        <v>2.0</v>
      </c>
      <c r="E833" s="66" t="s">
        <v>184</v>
      </c>
      <c r="F833" s="66" t="s">
        <v>911</v>
      </c>
      <c r="G833" s="65" t="str">
        <f t="shared" si="1"/>
        <v>MCC046UC0540</v>
      </c>
      <c r="H833" s="35" t="str">
        <f t="shared" si="5"/>
        <v>Saída</v>
      </c>
      <c r="I833" s="25" t="s">
        <v>902</v>
      </c>
    </row>
    <row r="834">
      <c r="A834" s="64">
        <v>46101.0</v>
      </c>
      <c r="B834" s="66" t="s">
        <v>297</v>
      </c>
      <c r="C834" s="66" t="s">
        <v>245</v>
      </c>
      <c r="D834" s="67">
        <v>4.0</v>
      </c>
      <c r="E834" s="66" t="s">
        <v>180</v>
      </c>
      <c r="F834" s="66" t="s">
        <v>720</v>
      </c>
      <c r="G834" s="65" t="str">
        <f t="shared" si="1"/>
        <v>MCC015UC0008</v>
      </c>
      <c r="H834" s="35" t="str">
        <f t="shared" si="5"/>
        <v>Saída</v>
      </c>
      <c r="I834" s="25" t="s">
        <v>300</v>
      </c>
    </row>
    <row r="835">
      <c r="A835" s="64">
        <v>46101.0</v>
      </c>
      <c r="B835" s="66" t="s">
        <v>455</v>
      </c>
      <c r="C835" s="66" t="s">
        <v>224</v>
      </c>
      <c r="D835" s="67">
        <v>30.0</v>
      </c>
      <c r="E835" s="66" t="s">
        <v>184</v>
      </c>
      <c r="F835" s="66" t="s">
        <v>908</v>
      </c>
      <c r="G835" s="65" t="str">
        <f t="shared" si="1"/>
        <v>MCC015UC0045</v>
      </c>
      <c r="H835" s="35" t="str">
        <f t="shared" si="5"/>
        <v>Saída</v>
      </c>
      <c r="I835" s="25" t="s">
        <v>457</v>
      </c>
    </row>
    <row r="836">
      <c r="A836" s="64">
        <v>46101.0</v>
      </c>
      <c r="B836" s="66" t="s">
        <v>900</v>
      </c>
      <c r="C836" s="66" t="s">
        <v>242</v>
      </c>
      <c r="D836" s="67">
        <v>10.0</v>
      </c>
      <c r="E836" s="66" t="s">
        <v>184</v>
      </c>
      <c r="F836" s="66" t="s">
        <v>901</v>
      </c>
      <c r="G836" s="65" t="str">
        <f t="shared" si="1"/>
        <v>MCC046UC0687</v>
      </c>
      <c r="H836" s="35" t="str">
        <f t="shared" si="5"/>
        <v>Saída</v>
      </c>
      <c r="I836" s="25" t="s">
        <v>902</v>
      </c>
    </row>
    <row r="837">
      <c r="A837" s="64">
        <v>46101.0</v>
      </c>
      <c r="B837" s="66" t="s">
        <v>232</v>
      </c>
      <c r="C837" s="66" t="s">
        <v>215</v>
      </c>
      <c r="D837" s="67">
        <v>10.0</v>
      </c>
      <c r="E837" s="66" t="s">
        <v>182</v>
      </c>
      <c r="F837" s="66" t="s">
        <v>906</v>
      </c>
      <c r="G837" s="65" t="str">
        <f t="shared" si="1"/>
        <v>MCC046UC0082</v>
      </c>
      <c r="H837" s="35" t="str">
        <f t="shared" si="5"/>
        <v>Saída</v>
      </c>
      <c r="I837" s="25" t="s">
        <v>234</v>
      </c>
    </row>
    <row r="838">
      <c r="A838" s="64">
        <v>46104.0</v>
      </c>
      <c r="B838" s="66" t="s">
        <v>900</v>
      </c>
      <c r="C838" s="66" t="s">
        <v>498</v>
      </c>
      <c r="D838" s="67">
        <v>1.0</v>
      </c>
      <c r="E838" s="66" t="s">
        <v>184</v>
      </c>
      <c r="F838" s="66" t="s">
        <v>901</v>
      </c>
      <c r="G838" s="65" t="str">
        <f t="shared" si="1"/>
        <v>MCC049UC0607</v>
      </c>
      <c r="H838" s="35" t="str">
        <f t="shared" si="5"/>
        <v>Saída</v>
      </c>
      <c r="I838" s="25" t="s">
        <v>902</v>
      </c>
    </row>
    <row r="839">
      <c r="A839" s="64">
        <v>46104.0</v>
      </c>
      <c r="B839" s="66" t="s">
        <v>235</v>
      </c>
      <c r="C839" s="66" t="s">
        <v>253</v>
      </c>
      <c r="D839" s="67">
        <v>6.0</v>
      </c>
      <c r="E839" s="66" t="s">
        <v>184</v>
      </c>
      <c r="F839" s="66" t="s">
        <v>896</v>
      </c>
      <c r="G839" s="65" t="str">
        <f t="shared" si="1"/>
        <v>MCC046UC0599</v>
      </c>
      <c r="H839" s="35" t="str">
        <f t="shared" si="5"/>
        <v>Saída</v>
      </c>
      <c r="I839" s="25" t="s">
        <v>238</v>
      </c>
    </row>
    <row r="840">
      <c r="A840" s="64">
        <v>46104.0</v>
      </c>
      <c r="B840" s="66" t="s">
        <v>900</v>
      </c>
      <c r="C840" s="66" t="s">
        <v>498</v>
      </c>
      <c r="D840" s="67">
        <v>9.0</v>
      </c>
      <c r="E840" s="66" t="s">
        <v>184</v>
      </c>
      <c r="F840" s="66" t="s">
        <v>901</v>
      </c>
      <c r="G840" s="65" t="str">
        <f t="shared" si="1"/>
        <v>MCC049UC0607</v>
      </c>
      <c r="H840" s="35" t="str">
        <f t="shared" si="5"/>
        <v>Saída</v>
      </c>
      <c r="I840" s="25" t="s">
        <v>902</v>
      </c>
    </row>
    <row r="841">
      <c r="A841" s="64">
        <v>46104.0</v>
      </c>
      <c r="B841" s="66" t="s">
        <v>455</v>
      </c>
      <c r="C841" s="66" t="s">
        <v>224</v>
      </c>
      <c r="D841" s="67">
        <v>30.0</v>
      </c>
      <c r="E841" s="66" t="s">
        <v>184</v>
      </c>
      <c r="F841" s="66" t="s">
        <v>735</v>
      </c>
      <c r="G841" s="65" t="str">
        <f t="shared" si="1"/>
        <v>MCC015UC0045</v>
      </c>
      <c r="H841" s="35" t="str">
        <f t="shared" si="5"/>
        <v>Saída</v>
      </c>
      <c r="I841" s="25" t="s">
        <v>457</v>
      </c>
    </row>
    <row r="842">
      <c r="A842" s="64">
        <v>46104.0</v>
      </c>
      <c r="B842" s="66" t="s">
        <v>455</v>
      </c>
      <c r="C842" s="66" t="s">
        <v>218</v>
      </c>
      <c r="D842" s="67">
        <v>1.0</v>
      </c>
      <c r="E842" s="66" t="s">
        <v>184</v>
      </c>
      <c r="F842" s="66" t="s">
        <v>912</v>
      </c>
      <c r="G842" s="65" t="str">
        <f t="shared" si="1"/>
        <v>MCC046UC0398</v>
      </c>
      <c r="H842" s="35" t="str">
        <f t="shared" si="5"/>
        <v>Saída</v>
      </c>
      <c r="I842" s="25" t="s">
        <v>457</v>
      </c>
    </row>
    <row r="843">
      <c r="A843" s="64">
        <v>46104.0</v>
      </c>
      <c r="B843" s="66" t="s">
        <v>235</v>
      </c>
      <c r="C843" s="66" t="s">
        <v>218</v>
      </c>
      <c r="D843" s="67">
        <v>1.0</v>
      </c>
      <c r="E843" s="66" t="s">
        <v>184</v>
      </c>
      <c r="F843" s="66" t="s">
        <v>884</v>
      </c>
      <c r="G843" s="65" t="str">
        <f t="shared" si="1"/>
        <v>MCC046UC0398</v>
      </c>
      <c r="H843" s="35" t="str">
        <f t="shared" si="5"/>
        <v>Saída</v>
      </c>
      <c r="I843" s="25" t="s">
        <v>238</v>
      </c>
    </row>
    <row r="844">
      <c r="A844" s="64">
        <v>46104.0</v>
      </c>
      <c r="B844" s="66" t="s">
        <v>455</v>
      </c>
      <c r="C844" s="66" t="s">
        <v>245</v>
      </c>
      <c r="D844" s="67">
        <v>10.0</v>
      </c>
      <c r="E844" s="66" t="s">
        <v>913</v>
      </c>
      <c r="F844" s="66" t="s">
        <v>914</v>
      </c>
      <c r="G844" s="65" t="str">
        <f t="shared" si="1"/>
        <v>MCC015UC0008</v>
      </c>
      <c r="H844" s="35" t="str">
        <f t="shared" si="5"/>
        <v>Saída</v>
      </c>
      <c r="I844" s="25" t="s">
        <v>457</v>
      </c>
    </row>
    <row r="845">
      <c r="A845" s="64">
        <v>46105.0</v>
      </c>
      <c r="B845" s="66" t="s">
        <v>235</v>
      </c>
      <c r="C845" s="66" t="s">
        <v>255</v>
      </c>
      <c r="D845" s="67">
        <v>5.0</v>
      </c>
      <c r="E845" s="66" t="s">
        <v>913</v>
      </c>
      <c r="F845" s="66" t="s">
        <v>609</v>
      </c>
      <c r="G845" s="65" t="str">
        <f t="shared" si="1"/>
        <v>MCC046UC0215</v>
      </c>
      <c r="H845" s="35" t="str">
        <f t="shared" si="5"/>
        <v>Saída</v>
      </c>
      <c r="I845" s="25" t="s">
        <v>238</v>
      </c>
    </row>
    <row r="846">
      <c r="A846" s="64">
        <v>46105.0</v>
      </c>
      <c r="B846" s="66" t="s">
        <v>455</v>
      </c>
      <c r="C846" s="66" t="s">
        <v>245</v>
      </c>
      <c r="D846" s="67">
        <v>3.0</v>
      </c>
      <c r="E846" s="66" t="s">
        <v>913</v>
      </c>
      <c r="F846" s="66" t="s">
        <v>915</v>
      </c>
      <c r="G846" s="65" t="str">
        <f t="shared" si="1"/>
        <v>MCC015UC0008</v>
      </c>
      <c r="H846" s="35" t="str">
        <f t="shared" si="5"/>
        <v>Saída</v>
      </c>
      <c r="I846" s="25" t="s">
        <v>457</v>
      </c>
    </row>
    <row r="847">
      <c r="A847" s="64">
        <v>46107.0</v>
      </c>
      <c r="B847" s="66" t="s">
        <v>366</v>
      </c>
      <c r="C847" s="66" t="s">
        <v>245</v>
      </c>
      <c r="D847" s="67">
        <v>6.0</v>
      </c>
      <c r="E847" s="66" t="s">
        <v>916</v>
      </c>
      <c r="F847" s="66" t="s">
        <v>917</v>
      </c>
      <c r="G847" s="65" t="str">
        <f t="shared" si="1"/>
        <v>MCC015UC0008</v>
      </c>
      <c r="H847" s="35" t="str">
        <f t="shared" si="5"/>
        <v>Saída</v>
      </c>
      <c r="I847" s="25" t="s">
        <v>368</v>
      </c>
    </row>
    <row r="848">
      <c r="A848" s="64">
        <v>46107.0</v>
      </c>
      <c r="B848" s="66" t="s">
        <v>366</v>
      </c>
      <c r="C848" s="66" t="s">
        <v>224</v>
      </c>
      <c r="D848" s="67">
        <v>8.0</v>
      </c>
      <c r="E848" s="66" t="s">
        <v>916</v>
      </c>
      <c r="F848" s="66" t="s">
        <v>704</v>
      </c>
      <c r="G848" s="65" t="str">
        <f t="shared" si="1"/>
        <v>MCC015UC0045</v>
      </c>
      <c r="H848" s="35" t="str">
        <f t="shared" si="5"/>
        <v>Saída</v>
      </c>
      <c r="I848" s="25" t="s">
        <v>368</v>
      </c>
    </row>
    <row r="849">
      <c r="A849" s="64">
        <v>46107.0</v>
      </c>
      <c r="B849" s="66" t="s">
        <v>343</v>
      </c>
      <c r="C849" s="66" t="s">
        <v>245</v>
      </c>
      <c r="D849" s="67">
        <v>90.0</v>
      </c>
      <c r="E849" s="66" t="s">
        <v>635</v>
      </c>
      <c r="F849" s="66" t="s">
        <v>918</v>
      </c>
      <c r="G849" s="65" t="str">
        <f t="shared" si="1"/>
        <v>MCC015UC0008</v>
      </c>
      <c r="H849" s="35" t="str">
        <f t="shared" si="5"/>
        <v>Saída</v>
      </c>
      <c r="I849" s="25" t="s">
        <v>345</v>
      </c>
    </row>
    <row r="850">
      <c r="A850" s="64">
        <v>46107.0</v>
      </c>
      <c r="B850" s="66" t="s">
        <v>214</v>
      </c>
      <c r="C850" s="66" t="s">
        <v>221</v>
      </c>
      <c r="D850" s="67">
        <v>8.0</v>
      </c>
      <c r="E850" s="66" t="s">
        <v>913</v>
      </c>
      <c r="F850" s="66" t="s">
        <v>903</v>
      </c>
      <c r="G850" s="65" t="str">
        <f t="shared" si="1"/>
        <v>MCC049UC0600</v>
      </c>
      <c r="H850" s="35"/>
      <c r="I850" s="25" t="s">
        <v>217</v>
      </c>
    </row>
    <row r="851">
      <c r="A851" s="64">
        <v>46108.0</v>
      </c>
      <c r="B851" s="66" t="s">
        <v>232</v>
      </c>
      <c r="C851" s="66" t="s">
        <v>919</v>
      </c>
      <c r="D851" s="67">
        <v>2.0</v>
      </c>
      <c r="E851" s="66" t="s">
        <v>567</v>
      </c>
      <c r="F851" s="66" t="s">
        <v>920</v>
      </c>
      <c r="G851" s="65" t="str">
        <f t="shared" si="1"/>
        <v>MCC046UC0598</v>
      </c>
      <c r="H851" s="35"/>
      <c r="I851" s="25" t="s">
        <v>234</v>
      </c>
    </row>
    <row r="852">
      <c r="A852" s="64">
        <v>46108.0</v>
      </c>
      <c r="B852" s="66" t="s">
        <v>235</v>
      </c>
      <c r="C852" s="66" t="s">
        <v>921</v>
      </c>
      <c r="D852" s="67">
        <v>24.0</v>
      </c>
      <c r="E852" s="66" t="s">
        <v>913</v>
      </c>
      <c r="F852" s="66" t="s">
        <v>884</v>
      </c>
      <c r="G852" s="65" t="str">
        <f t="shared" si="1"/>
        <v>MCC015UC0045</v>
      </c>
      <c r="H852" s="35"/>
      <c r="I852" s="25" t="s">
        <v>238</v>
      </c>
    </row>
    <row r="853">
      <c r="A853" s="64">
        <v>46108.0</v>
      </c>
      <c r="B853" s="66" t="s">
        <v>515</v>
      </c>
      <c r="C853" s="66" t="s">
        <v>922</v>
      </c>
      <c r="D853" s="67">
        <v>38.0</v>
      </c>
      <c r="E853" s="66" t="s">
        <v>923</v>
      </c>
      <c r="F853" s="66" t="s">
        <v>924</v>
      </c>
      <c r="G853" s="65" t="str">
        <f t="shared" si="1"/>
        <v>MCC015UC0008</v>
      </c>
      <c r="H853" s="35"/>
      <c r="I853" s="25" t="s">
        <v>517</v>
      </c>
    </row>
    <row r="854" hidden="1">
      <c r="A854" s="64">
        <v>46097.0</v>
      </c>
      <c r="B854" s="66" t="s">
        <v>232</v>
      </c>
      <c r="C854" s="66" t="s">
        <v>263</v>
      </c>
      <c r="D854" s="67">
        <v>1.0</v>
      </c>
      <c r="E854" s="66" t="s">
        <v>182</v>
      </c>
      <c r="F854" s="66" t="s">
        <v>920</v>
      </c>
      <c r="G854" s="65" t="str">
        <f t="shared" si="1"/>
        <v>MCC015UC0038</v>
      </c>
      <c r="H854" s="35"/>
      <c r="I854" s="25" t="s">
        <v>234</v>
      </c>
    </row>
    <row r="855" hidden="1">
      <c r="A855" s="64">
        <v>46097.0</v>
      </c>
      <c r="B855" s="66" t="s">
        <v>232</v>
      </c>
      <c r="C855" s="66" t="s">
        <v>227</v>
      </c>
      <c r="D855" s="67">
        <v>2.0</v>
      </c>
      <c r="E855" s="66" t="s">
        <v>182</v>
      </c>
      <c r="F855" s="66" t="s">
        <v>920</v>
      </c>
      <c r="G855" s="65" t="str">
        <f t="shared" si="1"/>
        <v>MCC046UC0668</v>
      </c>
      <c r="H855" s="35"/>
      <c r="I855" s="25" t="s">
        <v>234</v>
      </c>
    </row>
    <row r="856" hidden="1">
      <c r="A856" s="64">
        <v>46097.0</v>
      </c>
      <c r="B856" s="66" t="s">
        <v>270</v>
      </c>
      <c r="C856" s="66" t="s">
        <v>245</v>
      </c>
      <c r="D856" s="67">
        <v>5.0</v>
      </c>
      <c r="E856" s="66" t="s">
        <v>180</v>
      </c>
      <c r="F856" s="66" t="s">
        <v>925</v>
      </c>
      <c r="G856" s="65" t="str">
        <f t="shared" si="1"/>
        <v>MCC015UC0008</v>
      </c>
      <c r="H856" s="35"/>
      <c r="I856" s="25" t="s">
        <v>273</v>
      </c>
    </row>
    <row r="857" hidden="1">
      <c r="A857" s="64">
        <v>46097.0</v>
      </c>
      <c r="B857" s="66" t="s">
        <v>343</v>
      </c>
      <c r="C857" s="66" t="s">
        <v>245</v>
      </c>
      <c r="D857" s="67">
        <v>30.0</v>
      </c>
      <c r="E857" s="66" t="s">
        <v>180</v>
      </c>
      <c r="F857" s="66" t="s">
        <v>842</v>
      </c>
      <c r="G857" s="65" t="str">
        <f t="shared" si="1"/>
        <v>MCC015UC0008</v>
      </c>
      <c r="H857" s="35"/>
      <c r="I857" s="25" t="s">
        <v>345</v>
      </c>
    </row>
    <row r="858" hidden="1">
      <c r="A858" s="64">
        <v>46097.0</v>
      </c>
      <c r="B858" s="66" t="s">
        <v>900</v>
      </c>
      <c r="C858" s="66" t="s">
        <v>226</v>
      </c>
      <c r="D858" s="67">
        <v>20.0</v>
      </c>
      <c r="E858" s="66" t="s">
        <v>184</v>
      </c>
      <c r="F858" s="66" t="s">
        <v>911</v>
      </c>
      <c r="G858" s="65" t="str">
        <f t="shared" si="1"/>
        <v>MCC046UC0596</v>
      </c>
      <c r="H858" s="35"/>
      <c r="I858" s="25" t="s">
        <v>902</v>
      </c>
    </row>
    <row r="859" hidden="1">
      <c r="A859" s="64">
        <v>46098.0</v>
      </c>
      <c r="B859" s="66" t="s">
        <v>282</v>
      </c>
      <c r="C859" s="66" t="s">
        <v>255</v>
      </c>
      <c r="D859" s="67">
        <v>2.0</v>
      </c>
      <c r="E859" s="66" t="s">
        <v>184</v>
      </c>
      <c r="F859" s="66" t="s">
        <v>762</v>
      </c>
      <c r="G859" s="65" t="str">
        <f t="shared" si="1"/>
        <v>MCC046UC0215</v>
      </c>
      <c r="H859" s="35"/>
      <c r="I859" s="25" t="s">
        <v>284</v>
      </c>
    </row>
    <row r="860" hidden="1">
      <c r="A860" s="64">
        <v>46098.0</v>
      </c>
      <c r="B860" s="66" t="s">
        <v>455</v>
      </c>
      <c r="C860" s="66" t="s">
        <v>226</v>
      </c>
      <c r="D860" s="67">
        <v>20.0</v>
      </c>
      <c r="E860" s="66" t="s">
        <v>184</v>
      </c>
      <c r="F860" s="66" t="s">
        <v>722</v>
      </c>
      <c r="G860" s="65" t="str">
        <f t="shared" si="1"/>
        <v>MCC046UC0596</v>
      </c>
      <c r="H860" s="35"/>
      <c r="I860" s="25" t="s">
        <v>457</v>
      </c>
    </row>
    <row r="861" hidden="1">
      <c r="A861" s="64">
        <v>46098.0</v>
      </c>
      <c r="B861" s="66" t="s">
        <v>455</v>
      </c>
      <c r="C861" s="66" t="s">
        <v>226</v>
      </c>
      <c r="D861" s="67">
        <v>10.0</v>
      </c>
      <c r="E861" s="66" t="s">
        <v>184</v>
      </c>
      <c r="F861" s="66" t="s">
        <v>722</v>
      </c>
      <c r="G861" s="65" t="str">
        <f t="shared" si="1"/>
        <v>MCC046UC0596</v>
      </c>
      <c r="H861" s="35"/>
      <c r="I861" s="25" t="s">
        <v>457</v>
      </c>
    </row>
    <row r="862" hidden="1">
      <c r="A862" s="64">
        <v>46098.0</v>
      </c>
      <c r="B862" s="66" t="s">
        <v>337</v>
      </c>
      <c r="C862" s="66" t="s">
        <v>291</v>
      </c>
      <c r="D862" s="67">
        <v>109.0</v>
      </c>
      <c r="E862" s="66" t="s">
        <v>183</v>
      </c>
      <c r="F862" s="66" t="s">
        <v>926</v>
      </c>
      <c r="G862" s="65" t="str">
        <f t="shared" si="1"/>
        <v>MCC046UC0695</v>
      </c>
      <c r="H862" s="35"/>
      <c r="I862" s="25" t="s">
        <v>189</v>
      </c>
    </row>
    <row r="863">
      <c r="A863" s="64"/>
      <c r="B863" s="66"/>
      <c r="C863" s="66"/>
      <c r="D863" s="67"/>
      <c r="E863" s="66"/>
      <c r="F863" s="66"/>
      <c r="G863" s="65"/>
      <c r="H863" s="35"/>
      <c r="I863" s="25" t="s">
        <v>927</v>
      </c>
    </row>
    <row r="864">
      <c r="A864" s="64"/>
      <c r="B864" s="66"/>
      <c r="C864" s="66"/>
      <c r="D864" s="67"/>
      <c r="E864" s="66"/>
      <c r="F864" s="66"/>
      <c r="G864" s="65"/>
      <c r="H864" s="35" t="str">
        <f t="shared" ref="H864:H1873" si="6">IF(A864&lt;&gt;"","Saída","")</f>
        <v/>
      </c>
      <c r="I864" s="25" t="s">
        <v>927</v>
      </c>
    </row>
    <row r="865">
      <c r="A865" s="64"/>
      <c r="B865" s="66"/>
      <c r="C865" s="66"/>
      <c r="D865" s="67"/>
      <c r="E865" s="66"/>
      <c r="F865" s="66"/>
      <c r="G865" s="65"/>
      <c r="H865" s="35" t="str">
        <f t="shared" si="6"/>
        <v/>
      </c>
      <c r="I865" s="25" t="s">
        <v>927</v>
      </c>
    </row>
    <row r="866">
      <c r="A866" s="64"/>
      <c r="B866" s="66"/>
      <c r="C866" s="66"/>
      <c r="D866" s="67"/>
      <c r="E866" s="66"/>
      <c r="F866" s="66"/>
      <c r="G866" s="68" t="str">
        <f t="shared" ref="G866:G869" si="7">LEFT(C:C,12) </f>
        <v/>
      </c>
      <c r="H866" s="35" t="str">
        <f t="shared" si="6"/>
        <v/>
      </c>
      <c r="I866" s="25" t="s">
        <v>927</v>
      </c>
    </row>
    <row r="867">
      <c r="A867" s="64"/>
      <c r="B867" s="66"/>
      <c r="C867" s="66"/>
      <c r="D867" s="67"/>
      <c r="E867" s="66"/>
      <c r="F867" s="66"/>
      <c r="G867" s="68" t="str">
        <f t="shared" si="7"/>
        <v/>
      </c>
      <c r="H867" s="35" t="str">
        <f t="shared" si="6"/>
        <v/>
      </c>
      <c r="I867" s="25" t="s">
        <v>927</v>
      </c>
    </row>
    <row r="868">
      <c r="A868" s="64"/>
      <c r="B868" s="66"/>
      <c r="C868" s="66"/>
      <c r="D868" s="67"/>
      <c r="E868" s="66"/>
      <c r="F868" s="66"/>
      <c r="G868" s="68" t="str">
        <f t="shared" si="7"/>
        <v/>
      </c>
      <c r="H868" s="35" t="str">
        <f t="shared" si="6"/>
        <v/>
      </c>
      <c r="I868" s="25" t="s">
        <v>927</v>
      </c>
    </row>
    <row r="869">
      <c r="A869" s="64"/>
      <c r="B869" s="66"/>
      <c r="C869" s="66"/>
      <c r="D869" s="67"/>
      <c r="E869" s="66"/>
      <c r="F869" s="66"/>
      <c r="G869" s="68" t="str">
        <f t="shared" si="7"/>
        <v/>
      </c>
      <c r="H869" s="35" t="str">
        <f t="shared" si="6"/>
        <v/>
      </c>
      <c r="I869" s="25" t="s">
        <v>927</v>
      </c>
    </row>
    <row r="870">
      <c r="A870" s="64"/>
      <c r="B870" s="66"/>
      <c r="C870" s="66"/>
      <c r="D870" s="67"/>
      <c r="E870" s="66"/>
      <c r="F870" s="66"/>
      <c r="G870" s="68" t="str">
        <f t="shared" ref="G870:G874" si="8">LEFT(C:C,12)</f>
        <v/>
      </c>
      <c r="H870" s="35" t="str">
        <f t="shared" si="6"/>
        <v/>
      </c>
      <c r="I870" s="25" t="s">
        <v>927</v>
      </c>
    </row>
    <row r="871">
      <c r="A871" s="64"/>
      <c r="B871" s="66"/>
      <c r="C871" s="66"/>
      <c r="D871" s="67"/>
      <c r="E871" s="66"/>
      <c r="F871" s="66"/>
      <c r="G871" s="68" t="str">
        <f t="shared" si="8"/>
        <v/>
      </c>
      <c r="H871" s="35" t="str">
        <f t="shared" si="6"/>
        <v/>
      </c>
      <c r="I871" s="25" t="s">
        <v>927</v>
      </c>
    </row>
    <row r="872">
      <c r="A872" s="64"/>
      <c r="B872" s="66"/>
      <c r="C872" s="66"/>
      <c r="D872" s="67"/>
      <c r="E872" s="66"/>
      <c r="F872" s="66"/>
      <c r="G872" s="68" t="str">
        <f t="shared" si="8"/>
        <v/>
      </c>
      <c r="H872" s="35" t="str">
        <f t="shared" si="6"/>
        <v/>
      </c>
      <c r="I872" s="25" t="s">
        <v>927</v>
      </c>
    </row>
    <row r="873">
      <c r="A873" s="64"/>
      <c r="B873" s="66"/>
      <c r="C873" s="66"/>
      <c r="D873" s="67"/>
      <c r="E873" s="66"/>
      <c r="F873" s="66"/>
      <c r="G873" s="68" t="str">
        <f t="shared" si="8"/>
        <v/>
      </c>
      <c r="H873" s="35" t="str">
        <f t="shared" si="6"/>
        <v/>
      </c>
      <c r="I873" s="25" t="s">
        <v>927</v>
      </c>
    </row>
    <row r="874">
      <c r="A874" s="64"/>
      <c r="B874" s="66"/>
      <c r="C874" s="66"/>
      <c r="D874" s="67"/>
      <c r="E874" s="66"/>
      <c r="F874" s="66"/>
      <c r="G874" s="68" t="str">
        <f t="shared" si="8"/>
        <v/>
      </c>
      <c r="H874" s="35" t="str">
        <f t="shared" si="6"/>
        <v/>
      </c>
      <c r="I874" s="25" t="s">
        <v>927</v>
      </c>
    </row>
    <row r="875">
      <c r="A875" s="69"/>
      <c r="B875" s="68"/>
      <c r="C875" s="68"/>
      <c r="D875" s="70"/>
      <c r="E875" s="68"/>
      <c r="F875" s="68"/>
      <c r="G875" s="68"/>
      <c r="H875" s="35" t="str">
        <f t="shared" si="6"/>
        <v/>
      </c>
      <c r="I875" s="25" t="s">
        <v>927</v>
      </c>
    </row>
    <row r="876">
      <c r="A876" s="69"/>
      <c r="B876" s="68"/>
      <c r="C876" s="68"/>
      <c r="D876" s="70"/>
      <c r="E876" s="68"/>
      <c r="F876" s="68"/>
      <c r="G876" s="68"/>
      <c r="H876" s="35" t="str">
        <f t="shared" si="6"/>
        <v/>
      </c>
      <c r="I876" s="25" t="s">
        <v>927</v>
      </c>
    </row>
    <row r="877">
      <c r="A877" s="69"/>
      <c r="B877" s="68"/>
      <c r="C877" s="68"/>
      <c r="D877" s="70"/>
      <c r="E877" s="68"/>
      <c r="F877" s="68"/>
      <c r="G877" s="68"/>
      <c r="H877" s="35" t="str">
        <f t="shared" si="6"/>
        <v/>
      </c>
      <c r="I877" s="25" t="s">
        <v>927</v>
      </c>
    </row>
    <row r="878">
      <c r="A878" s="69"/>
      <c r="B878" s="68"/>
      <c r="C878" s="68"/>
      <c r="D878" s="70"/>
      <c r="E878" s="68"/>
      <c r="F878" s="68"/>
      <c r="G878" s="68"/>
      <c r="H878" s="35" t="str">
        <f t="shared" si="6"/>
        <v/>
      </c>
      <c r="I878" s="25" t="s">
        <v>927</v>
      </c>
    </row>
    <row r="879">
      <c r="A879" s="69"/>
      <c r="B879" s="68"/>
      <c r="C879" s="68"/>
      <c r="D879" s="70"/>
      <c r="E879" s="68"/>
      <c r="F879" s="68"/>
      <c r="G879" s="68"/>
      <c r="H879" s="35" t="str">
        <f t="shared" si="6"/>
        <v/>
      </c>
      <c r="I879" s="25" t="s">
        <v>927</v>
      </c>
    </row>
    <row r="880">
      <c r="A880" s="69"/>
      <c r="B880" s="68"/>
      <c r="C880" s="68"/>
      <c r="D880" s="70"/>
      <c r="E880" s="68"/>
      <c r="F880" s="68"/>
      <c r="G880" s="68"/>
      <c r="H880" s="35" t="str">
        <f t="shared" si="6"/>
        <v/>
      </c>
      <c r="I880" s="25" t="s">
        <v>927</v>
      </c>
    </row>
    <row r="881">
      <c r="A881" s="69"/>
      <c r="B881" s="68"/>
      <c r="C881" s="68"/>
      <c r="D881" s="70"/>
      <c r="E881" s="68"/>
      <c r="F881" s="68"/>
      <c r="G881" s="68"/>
      <c r="H881" s="35" t="str">
        <f t="shared" si="6"/>
        <v/>
      </c>
      <c r="I881" s="25" t="s">
        <v>927</v>
      </c>
    </row>
    <row r="882">
      <c r="A882" s="69"/>
      <c r="B882" s="68"/>
      <c r="C882" s="68"/>
      <c r="D882" s="70"/>
      <c r="E882" s="68"/>
      <c r="F882" s="68"/>
      <c r="G882" s="68"/>
      <c r="H882" s="35" t="str">
        <f t="shared" si="6"/>
        <v/>
      </c>
      <c r="I882" s="25" t="s">
        <v>927</v>
      </c>
    </row>
    <row r="883">
      <c r="A883" s="69"/>
      <c r="B883" s="68"/>
      <c r="C883" s="68"/>
      <c r="D883" s="70"/>
      <c r="E883" s="68"/>
      <c r="F883" s="68"/>
      <c r="G883" s="68"/>
      <c r="H883" s="35" t="str">
        <f t="shared" si="6"/>
        <v/>
      </c>
      <c r="I883" s="25" t="s">
        <v>927</v>
      </c>
    </row>
    <row r="884">
      <c r="A884" s="69"/>
      <c r="B884" s="68"/>
      <c r="C884" s="68"/>
      <c r="D884" s="70"/>
      <c r="E884" s="68"/>
      <c r="F884" s="68"/>
      <c r="G884" s="68"/>
      <c r="H884" s="35" t="str">
        <f t="shared" si="6"/>
        <v/>
      </c>
      <c r="I884" s="25" t="s">
        <v>927</v>
      </c>
    </row>
    <row r="885">
      <c r="A885" s="69"/>
      <c r="B885" s="68"/>
      <c r="C885" s="68"/>
      <c r="D885" s="70"/>
      <c r="E885" s="68"/>
      <c r="F885" s="68"/>
      <c r="G885" s="68"/>
      <c r="H885" s="35" t="str">
        <f t="shared" si="6"/>
        <v/>
      </c>
      <c r="I885" s="25" t="s">
        <v>927</v>
      </c>
    </row>
    <row r="886">
      <c r="A886" s="69"/>
      <c r="B886" s="68"/>
      <c r="C886" s="68"/>
      <c r="D886" s="70"/>
      <c r="E886" s="68"/>
      <c r="F886" s="68"/>
      <c r="G886" s="68"/>
      <c r="H886" s="35" t="str">
        <f t="shared" si="6"/>
        <v/>
      </c>
      <c r="I886" s="25" t="s">
        <v>927</v>
      </c>
    </row>
    <row r="887">
      <c r="A887" s="69"/>
      <c r="B887" s="68"/>
      <c r="C887" s="68"/>
      <c r="D887" s="70"/>
      <c r="E887" s="68"/>
      <c r="F887" s="68"/>
      <c r="G887" s="68"/>
      <c r="H887" s="35" t="str">
        <f t="shared" si="6"/>
        <v/>
      </c>
      <c r="I887" s="25" t="s">
        <v>927</v>
      </c>
    </row>
    <row r="888">
      <c r="A888" s="69"/>
      <c r="B888" s="68"/>
      <c r="C888" s="68"/>
      <c r="D888" s="70"/>
      <c r="E888" s="68"/>
      <c r="F888" s="68"/>
      <c r="G888" s="68"/>
      <c r="H888" s="35" t="str">
        <f t="shared" si="6"/>
        <v/>
      </c>
      <c r="I888" s="25" t="s">
        <v>927</v>
      </c>
    </row>
    <row r="889">
      <c r="A889" s="69"/>
      <c r="B889" s="68"/>
      <c r="C889" s="68"/>
      <c r="D889" s="70"/>
      <c r="E889" s="68"/>
      <c r="F889" s="68"/>
      <c r="G889" s="68"/>
      <c r="H889" s="35" t="str">
        <f t="shared" si="6"/>
        <v/>
      </c>
      <c r="I889" s="25" t="s">
        <v>927</v>
      </c>
    </row>
    <row r="890">
      <c r="A890" s="69"/>
      <c r="B890" s="68"/>
      <c r="C890" s="68"/>
      <c r="D890" s="70"/>
      <c r="E890" s="68"/>
      <c r="F890" s="68"/>
      <c r="G890" s="68"/>
      <c r="H890" s="35" t="str">
        <f t="shared" si="6"/>
        <v/>
      </c>
      <c r="I890" s="25" t="s">
        <v>927</v>
      </c>
    </row>
    <row r="891">
      <c r="A891" s="69"/>
      <c r="B891" s="68"/>
      <c r="C891" s="68"/>
      <c r="D891" s="70"/>
      <c r="E891" s="68"/>
      <c r="F891" s="68"/>
      <c r="G891" s="68"/>
      <c r="H891" s="35" t="str">
        <f t="shared" si="6"/>
        <v/>
      </c>
      <c r="I891" s="25" t="s">
        <v>927</v>
      </c>
    </row>
    <row r="892">
      <c r="A892" s="69"/>
      <c r="B892" s="68"/>
      <c r="C892" s="68"/>
      <c r="D892" s="70"/>
      <c r="E892" s="68"/>
      <c r="F892" s="68"/>
      <c r="G892" s="68"/>
      <c r="H892" s="35" t="str">
        <f t="shared" si="6"/>
        <v/>
      </c>
      <c r="I892" s="25" t="s">
        <v>927</v>
      </c>
    </row>
    <row r="893">
      <c r="A893" s="69"/>
      <c r="B893" s="68"/>
      <c r="C893" s="68"/>
      <c r="D893" s="70"/>
      <c r="E893" s="68"/>
      <c r="F893" s="68"/>
      <c r="G893" s="68"/>
      <c r="H893" s="35" t="str">
        <f t="shared" si="6"/>
        <v/>
      </c>
      <c r="I893" s="25" t="s">
        <v>927</v>
      </c>
    </row>
    <row r="894">
      <c r="A894" s="69"/>
      <c r="B894" s="68"/>
      <c r="C894" s="68"/>
      <c r="D894" s="70"/>
      <c r="E894" s="68"/>
      <c r="F894" s="68"/>
      <c r="G894" s="68"/>
      <c r="H894" s="35" t="str">
        <f t="shared" si="6"/>
        <v/>
      </c>
      <c r="I894" s="25" t="s">
        <v>927</v>
      </c>
    </row>
    <row r="895">
      <c r="A895" s="69"/>
      <c r="B895" s="68"/>
      <c r="C895" s="68"/>
      <c r="D895" s="70"/>
      <c r="E895" s="68"/>
      <c r="F895" s="68"/>
      <c r="G895" s="68"/>
      <c r="H895" s="35" t="str">
        <f t="shared" si="6"/>
        <v/>
      </c>
      <c r="I895" s="25" t="s">
        <v>927</v>
      </c>
    </row>
    <row r="896">
      <c r="A896" s="69"/>
      <c r="B896" s="68"/>
      <c r="C896" s="68"/>
      <c r="D896" s="70"/>
      <c r="E896" s="68"/>
      <c r="F896" s="68"/>
      <c r="G896" s="68"/>
      <c r="H896" s="35" t="str">
        <f t="shared" si="6"/>
        <v/>
      </c>
      <c r="I896" s="25" t="s">
        <v>927</v>
      </c>
    </row>
    <row r="897">
      <c r="A897" s="69"/>
      <c r="B897" s="68"/>
      <c r="C897" s="68"/>
      <c r="D897" s="70"/>
      <c r="E897" s="68"/>
      <c r="F897" s="68"/>
      <c r="G897" s="68"/>
      <c r="H897" s="35" t="str">
        <f t="shared" si="6"/>
        <v/>
      </c>
      <c r="I897" s="25" t="s">
        <v>927</v>
      </c>
    </row>
    <row r="898">
      <c r="A898" s="69"/>
      <c r="B898" s="68"/>
      <c r="C898" s="68"/>
      <c r="D898" s="70"/>
      <c r="E898" s="68"/>
      <c r="F898" s="68"/>
      <c r="G898" s="68"/>
      <c r="H898" s="35" t="str">
        <f t="shared" si="6"/>
        <v/>
      </c>
      <c r="I898" s="25" t="s">
        <v>927</v>
      </c>
    </row>
    <row r="899">
      <c r="A899" s="69"/>
      <c r="B899" s="68"/>
      <c r="C899" s="68"/>
      <c r="D899" s="70"/>
      <c r="E899" s="68"/>
      <c r="F899" s="68"/>
      <c r="G899" s="68"/>
      <c r="H899" s="35" t="str">
        <f t="shared" si="6"/>
        <v/>
      </c>
      <c r="I899" s="25" t="s">
        <v>927</v>
      </c>
    </row>
    <row r="900">
      <c r="A900" s="69"/>
      <c r="B900" s="68"/>
      <c r="C900" s="68"/>
      <c r="D900" s="70"/>
      <c r="E900" s="68"/>
      <c r="F900" s="68"/>
      <c r="G900" s="68"/>
      <c r="H900" s="35" t="str">
        <f t="shared" si="6"/>
        <v/>
      </c>
      <c r="I900" s="25" t="s">
        <v>927</v>
      </c>
    </row>
    <row r="901">
      <c r="A901" s="69"/>
      <c r="B901" s="68"/>
      <c r="C901" s="68"/>
      <c r="D901" s="70"/>
      <c r="E901" s="68"/>
      <c r="F901" s="68"/>
      <c r="G901" s="68"/>
      <c r="H901" s="35" t="str">
        <f t="shared" si="6"/>
        <v/>
      </c>
      <c r="I901" s="25" t="s">
        <v>927</v>
      </c>
    </row>
    <row r="902">
      <c r="A902" s="69"/>
      <c r="B902" s="68"/>
      <c r="C902" s="68"/>
      <c r="D902" s="70"/>
      <c r="E902" s="68"/>
      <c r="F902" s="68"/>
      <c r="G902" s="68"/>
      <c r="H902" s="35" t="str">
        <f t="shared" si="6"/>
        <v/>
      </c>
      <c r="I902" s="25" t="s">
        <v>927</v>
      </c>
    </row>
    <row r="903">
      <c r="A903" s="69"/>
      <c r="B903" s="68"/>
      <c r="C903" s="68"/>
      <c r="D903" s="70"/>
      <c r="E903" s="68"/>
      <c r="F903" s="68"/>
      <c r="G903" s="68"/>
      <c r="H903" s="35" t="str">
        <f t="shared" si="6"/>
        <v/>
      </c>
      <c r="I903" s="25" t="s">
        <v>927</v>
      </c>
    </row>
    <row r="904">
      <c r="A904" s="69"/>
      <c r="B904" s="68"/>
      <c r="C904" s="68"/>
      <c r="D904" s="70"/>
      <c r="E904" s="68"/>
      <c r="F904" s="68"/>
      <c r="G904" s="68"/>
      <c r="H904" s="35" t="str">
        <f t="shared" si="6"/>
        <v/>
      </c>
      <c r="I904" s="25" t="s">
        <v>927</v>
      </c>
    </row>
    <row r="905">
      <c r="A905" s="69"/>
      <c r="B905" s="68"/>
      <c r="C905" s="68"/>
      <c r="D905" s="70"/>
      <c r="E905" s="68"/>
      <c r="F905" s="68"/>
      <c r="G905" s="68"/>
      <c r="H905" s="35" t="str">
        <f t="shared" si="6"/>
        <v/>
      </c>
      <c r="I905" s="25" t="s">
        <v>927</v>
      </c>
    </row>
    <row r="906">
      <c r="A906" s="69"/>
      <c r="B906" s="68"/>
      <c r="C906" s="68"/>
      <c r="D906" s="70"/>
      <c r="E906" s="68"/>
      <c r="F906" s="68"/>
      <c r="G906" s="68"/>
      <c r="H906" s="35" t="str">
        <f t="shared" si="6"/>
        <v/>
      </c>
      <c r="I906" s="25" t="s">
        <v>927</v>
      </c>
    </row>
    <row r="907">
      <c r="A907" s="69"/>
      <c r="B907" s="68"/>
      <c r="C907" s="68"/>
      <c r="D907" s="70"/>
      <c r="E907" s="68"/>
      <c r="F907" s="68"/>
      <c r="G907" s="68"/>
      <c r="H907" s="35" t="str">
        <f t="shared" si="6"/>
        <v/>
      </c>
      <c r="I907" s="25" t="s">
        <v>927</v>
      </c>
    </row>
    <row r="908">
      <c r="A908" s="69"/>
      <c r="B908" s="68"/>
      <c r="C908" s="68"/>
      <c r="D908" s="70"/>
      <c r="E908" s="68"/>
      <c r="F908" s="68"/>
      <c r="G908" s="68"/>
      <c r="H908" s="35" t="str">
        <f t="shared" si="6"/>
        <v/>
      </c>
      <c r="I908" s="25" t="s">
        <v>927</v>
      </c>
    </row>
    <row r="909">
      <c r="A909" s="69"/>
      <c r="B909" s="68"/>
      <c r="C909" s="68"/>
      <c r="D909" s="70"/>
      <c r="E909" s="68"/>
      <c r="F909" s="68"/>
      <c r="G909" s="68"/>
      <c r="H909" s="35" t="str">
        <f t="shared" si="6"/>
        <v/>
      </c>
      <c r="I909" s="25" t="s">
        <v>927</v>
      </c>
    </row>
    <row r="910">
      <c r="A910" s="69"/>
      <c r="B910" s="68"/>
      <c r="C910" s="68"/>
      <c r="D910" s="70"/>
      <c r="E910" s="68"/>
      <c r="F910" s="68"/>
      <c r="G910" s="68"/>
      <c r="H910" s="35" t="str">
        <f t="shared" si="6"/>
        <v/>
      </c>
      <c r="I910" s="25" t="s">
        <v>927</v>
      </c>
    </row>
    <row r="911">
      <c r="A911" s="69"/>
      <c r="B911" s="68"/>
      <c r="C911" s="68"/>
      <c r="D911" s="70"/>
      <c r="E911" s="68"/>
      <c r="F911" s="68"/>
      <c r="G911" s="68"/>
      <c r="H911" s="35" t="str">
        <f t="shared" si="6"/>
        <v/>
      </c>
      <c r="I911" s="25" t="s">
        <v>927</v>
      </c>
    </row>
    <row r="912">
      <c r="A912" s="69"/>
      <c r="B912" s="68"/>
      <c r="C912" s="68"/>
      <c r="D912" s="70"/>
      <c r="E912" s="68"/>
      <c r="F912" s="68"/>
      <c r="G912" s="68"/>
      <c r="H912" s="35" t="str">
        <f t="shared" si="6"/>
        <v/>
      </c>
      <c r="I912" s="25" t="s">
        <v>927</v>
      </c>
    </row>
    <row r="913">
      <c r="A913" s="69"/>
      <c r="B913" s="68"/>
      <c r="C913" s="68"/>
      <c r="D913" s="70"/>
      <c r="E913" s="68"/>
      <c r="F913" s="68"/>
      <c r="G913" s="68"/>
      <c r="H913" s="35" t="str">
        <f t="shared" si="6"/>
        <v/>
      </c>
      <c r="I913" s="25" t="s">
        <v>927</v>
      </c>
    </row>
    <row r="914">
      <c r="A914" s="69"/>
      <c r="B914" s="68"/>
      <c r="C914" s="68"/>
      <c r="D914" s="70"/>
      <c r="E914" s="68"/>
      <c r="F914" s="68"/>
      <c r="G914" s="68"/>
      <c r="H914" s="35" t="str">
        <f t="shared" si="6"/>
        <v/>
      </c>
      <c r="I914" s="25" t="s">
        <v>927</v>
      </c>
    </row>
    <row r="915">
      <c r="A915" s="69"/>
      <c r="B915" s="68"/>
      <c r="C915" s="68"/>
      <c r="D915" s="70"/>
      <c r="E915" s="68"/>
      <c r="F915" s="68"/>
      <c r="G915" s="68"/>
      <c r="H915" s="35" t="str">
        <f t="shared" si="6"/>
        <v/>
      </c>
      <c r="I915" s="25" t="s">
        <v>927</v>
      </c>
    </row>
    <row r="916">
      <c r="A916" s="69"/>
      <c r="B916" s="68"/>
      <c r="C916" s="68"/>
      <c r="D916" s="70"/>
      <c r="E916" s="68"/>
      <c r="F916" s="68"/>
      <c r="G916" s="68"/>
      <c r="H916" s="35" t="str">
        <f t="shared" si="6"/>
        <v/>
      </c>
      <c r="I916" s="25" t="s">
        <v>927</v>
      </c>
    </row>
    <row r="917">
      <c r="A917" s="69"/>
      <c r="B917" s="68"/>
      <c r="C917" s="68"/>
      <c r="D917" s="70"/>
      <c r="E917" s="68"/>
      <c r="F917" s="68"/>
      <c r="G917" s="68"/>
      <c r="H917" s="35" t="str">
        <f t="shared" si="6"/>
        <v/>
      </c>
      <c r="I917" s="25" t="s">
        <v>927</v>
      </c>
    </row>
    <row r="918">
      <c r="A918" s="69"/>
      <c r="B918" s="68"/>
      <c r="C918" s="68"/>
      <c r="D918" s="70"/>
      <c r="E918" s="68"/>
      <c r="F918" s="68"/>
      <c r="G918" s="68"/>
      <c r="H918" s="35" t="str">
        <f t="shared" si="6"/>
        <v/>
      </c>
      <c r="I918" s="25" t="s">
        <v>927</v>
      </c>
    </row>
    <row r="919">
      <c r="A919" s="69"/>
      <c r="B919" s="68"/>
      <c r="C919" s="68"/>
      <c r="D919" s="70"/>
      <c r="E919" s="68"/>
      <c r="F919" s="68"/>
      <c r="G919" s="68"/>
      <c r="H919" s="35" t="str">
        <f t="shared" si="6"/>
        <v/>
      </c>
      <c r="I919" s="25" t="s">
        <v>927</v>
      </c>
    </row>
    <row r="920">
      <c r="A920" s="69"/>
      <c r="B920" s="68"/>
      <c r="C920" s="68"/>
      <c r="D920" s="70"/>
      <c r="E920" s="68"/>
      <c r="F920" s="68"/>
      <c r="G920" s="68"/>
      <c r="H920" s="35" t="str">
        <f t="shared" si="6"/>
        <v/>
      </c>
      <c r="I920" s="25" t="s">
        <v>927</v>
      </c>
    </row>
    <row r="921">
      <c r="A921" s="69"/>
      <c r="B921" s="68"/>
      <c r="C921" s="68"/>
      <c r="D921" s="70"/>
      <c r="E921" s="68"/>
      <c r="F921" s="68"/>
      <c r="G921" s="68"/>
      <c r="H921" s="35" t="str">
        <f t="shared" si="6"/>
        <v/>
      </c>
      <c r="I921" s="25" t="s">
        <v>927</v>
      </c>
    </row>
    <row r="922">
      <c r="A922" s="69"/>
      <c r="B922" s="68"/>
      <c r="C922" s="68"/>
      <c r="D922" s="70"/>
      <c r="E922" s="68"/>
      <c r="F922" s="68"/>
      <c r="G922" s="68"/>
      <c r="H922" s="35" t="str">
        <f t="shared" si="6"/>
        <v/>
      </c>
      <c r="I922" s="25" t="s">
        <v>927</v>
      </c>
    </row>
    <row r="923">
      <c r="A923" s="69"/>
      <c r="B923" s="68"/>
      <c r="C923" s="68"/>
      <c r="D923" s="70"/>
      <c r="E923" s="68"/>
      <c r="F923" s="68"/>
      <c r="G923" s="68"/>
      <c r="H923" s="35" t="str">
        <f t="shared" si="6"/>
        <v/>
      </c>
      <c r="I923" s="25" t="s">
        <v>927</v>
      </c>
    </row>
    <row r="924">
      <c r="A924" s="69"/>
      <c r="B924" s="68"/>
      <c r="C924" s="68"/>
      <c r="D924" s="70"/>
      <c r="E924" s="68"/>
      <c r="F924" s="68"/>
      <c r="G924" s="68"/>
      <c r="H924" s="35" t="str">
        <f t="shared" si="6"/>
        <v/>
      </c>
      <c r="I924" s="25" t="s">
        <v>927</v>
      </c>
    </row>
    <row r="925">
      <c r="A925" s="69"/>
      <c r="B925" s="68"/>
      <c r="C925" s="68"/>
      <c r="D925" s="70"/>
      <c r="E925" s="68"/>
      <c r="F925" s="68"/>
      <c r="G925" s="68"/>
      <c r="H925" s="35" t="str">
        <f t="shared" si="6"/>
        <v/>
      </c>
      <c r="I925" s="25" t="s">
        <v>927</v>
      </c>
    </row>
    <row r="926">
      <c r="A926" s="69"/>
      <c r="B926" s="68"/>
      <c r="C926" s="68"/>
      <c r="D926" s="70"/>
      <c r="E926" s="68"/>
      <c r="F926" s="68"/>
      <c r="G926" s="68"/>
      <c r="H926" s="35" t="str">
        <f t="shared" si="6"/>
        <v/>
      </c>
      <c r="I926" s="25" t="s">
        <v>927</v>
      </c>
    </row>
    <row r="927">
      <c r="A927" s="69"/>
      <c r="B927" s="68"/>
      <c r="C927" s="68"/>
      <c r="D927" s="70"/>
      <c r="E927" s="68"/>
      <c r="F927" s="68"/>
      <c r="G927" s="68"/>
      <c r="H927" s="35" t="str">
        <f t="shared" si="6"/>
        <v/>
      </c>
      <c r="I927" s="25" t="s">
        <v>927</v>
      </c>
    </row>
    <row r="928">
      <c r="A928" s="69"/>
      <c r="B928" s="68"/>
      <c r="C928" s="68"/>
      <c r="D928" s="70"/>
      <c r="E928" s="68"/>
      <c r="F928" s="68"/>
      <c r="G928" s="68"/>
      <c r="H928" s="35" t="str">
        <f t="shared" si="6"/>
        <v/>
      </c>
      <c r="I928" s="25" t="s">
        <v>927</v>
      </c>
    </row>
    <row r="929">
      <c r="A929" s="69"/>
      <c r="B929" s="68"/>
      <c r="C929" s="68"/>
      <c r="D929" s="70"/>
      <c r="E929" s="68"/>
      <c r="F929" s="68"/>
      <c r="G929" s="68"/>
      <c r="H929" s="35" t="str">
        <f t="shared" si="6"/>
        <v/>
      </c>
      <c r="I929" s="25" t="s">
        <v>927</v>
      </c>
    </row>
    <row r="930">
      <c r="A930" s="69"/>
      <c r="B930" s="68"/>
      <c r="C930" s="68"/>
      <c r="D930" s="70"/>
      <c r="E930" s="68"/>
      <c r="F930" s="68"/>
      <c r="G930" s="68"/>
      <c r="H930" s="35" t="str">
        <f t="shared" si="6"/>
        <v/>
      </c>
      <c r="I930" s="25" t="s">
        <v>927</v>
      </c>
    </row>
    <row r="931">
      <c r="A931" s="69"/>
      <c r="B931" s="68"/>
      <c r="C931" s="68"/>
      <c r="D931" s="70"/>
      <c r="E931" s="68"/>
      <c r="F931" s="68"/>
      <c r="G931" s="68"/>
      <c r="H931" s="35" t="str">
        <f t="shared" si="6"/>
        <v/>
      </c>
      <c r="I931" s="25" t="s">
        <v>927</v>
      </c>
    </row>
    <row r="932">
      <c r="A932" s="69"/>
      <c r="B932" s="68"/>
      <c r="C932" s="68"/>
      <c r="D932" s="70"/>
      <c r="E932" s="68"/>
      <c r="F932" s="68"/>
      <c r="G932" s="68"/>
      <c r="H932" s="35" t="str">
        <f t="shared" si="6"/>
        <v/>
      </c>
      <c r="I932" s="25" t="s">
        <v>927</v>
      </c>
    </row>
    <row r="933">
      <c r="A933" s="69"/>
      <c r="B933" s="68"/>
      <c r="C933" s="68"/>
      <c r="D933" s="70"/>
      <c r="E933" s="68"/>
      <c r="F933" s="68"/>
      <c r="G933" s="68"/>
      <c r="H933" s="35" t="str">
        <f t="shared" si="6"/>
        <v/>
      </c>
      <c r="I933" s="25" t="s">
        <v>927</v>
      </c>
    </row>
    <row r="934">
      <c r="A934" s="69"/>
      <c r="B934" s="68"/>
      <c r="C934" s="68"/>
      <c r="D934" s="70"/>
      <c r="E934" s="68"/>
      <c r="F934" s="68"/>
      <c r="G934" s="68"/>
      <c r="H934" s="35" t="str">
        <f t="shared" si="6"/>
        <v/>
      </c>
      <c r="I934" s="25" t="s">
        <v>927</v>
      </c>
    </row>
    <row r="935">
      <c r="A935" s="69"/>
      <c r="B935" s="68"/>
      <c r="C935" s="68"/>
      <c r="D935" s="70"/>
      <c r="E935" s="68"/>
      <c r="F935" s="68"/>
      <c r="G935" s="68"/>
      <c r="H935" s="35" t="str">
        <f t="shared" si="6"/>
        <v/>
      </c>
      <c r="I935" s="25" t="s">
        <v>927</v>
      </c>
    </row>
    <row r="936">
      <c r="A936" s="69"/>
      <c r="B936" s="68"/>
      <c r="C936" s="68"/>
      <c r="D936" s="70"/>
      <c r="E936" s="68"/>
      <c r="F936" s="68"/>
      <c r="G936" s="68"/>
      <c r="H936" s="35" t="str">
        <f t="shared" si="6"/>
        <v/>
      </c>
      <c r="I936" s="25" t="s">
        <v>927</v>
      </c>
    </row>
    <row r="937">
      <c r="A937" s="69"/>
      <c r="B937" s="68"/>
      <c r="C937" s="68"/>
      <c r="D937" s="70"/>
      <c r="E937" s="68"/>
      <c r="F937" s="68"/>
      <c r="G937" s="68"/>
      <c r="H937" s="35" t="str">
        <f t="shared" si="6"/>
        <v/>
      </c>
      <c r="I937" s="25" t="s">
        <v>927</v>
      </c>
    </row>
    <row r="938">
      <c r="A938" s="69"/>
      <c r="B938" s="68"/>
      <c r="C938" s="68"/>
      <c r="D938" s="70"/>
      <c r="E938" s="68"/>
      <c r="F938" s="68"/>
      <c r="G938" s="68"/>
      <c r="H938" s="35" t="str">
        <f t="shared" si="6"/>
        <v/>
      </c>
      <c r="I938" s="25" t="s">
        <v>927</v>
      </c>
    </row>
    <row r="939">
      <c r="A939" s="69"/>
      <c r="B939" s="68"/>
      <c r="C939" s="68"/>
      <c r="D939" s="70"/>
      <c r="E939" s="68"/>
      <c r="F939" s="68"/>
      <c r="G939" s="68"/>
      <c r="H939" s="35" t="str">
        <f t="shared" si="6"/>
        <v/>
      </c>
      <c r="I939" s="25" t="s">
        <v>927</v>
      </c>
    </row>
    <row r="940">
      <c r="A940" s="69"/>
      <c r="B940" s="68"/>
      <c r="C940" s="68"/>
      <c r="D940" s="70"/>
      <c r="E940" s="68"/>
      <c r="F940" s="68"/>
      <c r="G940" s="68"/>
      <c r="H940" s="35" t="str">
        <f t="shared" si="6"/>
        <v/>
      </c>
      <c r="I940" s="25" t="s">
        <v>927</v>
      </c>
    </row>
    <row r="941">
      <c r="A941" s="69"/>
      <c r="B941" s="68"/>
      <c r="C941" s="68"/>
      <c r="D941" s="70"/>
      <c r="E941" s="68"/>
      <c r="F941" s="68"/>
      <c r="G941" s="68"/>
      <c r="H941" s="35" t="str">
        <f t="shared" si="6"/>
        <v/>
      </c>
      <c r="I941" s="25" t="s">
        <v>927</v>
      </c>
    </row>
    <row r="942">
      <c r="A942" s="69"/>
      <c r="B942" s="68"/>
      <c r="C942" s="68"/>
      <c r="D942" s="70"/>
      <c r="E942" s="68"/>
      <c r="F942" s="68"/>
      <c r="G942" s="68"/>
      <c r="H942" s="35" t="str">
        <f t="shared" si="6"/>
        <v/>
      </c>
      <c r="I942" s="25" t="s">
        <v>927</v>
      </c>
    </row>
    <row r="943">
      <c r="A943" s="69"/>
      <c r="B943" s="68"/>
      <c r="C943" s="68"/>
      <c r="D943" s="70"/>
      <c r="E943" s="68"/>
      <c r="F943" s="68"/>
      <c r="G943" s="68"/>
      <c r="H943" s="35" t="str">
        <f t="shared" si="6"/>
        <v/>
      </c>
      <c r="I943" s="25" t="s">
        <v>927</v>
      </c>
    </row>
    <row r="944">
      <c r="A944" s="69"/>
      <c r="B944" s="68"/>
      <c r="C944" s="68"/>
      <c r="D944" s="70"/>
      <c r="E944" s="68"/>
      <c r="F944" s="68"/>
      <c r="G944" s="68"/>
      <c r="H944" s="35" t="str">
        <f t="shared" si="6"/>
        <v/>
      </c>
      <c r="I944" s="25" t="s">
        <v>927</v>
      </c>
    </row>
    <row r="945">
      <c r="A945" s="69"/>
      <c r="B945" s="68"/>
      <c r="C945" s="68"/>
      <c r="D945" s="70"/>
      <c r="E945" s="68"/>
      <c r="F945" s="68"/>
      <c r="G945" s="68"/>
      <c r="H945" s="35" t="str">
        <f t="shared" si="6"/>
        <v/>
      </c>
      <c r="I945" s="25" t="s">
        <v>927</v>
      </c>
    </row>
    <row r="946">
      <c r="A946" s="69"/>
      <c r="B946" s="68"/>
      <c r="C946" s="68"/>
      <c r="D946" s="70"/>
      <c r="E946" s="68"/>
      <c r="F946" s="68"/>
      <c r="G946" s="68"/>
      <c r="H946" s="35" t="str">
        <f t="shared" si="6"/>
        <v/>
      </c>
      <c r="I946" s="25" t="s">
        <v>927</v>
      </c>
    </row>
    <row r="947">
      <c r="A947" s="69"/>
      <c r="B947" s="68"/>
      <c r="C947" s="68"/>
      <c r="D947" s="70"/>
      <c r="E947" s="68"/>
      <c r="F947" s="68"/>
      <c r="G947" s="68"/>
      <c r="H947" s="35" t="str">
        <f t="shared" si="6"/>
        <v/>
      </c>
      <c r="I947" s="25" t="s">
        <v>927</v>
      </c>
    </row>
    <row r="948">
      <c r="A948" s="69"/>
      <c r="B948" s="68"/>
      <c r="C948" s="68"/>
      <c r="D948" s="70"/>
      <c r="E948" s="68"/>
      <c r="F948" s="68"/>
      <c r="G948" s="68"/>
      <c r="H948" s="35" t="str">
        <f t="shared" si="6"/>
        <v/>
      </c>
      <c r="I948" s="25" t="s">
        <v>927</v>
      </c>
    </row>
    <row r="949">
      <c r="A949" s="69"/>
      <c r="B949" s="68"/>
      <c r="C949" s="68"/>
      <c r="D949" s="70"/>
      <c r="E949" s="68"/>
      <c r="F949" s="68"/>
      <c r="G949" s="68"/>
      <c r="H949" s="35" t="str">
        <f t="shared" si="6"/>
        <v/>
      </c>
      <c r="I949" s="25" t="s">
        <v>927</v>
      </c>
    </row>
    <row r="950">
      <c r="A950" s="69"/>
      <c r="B950" s="68"/>
      <c r="C950" s="68"/>
      <c r="D950" s="70"/>
      <c r="E950" s="68"/>
      <c r="F950" s="68"/>
      <c r="G950" s="68"/>
      <c r="H950" s="35" t="str">
        <f t="shared" si="6"/>
        <v/>
      </c>
      <c r="I950" s="25" t="s">
        <v>927</v>
      </c>
    </row>
    <row r="951">
      <c r="A951" s="69"/>
      <c r="B951" s="68"/>
      <c r="C951" s="68"/>
      <c r="D951" s="70"/>
      <c r="E951" s="68"/>
      <c r="F951" s="68"/>
      <c r="G951" s="68"/>
      <c r="H951" s="35" t="str">
        <f t="shared" si="6"/>
        <v/>
      </c>
      <c r="I951" s="25" t="s">
        <v>927</v>
      </c>
    </row>
    <row r="952">
      <c r="A952" s="69"/>
      <c r="B952" s="68"/>
      <c r="C952" s="68"/>
      <c r="D952" s="70"/>
      <c r="E952" s="68"/>
      <c r="F952" s="68"/>
      <c r="G952" s="68"/>
      <c r="H952" s="35" t="str">
        <f t="shared" si="6"/>
        <v/>
      </c>
      <c r="I952" s="25" t="s">
        <v>927</v>
      </c>
    </row>
    <row r="953">
      <c r="A953" s="69"/>
      <c r="B953" s="68"/>
      <c r="C953" s="68"/>
      <c r="D953" s="70"/>
      <c r="E953" s="68"/>
      <c r="F953" s="68"/>
      <c r="G953" s="68"/>
      <c r="H953" s="35" t="str">
        <f t="shared" si="6"/>
        <v/>
      </c>
      <c r="I953" s="25" t="s">
        <v>927</v>
      </c>
    </row>
    <row r="954">
      <c r="A954" s="69"/>
      <c r="B954" s="68"/>
      <c r="C954" s="68"/>
      <c r="D954" s="70"/>
      <c r="E954" s="68"/>
      <c r="F954" s="68"/>
      <c r="G954" s="68"/>
      <c r="H954" s="35" t="str">
        <f t="shared" si="6"/>
        <v/>
      </c>
      <c r="I954" s="25" t="s">
        <v>927</v>
      </c>
    </row>
    <row r="955">
      <c r="A955" s="69"/>
      <c r="B955" s="68"/>
      <c r="C955" s="68"/>
      <c r="D955" s="70"/>
      <c r="E955" s="68"/>
      <c r="F955" s="68"/>
      <c r="G955" s="68"/>
      <c r="H955" s="35" t="str">
        <f t="shared" si="6"/>
        <v/>
      </c>
      <c r="I955" s="25" t="s">
        <v>927</v>
      </c>
    </row>
    <row r="956">
      <c r="A956" s="69"/>
      <c r="B956" s="68"/>
      <c r="C956" s="68"/>
      <c r="D956" s="70"/>
      <c r="E956" s="68"/>
      <c r="F956" s="68"/>
      <c r="G956" s="68"/>
      <c r="H956" s="35" t="str">
        <f t="shared" si="6"/>
        <v/>
      </c>
      <c r="I956" s="25" t="s">
        <v>927</v>
      </c>
    </row>
    <row r="957">
      <c r="A957" s="69"/>
      <c r="B957" s="68"/>
      <c r="C957" s="68"/>
      <c r="D957" s="70"/>
      <c r="E957" s="68"/>
      <c r="F957" s="68"/>
      <c r="G957" s="68"/>
      <c r="H957" s="35" t="str">
        <f t="shared" si="6"/>
        <v/>
      </c>
      <c r="I957" s="25" t="s">
        <v>927</v>
      </c>
    </row>
    <row r="958">
      <c r="A958" s="69"/>
      <c r="B958" s="68"/>
      <c r="C958" s="68"/>
      <c r="D958" s="70"/>
      <c r="E958" s="68"/>
      <c r="F958" s="68"/>
      <c r="G958" s="68"/>
      <c r="H958" s="35" t="str">
        <f t="shared" si="6"/>
        <v/>
      </c>
      <c r="I958" s="25" t="s">
        <v>927</v>
      </c>
    </row>
    <row r="959">
      <c r="A959" s="69"/>
      <c r="B959" s="68"/>
      <c r="C959" s="68"/>
      <c r="D959" s="70"/>
      <c r="E959" s="68"/>
      <c r="F959" s="68"/>
      <c r="G959" s="68"/>
      <c r="H959" s="35" t="str">
        <f t="shared" si="6"/>
        <v/>
      </c>
      <c r="I959" s="25" t="s">
        <v>927</v>
      </c>
    </row>
    <row r="960">
      <c r="A960" s="69"/>
      <c r="B960" s="68"/>
      <c r="C960" s="68"/>
      <c r="D960" s="70"/>
      <c r="E960" s="68"/>
      <c r="F960" s="68"/>
      <c r="G960" s="68"/>
      <c r="H960" s="35" t="str">
        <f t="shared" si="6"/>
        <v/>
      </c>
      <c r="I960" s="25" t="s">
        <v>927</v>
      </c>
    </row>
    <row r="961">
      <c r="A961" s="69"/>
      <c r="B961" s="68"/>
      <c r="C961" s="68"/>
      <c r="D961" s="70"/>
      <c r="E961" s="68"/>
      <c r="F961" s="68"/>
      <c r="G961" s="68"/>
      <c r="H961" s="35" t="str">
        <f t="shared" si="6"/>
        <v/>
      </c>
      <c r="I961" s="25" t="s">
        <v>927</v>
      </c>
    </row>
    <row r="962">
      <c r="A962" s="69"/>
      <c r="B962" s="68"/>
      <c r="C962" s="68"/>
      <c r="D962" s="70"/>
      <c r="E962" s="68"/>
      <c r="F962" s="68"/>
      <c r="G962" s="68"/>
      <c r="H962" s="35" t="str">
        <f t="shared" si="6"/>
        <v/>
      </c>
      <c r="I962" s="25" t="s">
        <v>927</v>
      </c>
    </row>
    <row r="963">
      <c r="A963" s="69"/>
      <c r="B963" s="68"/>
      <c r="C963" s="68"/>
      <c r="D963" s="70"/>
      <c r="E963" s="68"/>
      <c r="F963" s="68"/>
      <c r="G963" s="68"/>
      <c r="H963" s="35" t="str">
        <f t="shared" si="6"/>
        <v/>
      </c>
      <c r="I963" s="25" t="s">
        <v>927</v>
      </c>
    </row>
    <row r="964">
      <c r="A964" s="69"/>
      <c r="B964" s="68"/>
      <c r="C964" s="68"/>
      <c r="D964" s="70"/>
      <c r="E964" s="68"/>
      <c r="F964" s="68"/>
      <c r="G964" s="68"/>
      <c r="H964" s="35" t="str">
        <f t="shared" si="6"/>
        <v/>
      </c>
      <c r="I964" s="25" t="s">
        <v>927</v>
      </c>
    </row>
    <row r="965">
      <c r="A965" s="69"/>
      <c r="B965" s="68"/>
      <c r="C965" s="68"/>
      <c r="D965" s="70"/>
      <c r="E965" s="68"/>
      <c r="F965" s="68"/>
      <c r="G965" s="68"/>
      <c r="H965" s="35" t="str">
        <f t="shared" si="6"/>
        <v/>
      </c>
      <c r="I965" s="25" t="s">
        <v>927</v>
      </c>
    </row>
    <row r="966">
      <c r="A966" s="69"/>
      <c r="B966" s="68"/>
      <c r="C966" s="68"/>
      <c r="D966" s="70"/>
      <c r="E966" s="68"/>
      <c r="F966" s="68"/>
      <c r="G966" s="68"/>
      <c r="H966" s="35" t="str">
        <f t="shared" si="6"/>
        <v/>
      </c>
      <c r="I966" s="25" t="s">
        <v>927</v>
      </c>
    </row>
    <row r="967">
      <c r="A967" s="69"/>
      <c r="B967" s="68"/>
      <c r="C967" s="68"/>
      <c r="D967" s="70"/>
      <c r="E967" s="68"/>
      <c r="F967" s="68"/>
      <c r="G967" s="68"/>
      <c r="H967" s="35" t="str">
        <f t="shared" si="6"/>
        <v/>
      </c>
      <c r="I967" s="25" t="s">
        <v>927</v>
      </c>
    </row>
    <row r="968">
      <c r="A968" s="69"/>
      <c r="B968" s="68"/>
      <c r="C968" s="68"/>
      <c r="D968" s="70"/>
      <c r="E968" s="68"/>
      <c r="F968" s="68"/>
      <c r="G968" s="68"/>
      <c r="H968" s="35" t="str">
        <f t="shared" si="6"/>
        <v/>
      </c>
      <c r="I968" s="25" t="s">
        <v>927</v>
      </c>
    </row>
    <row r="969">
      <c r="A969" s="69"/>
      <c r="B969" s="68"/>
      <c r="C969" s="68"/>
      <c r="D969" s="70"/>
      <c r="E969" s="68"/>
      <c r="F969" s="68"/>
      <c r="G969" s="68"/>
      <c r="H969" s="35" t="str">
        <f t="shared" si="6"/>
        <v/>
      </c>
      <c r="I969" s="25" t="s">
        <v>927</v>
      </c>
    </row>
    <row r="970">
      <c r="A970" s="69"/>
      <c r="B970" s="68"/>
      <c r="C970" s="68"/>
      <c r="D970" s="70"/>
      <c r="E970" s="68"/>
      <c r="F970" s="68"/>
      <c r="G970" s="68"/>
      <c r="H970" s="35" t="str">
        <f t="shared" si="6"/>
        <v/>
      </c>
      <c r="I970" s="25" t="s">
        <v>927</v>
      </c>
    </row>
    <row r="971">
      <c r="A971" s="69"/>
      <c r="B971" s="68"/>
      <c r="C971" s="68"/>
      <c r="D971" s="70"/>
      <c r="E971" s="68"/>
      <c r="F971" s="68"/>
      <c r="G971" s="68"/>
      <c r="H971" s="35" t="str">
        <f t="shared" si="6"/>
        <v/>
      </c>
      <c r="I971" s="25" t="s">
        <v>927</v>
      </c>
    </row>
    <row r="972">
      <c r="A972" s="69"/>
      <c r="B972" s="68"/>
      <c r="C972" s="68"/>
      <c r="D972" s="70"/>
      <c r="E972" s="68"/>
      <c r="F972" s="68"/>
      <c r="G972" s="68"/>
      <c r="H972" s="35" t="str">
        <f t="shared" si="6"/>
        <v/>
      </c>
      <c r="I972" s="25" t="s">
        <v>927</v>
      </c>
    </row>
    <row r="973">
      <c r="A973" s="69"/>
      <c r="B973" s="68"/>
      <c r="C973" s="68"/>
      <c r="D973" s="70"/>
      <c r="E973" s="68"/>
      <c r="F973" s="68"/>
      <c r="G973" s="68"/>
      <c r="H973" s="35" t="str">
        <f t="shared" si="6"/>
        <v/>
      </c>
      <c r="I973" s="25" t="s">
        <v>927</v>
      </c>
    </row>
    <row r="974">
      <c r="A974" s="69"/>
      <c r="B974" s="68"/>
      <c r="C974" s="68"/>
      <c r="D974" s="70"/>
      <c r="E974" s="68"/>
      <c r="F974" s="68"/>
      <c r="G974" s="68"/>
      <c r="H974" s="35" t="str">
        <f t="shared" si="6"/>
        <v/>
      </c>
      <c r="I974" s="25" t="s">
        <v>927</v>
      </c>
    </row>
    <row r="975">
      <c r="A975" s="69"/>
      <c r="B975" s="68"/>
      <c r="C975" s="68"/>
      <c r="D975" s="70"/>
      <c r="E975" s="68"/>
      <c r="F975" s="68"/>
      <c r="G975" s="68"/>
      <c r="H975" s="35" t="str">
        <f t="shared" si="6"/>
        <v/>
      </c>
      <c r="I975" s="25" t="s">
        <v>927</v>
      </c>
    </row>
    <row r="976">
      <c r="A976" s="69"/>
      <c r="B976" s="68"/>
      <c r="C976" s="68"/>
      <c r="D976" s="70"/>
      <c r="E976" s="68"/>
      <c r="F976" s="68"/>
      <c r="G976" s="68"/>
      <c r="H976" s="35" t="str">
        <f t="shared" si="6"/>
        <v/>
      </c>
      <c r="I976" s="25" t="s">
        <v>927</v>
      </c>
    </row>
    <row r="977">
      <c r="A977" s="69"/>
      <c r="B977" s="68"/>
      <c r="C977" s="68"/>
      <c r="D977" s="70"/>
      <c r="E977" s="68"/>
      <c r="F977" s="68"/>
      <c r="G977" s="68"/>
      <c r="H977" s="35" t="str">
        <f t="shared" si="6"/>
        <v/>
      </c>
      <c r="I977" s="25" t="s">
        <v>927</v>
      </c>
    </row>
    <row r="978">
      <c r="A978" s="69"/>
      <c r="B978" s="68"/>
      <c r="C978" s="68"/>
      <c r="D978" s="70"/>
      <c r="E978" s="68"/>
      <c r="F978" s="68"/>
      <c r="G978" s="68"/>
      <c r="H978" s="35" t="str">
        <f t="shared" si="6"/>
        <v/>
      </c>
      <c r="I978" s="25" t="s">
        <v>927</v>
      </c>
    </row>
    <row r="979">
      <c r="A979" s="69"/>
      <c r="B979" s="68"/>
      <c r="C979" s="68"/>
      <c r="D979" s="70"/>
      <c r="E979" s="68"/>
      <c r="F979" s="68"/>
      <c r="G979" s="68"/>
      <c r="H979" s="35" t="str">
        <f t="shared" si="6"/>
        <v/>
      </c>
      <c r="I979" s="25" t="s">
        <v>927</v>
      </c>
    </row>
    <row r="980">
      <c r="A980" s="69"/>
      <c r="B980" s="68"/>
      <c r="C980" s="68"/>
      <c r="D980" s="70"/>
      <c r="E980" s="68"/>
      <c r="F980" s="68"/>
      <c r="G980" s="68"/>
      <c r="H980" s="35" t="str">
        <f t="shared" si="6"/>
        <v/>
      </c>
      <c r="I980" s="25" t="s">
        <v>927</v>
      </c>
    </row>
    <row r="981">
      <c r="A981" s="69"/>
      <c r="B981" s="68"/>
      <c r="C981" s="68"/>
      <c r="D981" s="70"/>
      <c r="E981" s="68"/>
      <c r="F981" s="68"/>
      <c r="G981" s="68"/>
      <c r="H981" s="35" t="str">
        <f t="shared" si="6"/>
        <v/>
      </c>
      <c r="I981" s="25" t="s">
        <v>927</v>
      </c>
    </row>
    <row r="982">
      <c r="A982" s="69"/>
      <c r="B982" s="68"/>
      <c r="C982" s="68"/>
      <c r="D982" s="70"/>
      <c r="E982" s="68"/>
      <c r="F982" s="68"/>
      <c r="G982" s="68"/>
      <c r="H982" s="35" t="str">
        <f t="shared" si="6"/>
        <v/>
      </c>
      <c r="I982" s="25" t="s">
        <v>927</v>
      </c>
    </row>
    <row r="983">
      <c r="A983" s="69"/>
      <c r="B983" s="68"/>
      <c r="C983" s="68"/>
      <c r="D983" s="70"/>
      <c r="E983" s="68"/>
      <c r="F983" s="68"/>
      <c r="G983" s="68"/>
      <c r="H983" s="35" t="str">
        <f t="shared" si="6"/>
        <v/>
      </c>
      <c r="I983" s="25" t="s">
        <v>927</v>
      </c>
    </row>
    <row r="984">
      <c r="A984" s="69"/>
      <c r="B984" s="68"/>
      <c r="C984" s="68"/>
      <c r="D984" s="70"/>
      <c r="E984" s="68"/>
      <c r="F984" s="68"/>
      <c r="G984" s="68"/>
      <c r="H984" s="35" t="str">
        <f t="shared" si="6"/>
        <v/>
      </c>
      <c r="I984" s="25" t="s">
        <v>927</v>
      </c>
    </row>
    <row r="985">
      <c r="A985" s="69"/>
      <c r="B985" s="68"/>
      <c r="C985" s="68"/>
      <c r="D985" s="70"/>
      <c r="E985" s="68"/>
      <c r="F985" s="68"/>
      <c r="G985" s="68"/>
      <c r="H985" s="35" t="str">
        <f t="shared" si="6"/>
        <v/>
      </c>
      <c r="I985" s="25" t="s">
        <v>927</v>
      </c>
    </row>
    <row r="986">
      <c r="A986" s="69"/>
      <c r="B986" s="68"/>
      <c r="C986" s="68"/>
      <c r="D986" s="70"/>
      <c r="E986" s="68"/>
      <c r="F986" s="68"/>
      <c r="G986" s="68"/>
      <c r="H986" s="35" t="str">
        <f t="shared" si="6"/>
        <v/>
      </c>
      <c r="I986" s="25" t="s">
        <v>927</v>
      </c>
    </row>
    <row r="987">
      <c r="A987" s="69"/>
      <c r="B987" s="68"/>
      <c r="C987" s="68"/>
      <c r="D987" s="70"/>
      <c r="E987" s="68"/>
      <c r="F987" s="68"/>
      <c r="G987" s="68"/>
      <c r="H987" s="35" t="str">
        <f t="shared" si="6"/>
        <v/>
      </c>
      <c r="I987" s="25" t="s">
        <v>927</v>
      </c>
    </row>
    <row r="988">
      <c r="A988" s="69"/>
      <c r="B988" s="68"/>
      <c r="C988" s="68"/>
      <c r="D988" s="70"/>
      <c r="E988" s="68"/>
      <c r="F988" s="68"/>
      <c r="G988" s="68"/>
      <c r="H988" s="35" t="str">
        <f t="shared" si="6"/>
        <v/>
      </c>
      <c r="I988" s="25" t="s">
        <v>927</v>
      </c>
    </row>
    <row r="989">
      <c r="A989" s="69"/>
      <c r="B989" s="68"/>
      <c r="C989" s="68"/>
      <c r="D989" s="70"/>
      <c r="E989" s="68"/>
      <c r="F989" s="68"/>
      <c r="G989" s="68"/>
      <c r="H989" s="35" t="str">
        <f t="shared" si="6"/>
        <v/>
      </c>
      <c r="I989" s="25" t="s">
        <v>927</v>
      </c>
    </row>
    <row r="990">
      <c r="A990" s="69"/>
      <c r="B990" s="68"/>
      <c r="C990" s="68"/>
      <c r="D990" s="70"/>
      <c r="E990" s="68"/>
      <c r="F990" s="68"/>
      <c r="G990" s="68"/>
      <c r="H990" s="35" t="str">
        <f t="shared" si="6"/>
        <v/>
      </c>
      <c r="I990" s="25" t="s">
        <v>927</v>
      </c>
    </row>
    <row r="991">
      <c r="A991" s="69"/>
      <c r="B991" s="68"/>
      <c r="C991" s="68"/>
      <c r="D991" s="70"/>
      <c r="E991" s="68"/>
      <c r="F991" s="68"/>
      <c r="G991" s="68"/>
      <c r="H991" s="35" t="str">
        <f t="shared" si="6"/>
        <v/>
      </c>
      <c r="I991" s="25" t="s">
        <v>927</v>
      </c>
    </row>
    <row r="992">
      <c r="A992" s="69"/>
      <c r="B992" s="68"/>
      <c r="C992" s="68"/>
      <c r="D992" s="70"/>
      <c r="E992" s="68"/>
      <c r="F992" s="68"/>
      <c r="G992" s="68"/>
      <c r="H992" s="35" t="str">
        <f t="shared" si="6"/>
        <v/>
      </c>
      <c r="I992" s="25" t="s">
        <v>927</v>
      </c>
    </row>
    <row r="993">
      <c r="A993" s="69"/>
      <c r="B993" s="68"/>
      <c r="C993" s="68"/>
      <c r="D993" s="70"/>
      <c r="E993" s="68"/>
      <c r="F993" s="68"/>
      <c r="G993" s="68"/>
      <c r="H993" s="35" t="str">
        <f t="shared" si="6"/>
        <v/>
      </c>
      <c r="I993" s="25" t="s">
        <v>927</v>
      </c>
    </row>
    <row r="994">
      <c r="A994" s="69"/>
      <c r="B994" s="68"/>
      <c r="C994" s="68"/>
      <c r="D994" s="70"/>
      <c r="E994" s="68"/>
      <c r="F994" s="68"/>
      <c r="G994" s="68"/>
      <c r="H994" s="35" t="str">
        <f t="shared" si="6"/>
        <v/>
      </c>
      <c r="I994" s="25" t="s">
        <v>927</v>
      </c>
    </row>
    <row r="995">
      <c r="A995" s="69"/>
      <c r="B995" s="68"/>
      <c r="C995" s="68"/>
      <c r="D995" s="70"/>
      <c r="E995" s="68"/>
      <c r="F995" s="68"/>
      <c r="G995" s="68"/>
      <c r="H995" s="35" t="str">
        <f t="shared" si="6"/>
        <v/>
      </c>
      <c r="I995" s="25" t="s">
        <v>927</v>
      </c>
    </row>
    <row r="996">
      <c r="A996" s="69"/>
      <c r="B996" s="68"/>
      <c r="C996" s="68"/>
      <c r="D996" s="70"/>
      <c r="E996" s="68"/>
      <c r="F996" s="68"/>
      <c r="G996" s="68"/>
      <c r="H996" s="35" t="str">
        <f t="shared" si="6"/>
        <v/>
      </c>
      <c r="I996" s="25" t="s">
        <v>927</v>
      </c>
    </row>
    <row r="997">
      <c r="A997" s="69"/>
      <c r="B997" s="68"/>
      <c r="C997" s="68"/>
      <c r="D997" s="70"/>
      <c r="E997" s="68"/>
      <c r="F997" s="68"/>
      <c r="G997" s="68"/>
      <c r="H997" s="35" t="str">
        <f t="shared" si="6"/>
        <v/>
      </c>
      <c r="I997" s="25" t="s">
        <v>927</v>
      </c>
    </row>
    <row r="998">
      <c r="A998" s="69"/>
      <c r="B998" s="68"/>
      <c r="C998" s="68"/>
      <c r="D998" s="70"/>
      <c r="E998" s="68"/>
      <c r="F998" s="68"/>
      <c r="G998" s="68"/>
      <c r="H998" s="35" t="str">
        <f t="shared" si="6"/>
        <v/>
      </c>
      <c r="I998" s="25" t="s">
        <v>927</v>
      </c>
    </row>
    <row r="999">
      <c r="A999" s="69"/>
      <c r="B999" s="68"/>
      <c r="C999" s="68"/>
      <c r="D999" s="70"/>
      <c r="E999" s="68"/>
      <c r="F999" s="68"/>
      <c r="G999" s="68"/>
      <c r="H999" s="35" t="str">
        <f t="shared" si="6"/>
        <v/>
      </c>
      <c r="I999" s="25" t="s">
        <v>927</v>
      </c>
    </row>
    <row r="1000">
      <c r="A1000" s="69"/>
      <c r="B1000" s="68"/>
      <c r="C1000" s="68"/>
      <c r="D1000" s="70"/>
      <c r="E1000" s="68"/>
      <c r="F1000" s="68"/>
      <c r="G1000" s="68"/>
      <c r="H1000" s="35" t="str">
        <f t="shared" si="6"/>
        <v/>
      </c>
      <c r="I1000" s="25" t="s">
        <v>927</v>
      </c>
    </row>
    <row r="1001">
      <c r="A1001" s="69"/>
      <c r="B1001" s="68"/>
      <c r="C1001" s="68"/>
      <c r="D1001" s="70"/>
      <c r="E1001" s="68"/>
      <c r="F1001" s="68"/>
      <c r="G1001" s="68"/>
      <c r="H1001" s="35" t="str">
        <f t="shared" si="6"/>
        <v/>
      </c>
      <c r="I1001" s="25" t="s">
        <v>927</v>
      </c>
    </row>
    <row r="1002">
      <c r="A1002" s="69"/>
      <c r="B1002" s="68"/>
      <c r="C1002" s="68"/>
      <c r="D1002" s="70"/>
      <c r="E1002" s="68"/>
      <c r="F1002" s="68"/>
      <c r="G1002" s="68"/>
      <c r="H1002" s="35" t="str">
        <f t="shared" si="6"/>
        <v/>
      </c>
      <c r="I1002" s="25" t="s">
        <v>927</v>
      </c>
    </row>
    <row r="1003">
      <c r="A1003" s="69"/>
      <c r="B1003" s="68"/>
      <c r="C1003" s="68"/>
      <c r="D1003" s="70"/>
      <c r="E1003" s="68"/>
      <c r="F1003" s="68"/>
      <c r="G1003" s="68"/>
      <c r="H1003" s="35" t="str">
        <f t="shared" si="6"/>
        <v/>
      </c>
      <c r="I1003" s="25" t="s">
        <v>927</v>
      </c>
    </row>
    <row r="1004">
      <c r="A1004" s="69"/>
      <c r="B1004" s="68"/>
      <c r="C1004" s="68"/>
      <c r="D1004" s="70"/>
      <c r="E1004" s="68"/>
      <c r="F1004" s="68"/>
      <c r="G1004" s="68"/>
      <c r="H1004" s="35" t="str">
        <f t="shared" si="6"/>
        <v/>
      </c>
      <c r="I1004" s="25" t="s">
        <v>927</v>
      </c>
    </row>
    <row r="1005">
      <c r="A1005" s="69"/>
      <c r="B1005" s="68"/>
      <c r="C1005" s="68"/>
      <c r="D1005" s="70"/>
      <c r="E1005" s="68"/>
      <c r="F1005" s="68"/>
      <c r="G1005" s="68"/>
      <c r="H1005" s="35" t="str">
        <f t="shared" si="6"/>
        <v/>
      </c>
      <c r="I1005" s="25" t="s">
        <v>927</v>
      </c>
    </row>
    <row r="1006">
      <c r="A1006" s="69"/>
      <c r="B1006" s="68"/>
      <c r="C1006" s="68"/>
      <c r="D1006" s="70"/>
      <c r="E1006" s="68"/>
      <c r="F1006" s="68"/>
      <c r="G1006" s="68"/>
      <c r="H1006" s="35" t="str">
        <f t="shared" si="6"/>
        <v/>
      </c>
      <c r="I1006" s="25" t="s">
        <v>927</v>
      </c>
    </row>
    <row r="1007">
      <c r="A1007" s="69"/>
      <c r="B1007" s="68"/>
      <c r="C1007" s="68"/>
      <c r="D1007" s="70"/>
      <c r="E1007" s="68"/>
      <c r="F1007" s="68"/>
      <c r="G1007" s="68"/>
      <c r="H1007" s="35" t="str">
        <f t="shared" si="6"/>
        <v/>
      </c>
      <c r="I1007" s="25" t="s">
        <v>927</v>
      </c>
    </row>
    <row r="1008">
      <c r="A1008" s="69"/>
      <c r="B1008" s="68"/>
      <c r="C1008" s="68"/>
      <c r="D1008" s="70"/>
      <c r="E1008" s="68"/>
      <c r="F1008" s="68"/>
      <c r="G1008" s="68"/>
      <c r="H1008" s="35" t="str">
        <f t="shared" si="6"/>
        <v/>
      </c>
      <c r="I1008" s="25" t="s">
        <v>927</v>
      </c>
    </row>
    <row r="1009">
      <c r="A1009" s="69"/>
      <c r="B1009" s="68"/>
      <c r="C1009" s="68"/>
      <c r="D1009" s="70"/>
      <c r="E1009" s="68"/>
      <c r="F1009" s="68"/>
      <c r="G1009" s="68"/>
      <c r="H1009" s="35" t="str">
        <f t="shared" si="6"/>
        <v/>
      </c>
      <c r="I1009" s="25" t="s">
        <v>927</v>
      </c>
    </row>
    <row r="1010">
      <c r="A1010" s="69"/>
      <c r="B1010" s="68"/>
      <c r="C1010" s="68"/>
      <c r="D1010" s="70"/>
      <c r="E1010" s="68"/>
      <c r="F1010" s="68"/>
      <c r="G1010" s="68"/>
      <c r="H1010" s="35" t="str">
        <f t="shared" si="6"/>
        <v/>
      </c>
      <c r="I1010" s="25" t="s">
        <v>927</v>
      </c>
    </row>
    <row r="1011">
      <c r="A1011" s="69"/>
      <c r="B1011" s="68"/>
      <c r="C1011" s="68"/>
      <c r="D1011" s="70"/>
      <c r="E1011" s="68"/>
      <c r="F1011" s="68"/>
      <c r="G1011" s="68"/>
      <c r="H1011" s="35" t="str">
        <f t="shared" si="6"/>
        <v/>
      </c>
      <c r="I1011" s="25" t="s">
        <v>927</v>
      </c>
    </row>
    <row r="1012">
      <c r="A1012" s="69"/>
      <c r="B1012" s="68"/>
      <c r="C1012" s="68"/>
      <c r="D1012" s="70"/>
      <c r="E1012" s="68"/>
      <c r="F1012" s="68"/>
      <c r="G1012" s="68"/>
      <c r="H1012" s="35" t="str">
        <f t="shared" si="6"/>
        <v/>
      </c>
      <c r="I1012" s="25" t="s">
        <v>927</v>
      </c>
    </row>
    <row r="1013">
      <c r="A1013" s="69"/>
      <c r="B1013" s="68"/>
      <c r="C1013" s="68"/>
      <c r="D1013" s="70"/>
      <c r="E1013" s="68"/>
      <c r="F1013" s="68"/>
      <c r="G1013" s="68"/>
      <c r="H1013" s="35" t="str">
        <f t="shared" si="6"/>
        <v/>
      </c>
      <c r="I1013" s="25" t="s">
        <v>927</v>
      </c>
    </row>
    <row r="1014">
      <c r="A1014" s="69"/>
      <c r="B1014" s="68"/>
      <c r="C1014" s="68"/>
      <c r="D1014" s="70"/>
      <c r="E1014" s="68"/>
      <c r="F1014" s="68"/>
      <c r="G1014" s="68"/>
      <c r="H1014" s="35" t="str">
        <f t="shared" si="6"/>
        <v/>
      </c>
      <c r="I1014" s="25" t="s">
        <v>927</v>
      </c>
    </row>
    <row r="1015">
      <c r="A1015" s="69"/>
      <c r="B1015" s="68"/>
      <c r="C1015" s="68"/>
      <c r="D1015" s="70"/>
      <c r="E1015" s="68"/>
      <c r="F1015" s="68"/>
      <c r="G1015" s="68"/>
      <c r="H1015" s="35" t="str">
        <f t="shared" si="6"/>
        <v/>
      </c>
      <c r="I1015" s="25" t="s">
        <v>927</v>
      </c>
    </row>
    <row r="1016">
      <c r="A1016" s="69"/>
      <c r="B1016" s="68"/>
      <c r="C1016" s="68"/>
      <c r="D1016" s="70"/>
      <c r="E1016" s="68"/>
      <c r="F1016" s="68"/>
      <c r="G1016" s="68"/>
      <c r="H1016" s="35" t="str">
        <f t="shared" si="6"/>
        <v/>
      </c>
      <c r="I1016" s="25" t="s">
        <v>927</v>
      </c>
    </row>
    <row r="1017">
      <c r="A1017" s="69"/>
      <c r="B1017" s="68"/>
      <c r="C1017" s="68"/>
      <c r="D1017" s="70"/>
      <c r="E1017" s="68"/>
      <c r="F1017" s="68"/>
      <c r="G1017" s="68"/>
      <c r="H1017" s="35" t="str">
        <f t="shared" si="6"/>
        <v/>
      </c>
      <c r="I1017" s="25" t="s">
        <v>927</v>
      </c>
    </row>
    <row r="1018">
      <c r="A1018" s="69"/>
      <c r="B1018" s="68"/>
      <c r="C1018" s="68"/>
      <c r="D1018" s="70"/>
      <c r="E1018" s="68"/>
      <c r="F1018" s="68"/>
      <c r="G1018" s="68"/>
      <c r="H1018" s="35" t="str">
        <f t="shared" si="6"/>
        <v/>
      </c>
      <c r="I1018" s="25" t="s">
        <v>927</v>
      </c>
    </row>
    <row r="1019">
      <c r="A1019" s="69"/>
      <c r="B1019" s="68"/>
      <c r="C1019" s="68"/>
      <c r="D1019" s="70"/>
      <c r="E1019" s="68"/>
      <c r="F1019" s="68"/>
      <c r="G1019" s="68"/>
      <c r="H1019" s="35" t="str">
        <f t="shared" si="6"/>
        <v/>
      </c>
      <c r="I1019" s="25" t="s">
        <v>927</v>
      </c>
    </row>
    <row r="1020">
      <c r="A1020" s="69"/>
      <c r="B1020" s="68"/>
      <c r="C1020" s="68"/>
      <c r="D1020" s="70"/>
      <c r="E1020" s="68"/>
      <c r="F1020" s="68"/>
      <c r="G1020" s="68"/>
      <c r="H1020" s="35" t="str">
        <f t="shared" si="6"/>
        <v/>
      </c>
      <c r="I1020" s="25" t="s">
        <v>927</v>
      </c>
    </row>
    <row r="1021">
      <c r="A1021" s="69"/>
      <c r="B1021" s="68"/>
      <c r="C1021" s="68"/>
      <c r="D1021" s="70"/>
      <c r="E1021" s="68"/>
      <c r="F1021" s="68"/>
      <c r="G1021" s="68"/>
      <c r="H1021" s="35" t="str">
        <f t="shared" si="6"/>
        <v/>
      </c>
      <c r="I1021" s="25" t="s">
        <v>927</v>
      </c>
    </row>
    <row r="1022">
      <c r="A1022" s="69"/>
      <c r="B1022" s="68"/>
      <c r="C1022" s="68"/>
      <c r="D1022" s="70"/>
      <c r="E1022" s="68"/>
      <c r="F1022" s="68"/>
      <c r="G1022" s="68"/>
      <c r="H1022" s="35" t="str">
        <f t="shared" si="6"/>
        <v/>
      </c>
      <c r="I1022" s="25" t="s">
        <v>927</v>
      </c>
    </row>
    <row r="1023">
      <c r="A1023" s="69"/>
      <c r="B1023" s="68"/>
      <c r="C1023" s="68"/>
      <c r="D1023" s="70"/>
      <c r="E1023" s="68"/>
      <c r="F1023" s="68"/>
      <c r="G1023" s="68"/>
      <c r="H1023" s="35" t="str">
        <f t="shared" si="6"/>
        <v/>
      </c>
      <c r="I1023" s="25" t="s">
        <v>927</v>
      </c>
    </row>
    <row r="1024">
      <c r="A1024" s="69"/>
      <c r="B1024" s="68"/>
      <c r="C1024" s="68"/>
      <c r="D1024" s="70"/>
      <c r="E1024" s="68"/>
      <c r="F1024" s="68"/>
      <c r="G1024" s="68"/>
      <c r="H1024" s="35" t="str">
        <f t="shared" si="6"/>
        <v/>
      </c>
      <c r="I1024" s="25" t="s">
        <v>927</v>
      </c>
    </row>
    <row r="1025">
      <c r="A1025" s="69"/>
      <c r="B1025" s="68"/>
      <c r="C1025" s="68"/>
      <c r="D1025" s="70"/>
      <c r="E1025" s="68"/>
      <c r="F1025" s="68"/>
      <c r="G1025" s="68"/>
      <c r="H1025" s="35" t="str">
        <f t="shared" si="6"/>
        <v/>
      </c>
      <c r="I1025" s="25" t="s">
        <v>927</v>
      </c>
    </row>
    <row r="1026">
      <c r="A1026" s="69"/>
      <c r="B1026" s="68"/>
      <c r="C1026" s="68"/>
      <c r="D1026" s="70"/>
      <c r="E1026" s="68"/>
      <c r="F1026" s="68"/>
      <c r="G1026" s="68"/>
      <c r="H1026" s="35" t="str">
        <f t="shared" si="6"/>
        <v/>
      </c>
      <c r="I1026" s="25" t="s">
        <v>927</v>
      </c>
    </row>
    <row r="1027">
      <c r="A1027" s="69"/>
      <c r="B1027" s="68"/>
      <c r="C1027" s="68"/>
      <c r="D1027" s="70"/>
      <c r="E1027" s="68"/>
      <c r="F1027" s="68"/>
      <c r="G1027" s="68"/>
      <c r="H1027" s="35" t="str">
        <f t="shared" si="6"/>
        <v/>
      </c>
      <c r="I1027" s="25" t="s">
        <v>927</v>
      </c>
    </row>
    <row r="1028">
      <c r="A1028" s="69"/>
      <c r="B1028" s="68"/>
      <c r="C1028" s="68"/>
      <c r="D1028" s="70"/>
      <c r="E1028" s="68"/>
      <c r="F1028" s="68"/>
      <c r="G1028" s="68"/>
      <c r="H1028" s="35" t="str">
        <f t="shared" si="6"/>
        <v/>
      </c>
      <c r="I1028" s="25" t="s">
        <v>927</v>
      </c>
    </row>
    <row r="1029">
      <c r="A1029" s="69"/>
      <c r="B1029" s="68"/>
      <c r="C1029" s="68"/>
      <c r="D1029" s="70"/>
      <c r="E1029" s="68"/>
      <c r="F1029" s="68"/>
      <c r="G1029" s="68"/>
      <c r="H1029" s="35" t="str">
        <f t="shared" si="6"/>
        <v/>
      </c>
      <c r="I1029" s="25" t="s">
        <v>927</v>
      </c>
    </row>
    <row r="1030">
      <c r="A1030" s="69"/>
      <c r="B1030" s="68"/>
      <c r="C1030" s="68"/>
      <c r="D1030" s="70"/>
      <c r="E1030" s="68"/>
      <c r="F1030" s="68"/>
      <c r="G1030" s="68"/>
      <c r="H1030" s="35" t="str">
        <f t="shared" si="6"/>
        <v/>
      </c>
      <c r="I1030" s="25" t="s">
        <v>927</v>
      </c>
    </row>
    <row r="1031">
      <c r="A1031" s="69"/>
      <c r="B1031" s="68"/>
      <c r="C1031" s="68"/>
      <c r="D1031" s="70"/>
      <c r="E1031" s="68"/>
      <c r="F1031" s="68"/>
      <c r="G1031" s="68"/>
      <c r="H1031" s="35" t="str">
        <f t="shared" si="6"/>
        <v/>
      </c>
      <c r="I1031" s="25" t="s">
        <v>927</v>
      </c>
    </row>
    <row r="1032">
      <c r="A1032" s="69"/>
      <c r="B1032" s="68"/>
      <c r="C1032" s="68"/>
      <c r="D1032" s="70"/>
      <c r="E1032" s="68"/>
      <c r="F1032" s="68"/>
      <c r="G1032" s="68"/>
      <c r="H1032" s="35" t="str">
        <f t="shared" si="6"/>
        <v/>
      </c>
      <c r="I1032" s="25" t="s">
        <v>927</v>
      </c>
    </row>
    <row r="1033">
      <c r="A1033" s="69"/>
      <c r="B1033" s="68"/>
      <c r="C1033" s="68"/>
      <c r="D1033" s="70"/>
      <c r="E1033" s="68"/>
      <c r="F1033" s="68"/>
      <c r="G1033" s="68"/>
      <c r="H1033" s="35" t="str">
        <f t="shared" si="6"/>
        <v/>
      </c>
      <c r="I1033" s="25" t="s">
        <v>927</v>
      </c>
    </row>
    <row r="1034">
      <c r="A1034" s="69"/>
      <c r="B1034" s="68"/>
      <c r="C1034" s="68"/>
      <c r="D1034" s="70"/>
      <c r="E1034" s="68"/>
      <c r="F1034" s="68"/>
      <c r="G1034" s="68"/>
      <c r="H1034" s="35" t="str">
        <f t="shared" si="6"/>
        <v/>
      </c>
      <c r="I1034" s="25" t="s">
        <v>927</v>
      </c>
    </row>
    <row r="1035">
      <c r="A1035" s="69"/>
      <c r="B1035" s="68"/>
      <c r="C1035" s="68"/>
      <c r="D1035" s="70"/>
      <c r="E1035" s="68"/>
      <c r="F1035" s="68"/>
      <c r="G1035" s="68"/>
      <c r="H1035" s="35" t="str">
        <f t="shared" si="6"/>
        <v/>
      </c>
      <c r="I1035" s="25" t="s">
        <v>927</v>
      </c>
    </row>
    <row r="1036">
      <c r="A1036" s="69"/>
      <c r="B1036" s="68"/>
      <c r="C1036" s="68"/>
      <c r="D1036" s="70"/>
      <c r="E1036" s="68"/>
      <c r="F1036" s="68"/>
      <c r="G1036" s="68"/>
      <c r="H1036" s="35" t="str">
        <f t="shared" si="6"/>
        <v/>
      </c>
      <c r="I1036" s="25" t="s">
        <v>927</v>
      </c>
    </row>
    <row r="1037">
      <c r="A1037" s="69"/>
      <c r="B1037" s="68"/>
      <c r="C1037" s="68"/>
      <c r="D1037" s="70"/>
      <c r="E1037" s="68"/>
      <c r="F1037" s="68"/>
      <c r="G1037" s="68"/>
      <c r="H1037" s="35" t="str">
        <f t="shared" si="6"/>
        <v/>
      </c>
      <c r="I1037" s="25" t="s">
        <v>927</v>
      </c>
    </row>
    <row r="1038">
      <c r="A1038" s="69"/>
      <c r="B1038" s="68"/>
      <c r="C1038" s="68"/>
      <c r="D1038" s="70"/>
      <c r="E1038" s="68"/>
      <c r="F1038" s="68"/>
      <c r="G1038" s="68"/>
      <c r="H1038" s="35" t="str">
        <f t="shared" si="6"/>
        <v/>
      </c>
      <c r="I1038" s="25" t="s">
        <v>927</v>
      </c>
    </row>
    <row r="1039">
      <c r="A1039" s="69"/>
      <c r="B1039" s="68"/>
      <c r="C1039" s="68"/>
      <c r="D1039" s="70"/>
      <c r="E1039" s="68"/>
      <c r="F1039" s="68"/>
      <c r="G1039" s="68"/>
      <c r="H1039" s="35" t="str">
        <f t="shared" si="6"/>
        <v/>
      </c>
      <c r="I1039" s="25" t="s">
        <v>927</v>
      </c>
    </row>
    <row r="1040">
      <c r="A1040" s="69"/>
      <c r="B1040" s="68"/>
      <c r="C1040" s="68"/>
      <c r="D1040" s="70"/>
      <c r="E1040" s="68"/>
      <c r="F1040" s="68"/>
      <c r="G1040" s="68"/>
      <c r="H1040" s="35" t="str">
        <f t="shared" si="6"/>
        <v/>
      </c>
      <c r="I1040" s="25" t="s">
        <v>927</v>
      </c>
    </row>
    <row r="1041">
      <c r="A1041" s="69"/>
      <c r="B1041" s="68"/>
      <c r="C1041" s="68"/>
      <c r="D1041" s="70"/>
      <c r="E1041" s="68"/>
      <c r="F1041" s="68"/>
      <c r="G1041" s="68"/>
      <c r="H1041" s="35" t="str">
        <f t="shared" si="6"/>
        <v/>
      </c>
      <c r="I1041" s="25" t="s">
        <v>927</v>
      </c>
    </row>
    <row r="1042">
      <c r="A1042" s="69"/>
      <c r="B1042" s="68"/>
      <c r="C1042" s="68"/>
      <c r="D1042" s="70"/>
      <c r="E1042" s="68"/>
      <c r="F1042" s="68"/>
      <c r="G1042" s="68"/>
      <c r="H1042" s="35" t="str">
        <f t="shared" si="6"/>
        <v/>
      </c>
      <c r="I1042" s="25" t="s">
        <v>927</v>
      </c>
    </row>
    <row r="1043">
      <c r="A1043" s="69"/>
      <c r="B1043" s="68"/>
      <c r="C1043" s="68"/>
      <c r="D1043" s="70"/>
      <c r="E1043" s="68"/>
      <c r="F1043" s="68"/>
      <c r="G1043" s="68"/>
      <c r="H1043" s="35" t="str">
        <f t="shared" si="6"/>
        <v/>
      </c>
      <c r="I1043" s="25" t="s">
        <v>927</v>
      </c>
    </row>
    <row r="1044">
      <c r="A1044" s="69"/>
      <c r="B1044" s="68"/>
      <c r="C1044" s="68"/>
      <c r="D1044" s="70"/>
      <c r="E1044" s="68"/>
      <c r="F1044" s="68"/>
      <c r="G1044" s="68"/>
      <c r="H1044" s="35" t="str">
        <f t="shared" si="6"/>
        <v/>
      </c>
      <c r="I1044" s="25" t="s">
        <v>927</v>
      </c>
    </row>
    <row r="1045">
      <c r="A1045" s="69"/>
      <c r="B1045" s="68"/>
      <c r="C1045" s="68"/>
      <c r="D1045" s="70"/>
      <c r="E1045" s="68"/>
      <c r="F1045" s="68"/>
      <c r="G1045" s="68"/>
      <c r="H1045" s="35" t="str">
        <f t="shared" si="6"/>
        <v/>
      </c>
      <c r="I1045" s="25" t="s">
        <v>927</v>
      </c>
    </row>
    <row r="1046">
      <c r="A1046" s="69"/>
      <c r="B1046" s="68"/>
      <c r="C1046" s="68"/>
      <c r="D1046" s="70"/>
      <c r="E1046" s="68"/>
      <c r="F1046" s="68"/>
      <c r="G1046" s="68"/>
      <c r="H1046" s="35" t="str">
        <f t="shared" si="6"/>
        <v/>
      </c>
      <c r="I1046" s="25" t="s">
        <v>927</v>
      </c>
    </row>
    <row r="1047">
      <c r="A1047" s="69"/>
      <c r="B1047" s="68"/>
      <c r="C1047" s="68"/>
      <c r="D1047" s="70"/>
      <c r="E1047" s="68"/>
      <c r="F1047" s="68"/>
      <c r="G1047" s="68"/>
      <c r="H1047" s="35" t="str">
        <f t="shared" si="6"/>
        <v/>
      </c>
      <c r="I1047" s="25" t="s">
        <v>927</v>
      </c>
    </row>
    <row r="1048">
      <c r="A1048" s="69"/>
      <c r="B1048" s="68"/>
      <c r="C1048" s="68"/>
      <c r="D1048" s="70"/>
      <c r="E1048" s="68"/>
      <c r="F1048" s="68"/>
      <c r="G1048" s="68"/>
      <c r="H1048" s="35" t="str">
        <f t="shared" si="6"/>
        <v/>
      </c>
      <c r="I1048" s="25" t="s">
        <v>927</v>
      </c>
    </row>
    <row r="1049">
      <c r="A1049" s="69"/>
      <c r="B1049" s="68"/>
      <c r="C1049" s="68"/>
      <c r="D1049" s="70"/>
      <c r="E1049" s="68"/>
      <c r="F1049" s="68"/>
      <c r="G1049" s="68"/>
      <c r="H1049" s="35" t="str">
        <f t="shared" si="6"/>
        <v/>
      </c>
      <c r="I1049" s="25" t="s">
        <v>927</v>
      </c>
    </row>
    <row r="1050">
      <c r="A1050" s="69"/>
      <c r="B1050" s="68"/>
      <c r="C1050" s="68"/>
      <c r="D1050" s="70"/>
      <c r="E1050" s="68"/>
      <c r="F1050" s="68"/>
      <c r="G1050" s="68"/>
      <c r="H1050" s="35" t="str">
        <f t="shared" si="6"/>
        <v/>
      </c>
      <c r="I1050" s="25" t="s">
        <v>927</v>
      </c>
    </row>
    <row r="1051">
      <c r="A1051" s="69"/>
      <c r="B1051" s="68"/>
      <c r="C1051" s="68"/>
      <c r="D1051" s="70"/>
      <c r="E1051" s="68"/>
      <c r="F1051" s="68"/>
      <c r="G1051" s="68"/>
      <c r="H1051" s="35" t="str">
        <f t="shared" si="6"/>
        <v/>
      </c>
      <c r="I1051" s="25" t="s">
        <v>927</v>
      </c>
    </row>
    <row r="1052">
      <c r="A1052" s="69"/>
      <c r="B1052" s="68"/>
      <c r="C1052" s="68"/>
      <c r="D1052" s="70"/>
      <c r="E1052" s="68"/>
      <c r="F1052" s="68"/>
      <c r="G1052" s="68"/>
      <c r="H1052" s="35" t="str">
        <f t="shared" si="6"/>
        <v/>
      </c>
      <c r="I1052" s="25" t="s">
        <v>927</v>
      </c>
    </row>
    <row r="1053">
      <c r="A1053" s="69"/>
      <c r="B1053" s="68"/>
      <c r="C1053" s="68"/>
      <c r="D1053" s="70"/>
      <c r="E1053" s="68"/>
      <c r="F1053" s="68"/>
      <c r="G1053" s="68"/>
      <c r="H1053" s="35" t="str">
        <f t="shared" si="6"/>
        <v/>
      </c>
      <c r="I1053" s="25" t="s">
        <v>927</v>
      </c>
    </row>
    <row r="1054">
      <c r="A1054" s="69"/>
      <c r="B1054" s="68"/>
      <c r="C1054" s="68"/>
      <c r="D1054" s="70"/>
      <c r="E1054" s="68"/>
      <c r="F1054" s="68"/>
      <c r="G1054" s="68"/>
      <c r="H1054" s="35" t="str">
        <f t="shared" si="6"/>
        <v/>
      </c>
      <c r="I1054" s="25" t="s">
        <v>927</v>
      </c>
    </row>
    <row r="1055">
      <c r="A1055" s="69"/>
      <c r="B1055" s="68"/>
      <c r="C1055" s="68"/>
      <c r="D1055" s="70"/>
      <c r="E1055" s="68"/>
      <c r="F1055" s="68"/>
      <c r="G1055" s="68"/>
      <c r="H1055" s="35" t="str">
        <f t="shared" si="6"/>
        <v/>
      </c>
      <c r="I1055" s="25" t="s">
        <v>927</v>
      </c>
    </row>
    <row r="1056">
      <c r="A1056" s="69"/>
      <c r="B1056" s="68"/>
      <c r="C1056" s="68"/>
      <c r="D1056" s="70"/>
      <c r="E1056" s="68"/>
      <c r="F1056" s="68"/>
      <c r="G1056" s="68"/>
      <c r="H1056" s="35" t="str">
        <f t="shared" si="6"/>
        <v/>
      </c>
      <c r="I1056" s="25" t="s">
        <v>927</v>
      </c>
    </row>
    <row r="1057">
      <c r="A1057" s="69"/>
      <c r="B1057" s="68"/>
      <c r="C1057" s="68"/>
      <c r="D1057" s="70"/>
      <c r="E1057" s="68"/>
      <c r="F1057" s="68"/>
      <c r="G1057" s="68"/>
      <c r="H1057" s="35" t="str">
        <f t="shared" si="6"/>
        <v/>
      </c>
      <c r="I1057" s="25" t="s">
        <v>927</v>
      </c>
    </row>
    <row r="1058">
      <c r="A1058" s="69"/>
      <c r="B1058" s="68"/>
      <c r="C1058" s="68"/>
      <c r="D1058" s="70"/>
      <c r="E1058" s="68"/>
      <c r="F1058" s="68"/>
      <c r="G1058" s="68"/>
      <c r="H1058" s="35" t="str">
        <f t="shared" si="6"/>
        <v/>
      </c>
      <c r="I1058" s="25" t="s">
        <v>927</v>
      </c>
    </row>
    <row r="1059">
      <c r="A1059" s="69"/>
      <c r="B1059" s="68"/>
      <c r="C1059" s="68"/>
      <c r="D1059" s="70"/>
      <c r="E1059" s="68"/>
      <c r="F1059" s="68"/>
      <c r="G1059" s="68"/>
      <c r="H1059" s="35" t="str">
        <f t="shared" si="6"/>
        <v/>
      </c>
      <c r="I1059" s="25" t="s">
        <v>927</v>
      </c>
    </row>
    <row r="1060">
      <c r="A1060" s="69"/>
      <c r="B1060" s="68"/>
      <c r="C1060" s="68"/>
      <c r="D1060" s="70"/>
      <c r="E1060" s="68"/>
      <c r="F1060" s="68"/>
      <c r="G1060" s="68"/>
      <c r="H1060" s="35" t="str">
        <f t="shared" si="6"/>
        <v/>
      </c>
      <c r="I1060" s="25" t="s">
        <v>927</v>
      </c>
    </row>
    <row r="1061">
      <c r="A1061" s="69"/>
      <c r="B1061" s="68"/>
      <c r="C1061" s="68"/>
      <c r="D1061" s="70"/>
      <c r="E1061" s="68"/>
      <c r="F1061" s="68"/>
      <c r="G1061" s="68"/>
      <c r="H1061" s="35" t="str">
        <f t="shared" si="6"/>
        <v/>
      </c>
      <c r="I1061" s="25" t="s">
        <v>927</v>
      </c>
    </row>
    <row r="1062">
      <c r="A1062" s="69"/>
      <c r="B1062" s="68"/>
      <c r="C1062" s="68"/>
      <c r="D1062" s="70"/>
      <c r="E1062" s="68"/>
      <c r="F1062" s="68"/>
      <c r="G1062" s="68"/>
      <c r="H1062" s="35" t="str">
        <f t="shared" si="6"/>
        <v/>
      </c>
      <c r="I1062" s="25" t="s">
        <v>927</v>
      </c>
    </row>
    <row r="1063">
      <c r="A1063" s="69"/>
      <c r="B1063" s="68"/>
      <c r="C1063" s="68"/>
      <c r="D1063" s="70"/>
      <c r="E1063" s="68"/>
      <c r="F1063" s="68"/>
      <c r="G1063" s="68"/>
      <c r="H1063" s="35" t="str">
        <f t="shared" si="6"/>
        <v/>
      </c>
      <c r="I1063" s="25" t="s">
        <v>927</v>
      </c>
    </row>
    <row r="1064">
      <c r="A1064" s="69"/>
      <c r="B1064" s="68"/>
      <c r="C1064" s="68"/>
      <c r="D1064" s="70"/>
      <c r="E1064" s="68"/>
      <c r="F1064" s="68"/>
      <c r="G1064" s="68"/>
      <c r="H1064" s="35" t="str">
        <f t="shared" si="6"/>
        <v/>
      </c>
      <c r="I1064" s="25" t="s">
        <v>927</v>
      </c>
    </row>
    <row r="1065">
      <c r="A1065" s="69"/>
      <c r="B1065" s="68"/>
      <c r="C1065" s="68"/>
      <c r="D1065" s="70"/>
      <c r="E1065" s="68"/>
      <c r="F1065" s="68"/>
      <c r="G1065" s="68"/>
      <c r="H1065" s="35" t="str">
        <f t="shared" si="6"/>
        <v/>
      </c>
      <c r="I1065" s="25" t="s">
        <v>927</v>
      </c>
    </row>
    <row r="1066">
      <c r="A1066" s="69"/>
      <c r="B1066" s="68"/>
      <c r="C1066" s="68"/>
      <c r="D1066" s="70"/>
      <c r="E1066" s="68"/>
      <c r="F1066" s="68"/>
      <c r="G1066" s="68"/>
      <c r="H1066" s="35" t="str">
        <f t="shared" si="6"/>
        <v/>
      </c>
      <c r="I1066" s="25" t="s">
        <v>927</v>
      </c>
    </row>
    <row r="1067">
      <c r="A1067" s="69"/>
      <c r="B1067" s="68"/>
      <c r="C1067" s="68"/>
      <c r="D1067" s="70"/>
      <c r="E1067" s="68"/>
      <c r="F1067" s="68"/>
      <c r="G1067" s="68"/>
      <c r="H1067" s="35" t="str">
        <f t="shared" si="6"/>
        <v/>
      </c>
      <c r="I1067" s="25" t="s">
        <v>927</v>
      </c>
    </row>
    <row r="1068">
      <c r="A1068" s="69"/>
      <c r="B1068" s="68"/>
      <c r="C1068" s="68"/>
      <c r="D1068" s="70"/>
      <c r="E1068" s="68"/>
      <c r="F1068" s="68"/>
      <c r="G1068" s="68"/>
      <c r="H1068" s="35" t="str">
        <f t="shared" si="6"/>
        <v/>
      </c>
      <c r="I1068" s="25" t="s">
        <v>927</v>
      </c>
    </row>
    <row r="1069">
      <c r="A1069" s="69"/>
      <c r="B1069" s="68"/>
      <c r="C1069" s="68"/>
      <c r="D1069" s="70"/>
      <c r="E1069" s="68"/>
      <c r="F1069" s="68"/>
      <c r="G1069" s="68"/>
      <c r="H1069" s="35" t="str">
        <f t="shared" si="6"/>
        <v/>
      </c>
      <c r="I1069" s="25" t="s">
        <v>927</v>
      </c>
    </row>
    <row r="1070">
      <c r="A1070" s="69"/>
      <c r="B1070" s="68"/>
      <c r="C1070" s="68"/>
      <c r="D1070" s="70"/>
      <c r="E1070" s="68"/>
      <c r="F1070" s="68"/>
      <c r="G1070" s="68"/>
      <c r="H1070" s="35" t="str">
        <f t="shared" si="6"/>
        <v/>
      </c>
      <c r="I1070" s="25" t="s">
        <v>927</v>
      </c>
    </row>
    <row r="1071">
      <c r="A1071" s="69"/>
      <c r="B1071" s="68"/>
      <c r="C1071" s="68"/>
      <c r="D1071" s="70"/>
      <c r="E1071" s="68"/>
      <c r="F1071" s="68"/>
      <c r="G1071" s="68"/>
      <c r="H1071" s="35" t="str">
        <f t="shared" si="6"/>
        <v/>
      </c>
      <c r="I1071" s="25" t="s">
        <v>927</v>
      </c>
    </row>
    <row r="1072">
      <c r="A1072" s="69"/>
      <c r="B1072" s="68"/>
      <c r="C1072" s="68"/>
      <c r="D1072" s="70"/>
      <c r="E1072" s="68"/>
      <c r="F1072" s="68"/>
      <c r="G1072" s="68"/>
      <c r="H1072" s="35" t="str">
        <f t="shared" si="6"/>
        <v/>
      </c>
      <c r="I1072" s="25" t="s">
        <v>927</v>
      </c>
    </row>
    <row r="1073">
      <c r="A1073" s="69"/>
      <c r="B1073" s="68"/>
      <c r="C1073" s="68"/>
      <c r="D1073" s="70"/>
      <c r="E1073" s="68"/>
      <c r="F1073" s="68"/>
      <c r="G1073" s="68"/>
      <c r="H1073" s="35" t="str">
        <f t="shared" si="6"/>
        <v/>
      </c>
      <c r="I1073" s="25" t="s">
        <v>927</v>
      </c>
    </row>
    <row r="1074">
      <c r="A1074" s="69"/>
      <c r="B1074" s="68"/>
      <c r="C1074" s="68"/>
      <c r="D1074" s="70"/>
      <c r="E1074" s="68"/>
      <c r="F1074" s="68"/>
      <c r="G1074" s="68"/>
      <c r="H1074" s="35" t="str">
        <f t="shared" si="6"/>
        <v/>
      </c>
      <c r="I1074" s="25" t="s">
        <v>927</v>
      </c>
    </row>
    <row r="1075">
      <c r="A1075" s="69"/>
      <c r="B1075" s="68"/>
      <c r="C1075" s="68"/>
      <c r="D1075" s="70"/>
      <c r="E1075" s="68"/>
      <c r="F1075" s="68"/>
      <c r="G1075" s="68"/>
      <c r="H1075" s="35" t="str">
        <f t="shared" si="6"/>
        <v/>
      </c>
      <c r="I1075" s="25" t="s">
        <v>927</v>
      </c>
    </row>
    <row r="1076">
      <c r="A1076" s="69"/>
      <c r="B1076" s="68"/>
      <c r="C1076" s="68"/>
      <c r="D1076" s="70"/>
      <c r="E1076" s="68"/>
      <c r="F1076" s="68"/>
      <c r="G1076" s="68"/>
      <c r="H1076" s="35" t="str">
        <f t="shared" si="6"/>
        <v/>
      </c>
      <c r="I1076" s="25" t="s">
        <v>927</v>
      </c>
    </row>
    <row r="1077">
      <c r="A1077" s="69"/>
      <c r="B1077" s="68"/>
      <c r="C1077" s="68"/>
      <c r="D1077" s="70"/>
      <c r="E1077" s="68"/>
      <c r="F1077" s="68"/>
      <c r="G1077" s="68"/>
      <c r="H1077" s="35" t="str">
        <f t="shared" si="6"/>
        <v/>
      </c>
      <c r="I1077" s="25" t="s">
        <v>927</v>
      </c>
    </row>
    <row r="1078">
      <c r="A1078" s="69"/>
      <c r="B1078" s="68"/>
      <c r="C1078" s="68"/>
      <c r="D1078" s="70"/>
      <c r="E1078" s="68"/>
      <c r="F1078" s="68"/>
      <c r="G1078" s="68"/>
      <c r="H1078" s="35" t="str">
        <f t="shared" si="6"/>
        <v/>
      </c>
      <c r="I1078" s="25" t="s">
        <v>927</v>
      </c>
    </row>
    <row r="1079">
      <c r="A1079" s="69"/>
      <c r="B1079" s="68"/>
      <c r="C1079" s="68"/>
      <c r="D1079" s="70"/>
      <c r="E1079" s="68"/>
      <c r="F1079" s="68"/>
      <c r="G1079" s="68"/>
      <c r="H1079" s="35" t="str">
        <f t="shared" si="6"/>
        <v/>
      </c>
      <c r="I1079" s="25" t="s">
        <v>927</v>
      </c>
    </row>
    <row r="1080">
      <c r="A1080" s="69"/>
      <c r="B1080" s="68"/>
      <c r="C1080" s="68"/>
      <c r="D1080" s="70"/>
      <c r="E1080" s="68"/>
      <c r="F1080" s="68"/>
      <c r="G1080" s="68"/>
      <c r="H1080" s="35" t="str">
        <f t="shared" si="6"/>
        <v/>
      </c>
      <c r="I1080" s="25" t="s">
        <v>927</v>
      </c>
    </row>
    <row r="1081">
      <c r="A1081" s="69"/>
      <c r="B1081" s="68"/>
      <c r="C1081" s="68"/>
      <c r="D1081" s="70"/>
      <c r="E1081" s="68"/>
      <c r="F1081" s="68"/>
      <c r="G1081" s="68"/>
      <c r="H1081" s="35" t="str">
        <f t="shared" si="6"/>
        <v/>
      </c>
      <c r="I1081" s="25" t="s">
        <v>927</v>
      </c>
    </row>
    <row r="1082">
      <c r="A1082" s="69"/>
      <c r="B1082" s="68"/>
      <c r="C1082" s="68"/>
      <c r="D1082" s="70"/>
      <c r="E1082" s="68"/>
      <c r="F1082" s="68"/>
      <c r="G1082" s="68"/>
      <c r="H1082" s="35" t="str">
        <f t="shared" si="6"/>
        <v/>
      </c>
      <c r="I1082" s="25" t="s">
        <v>927</v>
      </c>
    </row>
    <row r="1083">
      <c r="A1083" s="69"/>
      <c r="B1083" s="68"/>
      <c r="C1083" s="68"/>
      <c r="D1083" s="70"/>
      <c r="E1083" s="68"/>
      <c r="F1083" s="68"/>
      <c r="G1083" s="68"/>
      <c r="H1083" s="35" t="str">
        <f t="shared" si="6"/>
        <v/>
      </c>
      <c r="I1083" s="25" t="s">
        <v>927</v>
      </c>
    </row>
    <row r="1084">
      <c r="A1084" s="69"/>
      <c r="B1084" s="68"/>
      <c r="C1084" s="68"/>
      <c r="D1084" s="70"/>
      <c r="E1084" s="68"/>
      <c r="F1084" s="68"/>
      <c r="G1084" s="68"/>
      <c r="H1084" s="35" t="str">
        <f t="shared" si="6"/>
        <v/>
      </c>
      <c r="I1084" s="25" t="s">
        <v>927</v>
      </c>
    </row>
    <row r="1085">
      <c r="A1085" s="69"/>
      <c r="B1085" s="68"/>
      <c r="C1085" s="68"/>
      <c r="D1085" s="70"/>
      <c r="E1085" s="68"/>
      <c r="F1085" s="68"/>
      <c r="G1085" s="68"/>
      <c r="H1085" s="35" t="str">
        <f t="shared" si="6"/>
        <v/>
      </c>
      <c r="I1085" s="25" t="s">
        <v>927</v>
      </c>
    </row>
    <row r="1086">
      <c r="A1086" s="69"/>
      <c r="B1086" s="68"/>
      <c r="C1086" s="68"/>
      <c r="D1086" s="70"/>
      <c r="E1086" s="68"/>
      <c r="F1086" s="68"/>
      <c r="G1086" s="68"/>
      <c r="H1086" s="35" t="str">
        <f t="shared" si="6"/>
        <v/>
      </c>
      <c r="I1086" s="25" t="s">
        <v>927</v>
      </c>
    </row>
    <row r="1087">
      <c r="A1087" s="69"/>
      <c r="B1087" s="68"/>
      <c r="C1087" s="68"/>
      <c r="D1087" s="70"/>
      <c r="E1087" s="68"/>
      <c r="F1087" s="68"/>
      <c r="G1087" s="68"/>
      <c r="H1087" s="35" t="str">
        <f t="shared" si="6"/>
        <v/>
      </c>
      <c r="I1087" s="25" t="s">
        <v>927</v>
      </c>
    </row>
    <row r="1088">
      <c r="A1088" s="69"/>
      <c r="B1088" s="68"/>
      <c r="C1088" s="68"/>
      <c r="D1088" s="70"/>
      <c r="E1088" s="68"/>
      <c r="F1088" s="68"/>
      <c r="G1088" s="68"/>
      <c r="H1088" s="35" t="str">
        <f t="shared" si="6"/>
        <v/>
      </c>
      <c r="I1088" s="25" t="s">
        <v>927</v>
      </c>
    </row>
    <row r="1089">
      <c r="A1089" s="69"/>
      <c r="B1089" s="68"/>
      <c r="C1089" s="68"/>
      <c r="D1089" s="70"/>
      <c r="E1089" s="68"/>
      <c r="F1089" s="68"/>
      <c r="G1089" s="68"/>
      <c r="H1089" s="35" t="str">
        <f t="shared" si="6"/>
        <v/>
      </c>
      <c r="I1089" s="25" t="s">
        <v>927</v>
      </c>
    </row>
    <row r="1090">
      <c r="A1090" s="69"/>
      <c r="B1090" s="68"/>
      <c r="C1090" s="68"/>
      <c r="D1090" s="70"/>
      <c r="E1090" s="68"/>
      <c r="F1090" s="68"/>
      <c r="G1090" s="68"/>
      <c r="H1090" s="35" t="str">
        <f t="shared" si="6"/>
        <v/>
      </c>
      <c r="I1090" s="25" t="s">
        <v>927</v>
      </c>
    </row>
    <row r="1091">
      <c r="A1091" s="69"/>
      <c r="B1091" s="68"/>
      <c r="C1091" s="68"/>
      <c r="D1091" s="70"/>
      <c r="E1091" s="68"/>
      <c r="F1091" s="68"/>
      <c r="G1091" s="68"/>
      <c r="H1091" s="35" t="str">
        <f t="shared" si="6"/>
        <v/>
      </c>
      <c r="I1091" s="25" t="s">
        <v>927</v>
      </c>
    </row>
    <row r="1092">
      <c r="A1092" s="69"/>
      <c r="B1092" s="68"/>
      <c r="C1092" s="68"/>
      <c r="D1092" s="70"/>
      <c r="E1092" s="68"/>
      <c r="F1092" s="68"/>
      <c r="G1092" s="68"/>
      <c r="H1092" s="35" t="str">
        <f t="shared" si="6"/>
        <v/>
      </c>
      <c r="I1092" s="25" t="s">
        <v>927</v>
      </c>
    </row>
    <row r="1093">
      <c r="A1093" s="69"/>
      <c r="B1093" s="68"/>
      <c r="C1093" s="68"/>
      <c r="D1093" s="70"/>
      <c r="E1093" s="68"/>
      <c r="F1093" s="68"/>
      <c r="G1093" s="68"/>
      <c r="H1093" s="35" t="str">
        <f t="shared" si="6"/>
        <v/>
      </c>
      <c r="I1093" s="25" t="s">
        <v>927</v>
      </c>
    </row>
    <row r="1094">
      <c r="A1094" s="69"/>
      <c r="B1094" s="68"/>
      <c r="C1094" s="68"/>
      <c r="D1094" s="70"/>
      <c r="E1094" s="68"/>
      <c r="F1094" s="68"/>
      <c r="G1094" s="68"/>
      <c r="H1094" s="35" t="str">
        <f t="shared" si="6"/>
        <v/>
      </c>
      <c r="I1094" s="25" t="s">
        <v>927</v>
      </c>
    </row>
    <row r="1095">
      <c r="A1095" s="69"/>
      <c r="B1095" s="68"/>
      <c r="C1095" s="68"/>
      <c r="D1095" s="70"/>
      <c r="E1095" s="68"/>
      <c r="F1095" s="68"/>
      <c r="G1095" s="68"/>
      <c r="H1095" s="35" t="str">
        <f t="shared" si="6"/>
        <v/>
      </c>
      <c r="I1095" s="25" t="s">
        <v>927</v>
      </c>
    </row>
    <row r="1096">
      <c r="A1096" s="69"/>
      <c r="B1096" s="68"/>
      <c r="C1096" s="68"/>
      <c r="D1096" s="70"/>
      <c r="E1096" s="68"/>
      <c r="F1096" s="68"/>
      <c r="G1096" s="68"/>
      <c r="H1096" s="35" t="str">
        <f t="shared" si="6"/>
        <v/>
      </c>
      <c r="I1096" s="25" t="s">
        <v>927</v>
      </c>
    </row>
    <row r="1097">
      <c r="A1097" s="69"/>
      <c r="B1097" s="68"/>
      <c r="C1097" s="68"/>
      <c r="D1097" s="70"/>
      <c r="E1097" s="68"/>
      <c r="F1097" s="68"/>
      <c r="G1097" s="68"/>
      <c r="H1097" s="35" t="str">
        <f t="shared" si="6"/>
        <v/>
      </c>
      <c r="I1097" s="25" t="s">
        <v>927</v>
      </c>
    </row>
    <row r="1098">
      <c r="A1098" s="69"/>
      <c r="B1098" s="68"/>
      <c r="C1098" s="68"/>
      <c r="D1098" s="70"/>
      <c r="E1098" s="68"/>
      <c r="F1098" s="68"/>
      <c r="G1098" s="68"/>
      <c r="H1098" s="35" t="str">
        <f t="shared" si="6"/>
        <v/>
      </c>
      <c r="I1098" s="25" t="s">
        <v>927</v>
      </c>
    </row>
    <row r="1099">
      <c r="A1099" s="69"/>
      <c r="B1099" s="68"/>
      <c r="C1099" s="68"/>
      <c r="D1099" s="70"/>
      <c r="E1099" s="68"/>
      <c r="F1099" s="68"/>
      <c r="G1099" s="68"/>
      <c r="H1099" s="35" t="str">
        <f t="shared" si="6"/>
        <v/>
      </c>
      <c r="I1099" s="25" t="s">
        <v>927</v>
      </c>
    </row>
    <row r="1100">
      <c r="A1100" s="69"/>
      <c r="B1100" s="68"/>
      <c r="C1100" s="68"/>
      <c r="D1100" s="70"/>
      <c r="E1100" s="68"/>
      <c r="F1100" s="68"/>
      <c r="G1100" s="68"/>
      <c r="H1100" s="35" t="str">
        <f t="shared" si="6"/>
        <v/>
      </c>
      <c r="I1100" s="25" t="s">
        <v>927</v>
      </c>
    </row>
    <row r="1101">
      <c r="A1101" s="69"/>
      <c r="B1101" s="68"/>
      <c r="C1101" s="68"/>
      <c r="D1101" s="70"/>
      <c r="E1101" s="68"/>
      <c r="F1101" s="68"/>
      <c r="G1101" s="68"/>
      <c r="H1101" s="35" t="str">
        <f t="shared" si="6"/>
        <v/>
      </c>
      <c r="I1101" s="25" t="s">
        <v>927</v>
      </c>
    </row>
    <row r="1102">
      <c r="A1102" s="69"/>
      <c r="B1102" s="68"/>
      <c r="C1102" s="68"/>
      <c r="D1102" s="70"/>
      <c r="E1102" s="68"/>
      <c r="F1102" s="68"/>
      <c r="G1102" s="68"/>
      <c r="H1102" s="35" t="str">
        <f t="shared" si="6"/>
        <v/>
      </c>
      <c r="I1102" s="25" t="s">
        <v>927</v>
      </c>
    </row>
    <row r="1103">
      <c r="A1103" s="69"/>
      <c r="B1103" s="68"/>
      <c r="C1103" s="68"/>
      <c r="D1103" s="70"/>
      <c r="E1103" s="68"/>
      <c r="F1103" s="68"/>
      <c r="G1103" s="68"/>
      <c r="H1103" s="35" t="str">
        <f t="shared" si="6"/>
        <v/>
      </c>
      <c r="I1103" s="25" t="s">
        <v>927</v>
      </c>
    </row>
    <row r="1104">
      <c r="A1104" s="69"/>
      <c r="B1104" s="68"/>
      <c r="C1104" s="68"/>
      <c r="D1104" s="70"/>
      <c r="E1104" s="68"/>
      <c r="F1104" s="68"/>
      <c r="G1104" s="68"/>
      <c r="H1104" s="35" t="str">
        <f t="shared" si="6"/>
        <v/>
      </c>
      <c r="I1104" s="25" t="s">
        <v>927</v>
      </c>
    </row>
    <row r="1105">
      <c r="A1105" s="69"/>
      <c r="B1105" s="68"/>
      <c r="C1105" s="68"/>
      <c r="D1105" s="70"/>
      <c r="E1105" s="68"/>
      <c r="F1105" s="68"/>
      <c r="G1105" s="68"/>
      <c r="H1105" s="35" t="str">
        <f t="shared" si="6"/>
        <v/>
      </c>
      <c r="I1105" s="25" t="s">
        <v>927</v>
      </c>
    </row>
    <row r="1106">
      <c r="A1106" s="69"/>
      <c r="B1106" s="68"/>
      <c r="C1106" s="68"/>
      <c r="D1106" s="70"/>
      <c r="E1106" s="68"/>
      <c r="F1106" s="68"/>
      <c r="G1106" s="68"/>
      <c r="H1106" s="35" t="str">
        <f t="shared" si="6"/>
        <v/>
      </c>
      <c r="I1106" s="25" t="s">
        <v>927</v>
      </c>
    </row>
    <row r="1107">
      <c r="A1107" s="69"/>
      <c r="B1107" s="68"/>
      <c r="C1107" s="68"/>
      <c r="D1107" s="70"/>
      <c r="E1107" s="68"/>
      <c r="F1107" s="68"/>
      <c r="G1107" s="68"/>
      <c r="H1107" s="35" t="str">
        <f t="shared" si="6"/>
        <v/>
      </c>
      <c r="I1107" s="25" t="s">
        <v>927</v>
      </c>
    </row>
    <row r="1108">
      <c r="A1108" s="69"/>
      <c r="B1108" s="68"/>
      <c r="C1108" s="68"/>
      <c r="D1108" s="70"/>
      <c r="E1108" s="68"/>
      <c r="F1108" s="68"/>
      <c r="G1108" s="68"/>
      <c r="H1108" s="35" t="str">
        <f t="shared" si="6"/>
        <v/>
      </c>
      <c r="I1108" s="25" t="s">
        <v>927</v>
      </c>
    </row>
    <row r="1109">
      <c r="A1109" s="69"/>
      <c r="B1109" s="68"/>
      <c r="C1109" s="68"/>
      <c r="D1109" s="70"/>
      <c r="E1109" s="68"/>
      <c r="F1109" s="68"/>
      <c r="G1109" s="68"/>
      <c r="H1109" s="35" t="str">
        <f t="shared" si="6"/>
        <v/>
      </c>
      <c r="I1109" s="25" t="s">
        <v>927</v>
      </c>
    </row>
    <row r="1110">
      <c r="A1110" s="69"/>
      <c r="B1110" s="68"/>
      <c r="C1110" s="68"/>
      <c r="D1110" s="70"/>
      <c r="E1110" s="68"/>
      <c r="F1110" s="68"/>
      <c r="G1110" s="68"/>
      <c r="H1110" s="35" t="str">
        <f t="shared" si="6"/>
        <v/>
      </c>
      <c r="I1110" s="25" t="s">
        <v>927</v>
      </c>
    </row>
    <row r="1111">
      <c r="A1111" s="69"/>
      <c r="B1111" s="68"/>
      <c r="C1111" s="68"/>
      <c r="D1111" s="70"/>
      <c r="E1111" s="68"/>
      <c r="F1111" s="68"/>
      <c r="G1111" s="68"/>
      <c r="H1111" s="35" t="str">
        <f t="shared" si="6"/>
        <v/>
      </c>
      <c r="I1111" s="25" t="s">
        <v>927</v>
      </c>
    </row>
    <row r="1112">
      <c r="A1112" s="69"/>
      <c r="B1112" s="68"/>
      <c r="C1112" s="68"/>
      <c r="D1112" s="70"/>
      <c r="E1112" s="68"/>
      <c r="F1112" s="68"/>
      <c r="G1112" s="68"/>
      <c r="H1112" s="35" t="str">
        <f t="shared" si="6"/>
        <v/>
      </c>
      <c r="I1112" s="25" t="s">
        <v>927</v>
      </c>
    </row>
    <row r="1113">
      <c r="A1113" s="69"/>
      <c r="B1113" s="68"/>
      <c r="C1113" s="68"/>
      <c r="D1113" s="70"/>
      <c r="E1113" s="68"/>
      <c r="F1113" s="68"/>
      <c r="G1113" s="68"/>
      <c r="H1113" s="35" t="str">
        <f t="shared" si="6"/>
        <v/>
      </c>
      <c r="I1113" s="25" t="s">
        <v>927</v>
      </c>
    </row>
    <row r="1114">
      <c r="A1114" s="69"/>
      <c r="B1114" s="68"/>
      <c r="C1114" s="68"/>
      <c r="D1114" s="70"/>
      <c r="E1114" s="68"/>
      <c r="F1114" s="68"/>
      <c r="G1114" s="68"/>
      <c r="H1114" s="35" t="str">
        <f t="shared" si="6"/>
        <v/>
      </c>
      <c r="I1114" s="25" t="s">
        <v>927</v>
      </c>
    </row>
    <row r="1115">
      <c r="A1115" s="69"/>
      <c r="B1115" s="68"/>
      <c r="C1115" s="68"/>
      <c r="D1115" s="70"/>
      <c r="E1115" s="68"/>
      <c r="F1115" s="68"/>
      <c r="G1115" s="68"/>
      <c r="H1115" s="35" t="str">
        <f t="shared" si="6"/>
        <v/>
      </c>
      <c r="I1115" s="25" t="s">
        <v>927</v>
      </c>
    </row>
    <row r="1116">
      <c r="A1116" s="69"/>
      <c r="B1116" s="68"/>
      <c r="C1116" s="68"/>
      <c r="D1116" s="70"/>
      <c r="E1116" s="68"/>
      <c r="F1116" s="68"/>
      <c r="G1116" s="68"/>
      <c r="H1116" s="35" t="str">
        <f t="shared" si="6"/>
        <v/>
      </c>
      <c r="I1116" s="25" t="s">
        <v>927</v>
      </c>
    </row>
    <row r="1117">
      <c r="A1117" s="69"/>
      <c r="B1117" s="68"/>
      <c r="C1117" s="68"/>
      <c r="D1117" s="70"/>
      <c r="E1117" s="68"/>
      <c r="F1117" s="68"/>
      <c r="G1117" s="68"/>
      <c r="H1117" s="35" t="str">
        <f t="shared" si="6"/>
        <v/>
      </c>
      <c r="I1117" s="25" t="s">
        <v>927</v>
      </c>
    </row>
    <row r="1118">
      <c r="A1118" s="69"/>
      <c r="B1118" s="68"/>
      <c r="C1118" s="68"/>
      <c r="D1118" s="70"/>
      <c r="E1118" s="68"/>
      <c r="F1118" s="68"/>
      <c r="G1118" s="68"/>
      <c r="H1118" s="35" t="str">
        <f t="shared" si="6"/>
        <v/>
      </c>
      <c r="I1118" s="25" t="s">
        <v>927</v>
      </c>
    </row>
    <row r="1119">
      <c r="A1119" s="69"/>
      <c r="B1119" s="68"/>
      <c r="C1119" s="68"/>
      <c r="D1119" s="70"/>
      <c r="E1119" s="68"/>
      <c r="F1119" s="68"/>
      <c r="G1119" s="68"/>
      <c r="H1119" s="35" t="str">
        <f t="shared" si="6"/>
        <v/>
      </c>
      <c r="I1119" s="25" t="s">
        <v>927</v>
      </c>
    </row>
    <row r="1120">
      <c r="A1120" s="69"/>
      <c r="B1120" s="68"/>
      <c r="C1120" s="68"/>
      <c r="D1120" s="70"/>
      <c r="E1120" s="68"/>
      <c r="F1120" s="68"/>
      <c r="G1120" s="68"/>
      <c r="H1120" s="35" t="str">
        <f t="shared" si="6"/>
        <v/>
      </c>
      <c r="I1120" s="25" t="s">
        <v>927</v>
      </c>
    </row>
    <row r="1121">
      <c r="A1121" s="69"/>
      <c r="B1121" s="68"/>
      <c r="C1121" s="68"/>
      <c r="D1121" s="70"/>
      <c r="E1121" s="68"/>
      <c r="F1121" s="68"/>
      <c r="G1121" s="68"/>
      <c r="H1121" s="35" t="str">
        <f t="shared" si="6"/>
        <v/>
      </c>
      <c r="I1121" s="25" t="s">
        <v>927</v>
      </c>
    </row>
    <row r="1122">
      <c r="A1122" s="69"/>
      <c r="B1122" s="68"/>
      <c r="C1122" s="68"/>
      <c r="D1122" s="70"/>
      <c r="E1122" s="68"/>
      <c r="F1122" s="68"/>
      <c r="G1122" s="68"/>
      <c r="H1122" s="35" t="str">
        <f t="shared" si="6"/>
        <v/>
      </c>
      <c r="I1122" s="25" t="s">
        <v>927</v>
      </c>
    </row>
    <row r="1123">
      <c r="A1123" s="69"/>
      <c r="B1123" s="68"/>
      <c r="C1123" s="68"/>
      <c r="D1123" s="70"/>
      <c r="E1123" s="68"/>
      <c r="F1123" s="68"/>
      <c r="G1123" s="68"/>
      <c r="H1123" s="35" t="str">
        <f t="shared" si="6"/>
        <v/>
      </c>
      <c r="I1123" s="25" t="s">
        <v>927</v>
      </c>
    </row>
    <row r="1124">
      <c r="A1124" s="69"/>
      <c r="B1124" s="68"/>
      <c r="C1124" s="68"/>
      <c r="D1124" s="70"/>
      <c r="E1124" s="68"/>
      <c r="F1124" s="68"/>
      <c r="G1124" s="68"/>
      <c r="H1124" s="35" t="str">
        <f t="shared" si="6"/>
        <v/>
      </c>
      <c r="I1124" s="25" t="s">
        <v>927</v>
      </c>
    </row>
    <row r="1125">
      <c r="A1125" s="69"/>
      <c r="B1125" s="68"/>
      <c r="C1125" s="68"/>
      <c r="D1125" s="70"/>
      <c r="E1125" s="68"/>
      <c r="F1125" s="68"/>
      <c r="G1125" s="68"/>
      <c r="H1125" s="35" t="str">
        <f t="shared" si="6"/>
        <v/>
      </c>
      <c r="I1125" s="25" t="s">
        <v>927</v>
      </c>
    </row>
    <row r="1126">
      <c r="A1126" s="69"/>
      <c r="B1126" s="68"/>
      <c r="C1126" s="68"/>
      <c r="D1126" s="70"/>
      <c r="E1126" s="68"/>
      <c r="F1126" s="68"/>
      <c r="G1126" s="68"/>
      <c r="H1126" s="35" t="str">
        <f t="shared" si="6"/>
        <v/>
      </c>
      <c r="I1126" s="25" t="s">
        <v>927</v>
      </c>
    </row>
    <row r="1127">
      <c r="A1127" s="69"/>
      <c r="B1127" s="68"/>
      <c r="C1127" s="68"/>
      <c r="D1127" s="70"/>
      <c r="E1127" s="68"/>
      <c r="F1127" s="68"/>
      <c r="G1127" s="68"/>
      <c r="H1127" s="35" t="str">
        <f t="shared" si="6"/>
        <v/>
      </c>
      <c r="I1127" s="25" t="s">
        <v>927</v>
      </c>
    </row>
    <row r="1128">
      <c r="A1128" s="69"/>
      <c r="B1128" s="68"/>
      <c r="C1128" s="68"/>
      <c r="D1128" s="70"/>
      <c r="E1128" s="68"/>
      <c r="F1128" s="68"/>
      <c r="G1128" s="68"/>
      <c r="H1128" s="35" t="str">
        <f t="shared" si="6"/>
        <v/>
      </c>
      <c r="I1128" s="25" t="s">
        <v>927</v>
      </c>
    </row>
    <row r="1129">
      <c r="A1129" s="69"/>
      <c r="B1129" s="68"/>
      <c r="C1129" s="68"/>
      <c r="D1129" s="70"/>
      <c r="E1129" s="68"/>
      <c r="F1129" s="68"/>
      <c r="G1129" s="68"/>
      <c r="H1129" s="35" t="str">
        <f t="shared" si="6"/>
        <v/>
      </c>
      <c r="I1129" s="25" t="s">
        <v>927</v>
      </c>
    </row>
    <row r="1130">
      <c r="A1130" s="69"/>
      <c r="B1130" s="68"/>
      <c r="C1130" s="68"/>
      <c r="D1130" s="70"/>
      <c r="E1130" s="68"/>
      <c r="F1130" s="68"/>
      <c r="G1130" s="68"/>
      <c r="H1130" s="35" t="str">
        <f t="shared" si="6"/>
        <v/>
      </c>
      <c r="I1130" s="25" t="s">
        <v>927</v>
      </c>
    </row>
    <row r="1131">
      <c r="A1131" s="69"/>
      <c r="B1131" s="68"/>
      <c r="C1131" s="68"/>
      <c r="D1131" s="70"/>
      <c r="E1131" s="68"/>
      <c r="F1131" s="68"/>
      <c r="G1131" s="68"/>
      <c r="H1131" s="35" t="str">
        <f t="shared" si="6"/>
        <v/>
      </c>
      <c r="I1131" s="25" t="s">
        <v>927</v>
      </c>
    </row>
    <row r="1132">
      <c r="A1132" s="69"/>
      <c r="B1132" s="68"/>
      <c r="C1132" s="68"/>
      <c r="D1132" s="70"/>
      <c r="E1132" s="68"/>
      <c r="F1132" s="68"/>
      <c r="G1132" s="68"/>
      <c r="H1132" s="35" t="str">
        <f t="shared" si="6"/>
        <v/>
      </c>
      <c r="I1132" s="25" t="s">
        <v>927</v>
      </c>
    </row>
    <row r="1133">
      <c r="A1133" s="69"/>
      <c r="B1133" s="68"/>
      <c r="C1133" s="68"/>
      <c r="D1133" s="70"/>
      <c r="E1133" s="68"/>
      <c r="F1133" s="68"/>
      <c r="G1133" s="68"/>
      <c r="H1133" s="35" t="str">
        <f t="shared" si="6"/>
        <v/>
      </c>
      <c r="I1133" s="25" t="s">
        <v>927</v>
      </c>
    </row>
    <row r="1134">
      <c r="A1134" s="69"/>
      <c r="B1134" s="68"/>
      <c r="C1134" s="68"/>
      <c r="D1134" s="70"/>
      <c r="E1134" s="68"/>
      <c r="F1134" s="68"/>
      <c r="G1134" s="68"/>
      <c r="H1134" s="35" t="str">
        <f t="shared" si="6"/>
        <v/>
      </c>
      <c r="I1134" s="25" t="s">
        <v>927</v>
      </c>
    </row>
    <row r="1135">
      <c r="A1135" s="69"/>
      <c r="B1135" s="68"/>
      <c r="C1135" s="68"/>
      <c r="D1135" s="70"/>
      <c r="E1135" s="68"/>
      <c r="F1135" s="68"/>
      <c r="G1135" s="68"/>
      <c r="H1135" s="35" t="str">
        <f t="shared" si="6"/>
        <v/>
      </c>
      <c r="I1135" s="25" t="s">
        <v>927</v>
      </c>
    </row>
    <row r="1136">
      <c r="A1136" s="69"/>
      <c r="B1136" s="68"/>
      <c r="C1136" s="68"/>
      <c r="D1136" s="70"/>
      <c r="E1136" s="68"/>
      <c r="F1136" s="68"/>
      <c r="G1136" s="68"/>
      <c r="H1136" s="35" t="str">
        <f t="shared" si="6"/>
        <v/>
      </c>
      <c r="I1136" s="25" t="s">
        <v>927</v>
      </c>
    </row>
    <row r="1137">
      <c r="A1137" s="69"/>
      <c r="B1137" s="68"/>
      <c r="C1137" s="68"/>
      <c r="D1137" s="70"/>
      <c r="E1137" s="68"/>
      <c r="F1137" s="68"/>
      <c r="G1137" s="68"/>
      <c r="H1137" s="35" t="str">
        <f t="shared" si="6"/>
        <v/>
      </c>
      <c r="I1137" s="25" t="s">
        <v>927</v>
      </c>
    </row>
    <row r="1138">
      <c r="A1138" s="69"/>
      <c r="B1138" s="68"/>
      <c r="C1138" s="68"/>
      <c r="D1138" s="70"/>
      <c r="E1138" s="68"/>
      <c r="F1138" s="68"/>
      <c r="G1138" s="68"/>
      <c r="H1138" s="35" t="str">
        <f t="shared" si="6"/>
        <v/>
      </c>
      <c r="I1138" s="25" t="s">
        <v>927</v>
      </c>
    </row>
    <row r="1139">
      <c r="A1139" s="69"/>
      <c r="B1139" s="68"/>
      <c r="C1139" s="68"/>
      <c r="D1139" s="70"/>
      <c r="E1139" s="68"/>
      <c r="F1139" s="68"/>
      <c r="G1139" s="68"/>
      <c r="H1139" s="35" t="str">
        <f t="shared" si="6"/>
        <v/>
      </c>
      <c r="I1139" s="25" t="s">
        <v>927</v>
      </c>
    </row>
    <row r="1140">
      <c r="A1140" s="69"/>
      <c r="B1140" s="68"/>
      <c r="C1140" s="68"/>
      <c r="D1140" s="70"/>
      <c r="E1140" s="68"/>
      <c r="F1140" s="68"/>
      <c r="G1140" s="68"/>
      <c r="H1140" s="35" t="str">
        <f t="shared" si="6"/>
        <v/>
      </c>
      <c r="I1140" s="25" t="s">
        <v>927</v>
      </c>
    </row>
    <row r="1141">
      <c r="A1141" s="69"/>
      <c r="B1141" s="68"/>
      <c r="C1141" s="68"/>
      <c r="D1141" s="70"/>
      <c r="E1141" s="68"/>
      <c r="F1141" s="68"/>
      <c r="G1141" s="68"/>
      <c r="H1141" s="35" t="str">
        <f t="shared" si="6"/>
        <v/>
      </c>
      <c r="I1141" s="25" t="s">
        <v>927</v>
      </c>
    </row>
    <row r="1142">
      <c r="A1142" s="69"/>
      <c r="B1142" s="68"/>
      <c r="C1142" s="68"/>
      <c r="D1142" s="70"/>
      <c r="E1142" s="68"/>
      <c r="F1142" s="68"/>
      <c r="G1142" s="68"/>
      <c r="H1142" s="35" t="str">
        <f t="shared" si="6"/>
        <v/>
      </c>
      <c r="I1142" s="25" t="s">
        <v>927</v>
      </c>
    </row>
    <row r="1143">
      <c r="A1143" s="69"/>
      <c r="B1143" s="68"/>
      <c r="C1143" s="68"/>
      <c r="D1143" s="70"/>
      <c r="E1143" s="68"/>
      <c r="F1143" s="68"/>
      <c r="G1143" s="68"/>
      <c r="H1143" s="35" t="str">
        <f t="shared" si="6"/>
        <v/>
      </c>
      <c r="I1143" s="25" t="s">
        <v>927</v>
      </c>
    </row>
    <row r="1144">
      <c r="A1144" s="69"/>
      <c r="B1144" s="68"/>
      <c r="C1144" s="68"/>
      <c r="D1144" s="70"/>
      <c r="E1144" s="68"/>
      <c r="F1144" s="68"/>
      <c r="G1144" s="68"/>
      <c r="H1144" s="35" t="str">
        <f t="shared" si="6"/>
        <v/>
      </c>
      <c r="I1144" s="25" t="s">
        <v>927</v>
      </c>
    </row>
    <row r="1145">
      <c r="A1145" s="69"/>
      <c r="B1145" s="68"/>
      <c r="C1145" s="68"/>
      <c r="D1145" s="70"/>
      <c r="E1145" s="68"/>
      <c r="F1145" s="68"/>
      <c r="G1145" s="68"/>
      <c r="H1145" s="35" t="str">
        <f t="shared" si="6"/>
        <v/>
      </c>
      <c r="I1145" s="25" t="s">
        <v>927</v>
      </c>
    </row>
    <row r="1146">
      <c r="A1146" s="69"/>
      <c r="B1146" s="68"/>
      <c r="C1146" s="68"/>
      <c r="D1146" s="70"/>
      <c r="E1146" s="68"/>
      <c r="F1146" s="68"/>
      <c r="G1146" s="68"/>
      <c r="H1146" s="35" t="str">
        <f t="shared" si="6"/>
        <v/>
      </c>
      <c r="I1146" s="25" t="s">
        <v>927</v>
      </c>
    </row>
    <row r="1147">
      <c r="A1147" s="69"/>
      <c r="B1147" s="68"/>
      <c r="C1147" s="68"/>
      <c r="D1147" s="70"/>
      <c r="E1147" s="68"/>
      <c r="F1147" s="68"/>
      <c r="G1147" s="68"/>
      <c r="H1147" s="35" t="str">
        <f t="shared" si="6"/>
        <v/>
      </c>
      <c r="I1147" s="25" t="s">
        <v>927</v>
      </c>
    </row>
    <row r="1148">
      <c r="A1148" s="69"/>
      <c r="B1148" s="68"/>
      <c r="C1148" s="68"/>
      <c r="D1148" s="70"/>
      <c r="E1148" s="68"/>
      <c r="F1148" s="68"/>
      <c r="G1148" s="68"/>
      <c r="H1148" s="35" t="str">
        <f t="shared" si="6"/>
        <v/>
      </c>
      <c r="I1148" s="25" t="s">
        <v>927</v>
      </c>
    </row>
    <row r="1149">
      <c r="A1149" s="69"/>
      <c r="B1149" s="68"/>
      <c r="C1149" s="68"/>
      <c r="D1149" s="70"/>
      <c r="E1149" s="68"/>
      <c r="F1149" s="68"/>
      <c r="G1149" s="68"/>
      <c r="H1149" s="35" t="str">
        <f t="shared" si="6"/>
        <v/>
      </c>
      <c r="I1149" s="25" t="s">
        <v>927</v>
      </c>
    </row>
    <row r="1150">
      <c r="A1150" s="69"/>
      <c r="B1150" s="68"/>
      <c r="C1150" s="68"/>
      <c r="D1150" s="70"/>
      <c r="E1150" s="68"/>
      <c r="F1150" s="68"/>
      <c r="G1150" s="68"/>
      <c r="H1150" s="35" t="str">
        <f t="shared" si="6"/>
        <v/>
      </c>
      <c r="I1150" s="25" t="s">
        <v>927</v>
      </c>
    </row>
    <row r="1151">
      <c r="A1151" s="69"/>
      <c r="B1151" s="68"/>
      <c r="C1151" s="68"/>
      <c r="D1151" s="70"/>
      <c r="E1151" s="68"/>
      <c r="F1151" s="68"/>
      <c r="G1151" s="68"/>
      <c r="H1151" s="35" t="str">
        <f t="shared" si="6"/>
        <v/>
      </c>
      <c r="I1151" s="25" t="s">
        <v>927</v>
      </c>
    </row>
    <row r="1152">
      <c r="A1152" s="69"/>
      <c r="B1152" s="68"/>
      <c r="C1152" s="68"/>
      <c r="D1152" s="70"/>
      <c r="E1152" s="68"/>
      <c r="F1152" s="68"/>
      <c r="G1152" s="68"/>
      <c r="H1152" s="35" t="str">
        <f t="shared" si="6"/>
        <v/>
      </c>
      <c r="I1152" s="25" t="s">
        <v>927</v>
      </c>
    </row>
    <row r="1153">
      <c r="A1153" s="69"/>
      <c r="B1153" s="68"/>
      <c r="C1153" s="68"/>
      <c r="D1153" s="70"/>
      <c r="E1153" s="68"/>
      <c r="F1153" s="68"/>
      <c r="G1153" s="68"/>
      <c r="H1153" s="35" t="str">
        <f t="shared" si="6"/>
        <v/>
      </c>
      <c r="I1153" s="25" t="s">
        <v>927</v>
      </c>
    </row>
    <row r="1154">
      <c r="A1154" s="69"/>
      <c r="B1154" s="68"/>
      <c r="C1154" s="68"/>
      <c r="D1154" s="70"/>
      <c r="E1154" s="68"/>
      <c r="F1154" s="68"/>
      <c r="G1154" s="68"/>
      <c r="H1154" s="35" t="str">
        <f t="shared" si="6"/>
        <v/>
      </c>
      <c r="I1154" s="25" t="s">
        <v>927</v>
      </c>
    </row>
    <row r="1155">
      <c r="A1155" s="69"/>
      <c r="B1155" s="68"/>
      <c r="C1155" s="68"/>
      <c r="D1155" s="70"/>
      <c r="E1155" s="68"/>
      <c r="F1155" s="68"/>
      <c r="G1155" s="68"/>
      <c r="H1155" s="35" t="str">
        <f t="shared" si="6"/>
        <v/>
      </c>
      <c r="I1155" s="25" t="s">
        <v>927</v>
      </c>
    </row>
    <row r="1156">
      <c r="A1156" s="69"/>
      <c r="B1156" s="68"/>
      <c r="C1156" s="68"/>
      <c r="D1156" s="70"/>
      <c r="E1156" s="68"/>
      <c r="F1156" s="68"/>
      <c r="G1156" s="68"/>
      <c r="H1156" s="35" t="str">
        <f t="shared" si="6"/>
        <v/>
      </c>
      <c r="I1156" s="25" t="s">
        <v>927</v>
      </c>
    </row>
    <row r="1157">
      <c r="A1157" s="69"/>
      <c r="B1157" s="68"/>
      <c r="C1157" s="68"/>
      <c r="D1157" s="70"/>
      <c r="E1157" s="68"/>
      <c r="F1157" s="68"/>
      <c r="G1157" s="68"/>
      <c r="H1157" s="35" t="str">
        <f t="shared" si="6"/>
        <v/>
      </c>
      <c r="I1157" s="25" t="s">
        <v>927</v>
      </c>
    </row>
    <row r="1158">
      <c r="A1158" s="69"/>
      <c r="B1158" s="68"/>
      <c r="C1158" s="68"/>
      <c r="D1158" s="70"/>
      <c r="E1158" s="68"/>
      <c r="F1158" s="68"/>
      <c r="G1158" s="68"/>
      <c r="H1158" s="35" t="str">
        <f t="shared" si="6"/>
        <v/>
      </c>
      <c r="I1158" s="25" t="s">
        <v>927</v>
      </c>
    </row>
    <row r="1159">
      <c r="A1159" s="69"/>
      <c r="B1159" s="68"/>
      <c r="C1159" s="68"/>
      <c r="D1159" s="70"/>
      <c r="E1159" s="68"/>
      <c r="F1159" s="68"/>
      <c r="G1159" s="68"/>
      <c r="H1159" s="35" t="str">
        <f t="shared" si="6"/>
        <v/>
      </c>
      <c r="I1159" s="25" t="s">
        <v>927</v>
      </c>
    </row>
    <row r="1160">
      <c r="A1160" s="69"/>
      <c r="B1160" s="68"/>
      <c r="C1160" s="68"/>
      <c r="D1160" s="70"/>
      <c r="E1160" s="68"/>
      <c r="F1160" s="68"/>
      <c r="G1160" s="68"/>
      <c r="H1160" s="35" t="str">
        <f t="shared" si="6"/>
        <v/>
      </c>
      <c r="I1160" s="25" t="s">
        <v>927</v>
      </c>
    </row>
    <row r="1161">
      <c r="A1161" s="69"/>
      <c r="B1161" s="68"/>
      <c r="C1161" s="68"/>
      <c r="D1161" s="70"/>
      <c r="E1161" s="68"/>
      <c r="F1161" s="68"/>
      <c r="G1161" s="68"/>
      <c r="H1161" s="35" t="str">
        <f t="shared" si="6"/>
        <v/>
      </c>
      <c r="I1161" s="25" t="s">
        <v>927</v>
      </c>
    </row>
    <row r="1162">
      <c r="A1162" s="69"/>
      <c r="B1162" s="68"/>
      <c r="C1162" s="68"/>
      <c r="D1162" s="70"/>
      <c r="E1162" s="68"/>
      <c r="F1162" s="68"/>
      <c r="G1162" s="68"/>
      <c r="H1162" s="35" t="str">
        <f t="shared" si="6"/>
        <v/>
      </c>
      <c r="I1162" s="25" t="s">
        <v>927</v>
      </c>
    </row>
    <row r="1163">
      <c r="A1163" s="69"/>
      <c r="B1163" s="68"/>
      <c r="C1163" s="68"/>
      <c r="D1163" s="70"/>
      <c r="E1163" s="68"/>
      <c r="F1163" s="68"/>
      <c r="G1163" s="68"/>
      <c r="H1163" s="35" t="str">
        <f t="shared" si="6"/>
        <v/>
      </c>
      <c r="I1163" s="25" t="s">
        <v>927</v>
      </c>
    </row>
    <row r="1164">
      <c r="A1164" s="69"/>
      <c r="B1164" s="68"/>
      <c r="C1164" s="68"/>
      <c r="D1164" s="70"/>
      <c r="E1164" s="68"/>
      <c r="F1164" s="68"/>
      <c r="G1164" s="68"/>
      <c r="H1164" s="35" t="str">
        <f t="shared" si="6"/>
        <v/>
      </c>
      <c r="I1164" s="25" t="s">
        <v>927</v>
      </c>
    </row>
    <row r="1165">
      <c r="A1165" s="69"/>
      <c r="B1165" s="68"/>
      <c r="C1165" s="68"/>
      <c r="D1165" s="70"/>
      <c r="E1165" s="68"/>
      <c r="F1165" s="68"/>
      <c r="G1165" s="68"/>
      <c r="H1165" s="35" t="str">
        <f t="shared" si="6"/>
        <v/>
      </c>
      <c r="I1165" s="25" t="s">
        <v>927</v>
      </c>
    </row>
    <row r="1166">
      <c r="A1166" s="69"/>
      <c r="B1166" s="68"/>
      <c r="C1166" s="68"/>
      <c r="D1166" s="70"/>
      <c r="E1166" s="68"/>
      <c r="F1166" s="68"/>
      <c r="G1166" s="68"/>
      <c r="H1166" s="35" t="str">
        <f t="shared" si="6"/>
        <v/>
      </c>
      <c r="I1166" s="25" t="s">
        <v>927</v>
      </c>
    </row>
    <row r="1167">
      <c r="A1167" s="69"/>
      <c r="B1167" s="68"/>
      <c r="C1167" s="68"/>
      <c r="D1167" s="70"/>
      <c r="E1167" s="68"/>
      <c r="F1167" s="68"/>
      <c r="G1167" s="68"/>
      <c r="H1167" s="35" t="str">
        <f t="shared" si="6"/>
        <v/>
      </c>
      <c r="I1167" s="25" t="s">
        <v>927</v>
      </c>
    </row>
    <row r="1168">
      <c r="A1168" s="69"/>
      <c r="B1168" s="68"/>
      <c r="C1168" s="68"/>
      <c r="D1168" s="70"/>
      <c r="E1168" s="68"/>
      <c r="F1168" s="68"/>
      <c r="G1168" s="68"/>
      <c r="H1168" s="35" t="str">
        <f t="shared" si="6"/>
        <v/>
      </c>
      <c r="I1168" s="25" t="s">
        <v>927</v>
      </c>
    </row>
    <row r="1169">
      <c r="A1169" s="69"/>
      <c r="B1169" s="68"/>
      <c r="C1169" s="68"/>
      <c r="D1169" s="70"/>
      <c r="E1169" s="68"/>
      <c r="F1169" s="68"/>
      <c r="G1169" s="68"/>
      <c r="H1169" s="35" t="str">
        <f t="shared" si="6"/>
        <v/>
      </c>
      <c r="I1169" s="25" t="s">
        <v>927</v>
      </c>
    </row>
    <row r="1170">
      <c r="A1170" s="69"/>
      <c r="B1170" s="68"/>
      <c r="C1170" s="68"/>
      <c r="D1170" s="70"/>
      <c r="E1170" s="68"/>
      <c r="F1170" s="68"/>
      <c r="G1170" s="68"/>
      <c r="H1170" s="35" t="str">
        <f t="shared" si="6"/>
        <v/>
      </c>
      <c r="I1170" s="25" t="s">
        <v>927</v>
      </c>
    </row>
    <row r="1171">
      <c r="A1171" s="69"/>
      <c r="B1171" s="68"/>
      <c r="C1171" s="68"/>
      <c r="D1171" s="70"/>
      <c r="E1171" s="68"/>
      <c r="F1171" s="68"/>
      <c r="G1171" s="68"/>
      <c r="H1171" s="35" t="str">
        <f t="shared" si="6"/>
        <v/>
      </c>
      <c r="I1171" s="25" t="s">
        <v>927</v>
      </c>
    </row>
    <row r="1172">
      <c r="A1172" s="69"/>
      <c r="B1172" s="68"/>
      <c r="C1172" s="68"/>
      <c r="D1172" s="70"/>
      <c r="E1172" s="68"/>
      <c r="F1172" s="68"/>
      <c r="G1172" s="68"/>
      <c r="H1172" s="35" t="str">
        <f t="shared" si="6"/>
        <v/>
      </c>
      <c r="I1172" s="25" t="s">
        <v>927</v>
      </c>
    </row>
    <row r="1173">
      <c r="A1173" s="69"/>
      <c r="B1173" s="68"/>
      <c r="C1173" s="68"/>
      <c r="D1173" s="70"/>
      <c r="E1173" s="68"/>
      <c r="F1173" s="68"/>
      <c r="G1173" s="68"/>
      <c r="H1173" s="35" t="str">
        <f t="shared" si="6"/>
        <v/>
      </c>
      <c r="I1173" s="25" t="s">
        <v>927</v>
      </c>
    </row>
    <row r="1174">
      <c r="A1174" s="69"/>
      <c r="B1174" s="68"/>
      <c r="C1174" s="68"/>
      <c r="D1174" s="70"/>
      <c r="E1174" s="68"/>
      <c r="F1174" s="68"/>
      <c r="G1174" s="68"/>
      <c r="H1174" s="35" t="str">
        <f t="shared" si="6"/>
        <v/>
      </c>
      <c r="I1174" s="25" t="s">
        <v>927</v>
      </c>
    </row>
    <row r="1175">
      <c r="A1175" s="69"/>
      <c r="B1175" s="68"/>
      <c r="C1175" s="68"/>
      <c r="D1175" s="70"/>
      <c r="E1175" s="68"/>
      <c r="F1175" s="68"/>
      <c r="G1175" s="68"/>
      <c r="H1175" s="35" t="str">
        <f t="shared" si="6"/>
        <v/>
      </c>
      <c r="I1175" s="25" t="s">
        <v>927</v>
      </c>
    </row>
    <row r="1176">
      <c r="A1176" s="69"/>
      <c r="B1176" s="68"/>
      <c r="C1176" s="68"/>
      <c r="D1176" s="70"/>
      <c r="E1176" s="68"/>
      <c r="F1176" s="68"/>
      <c r="G1176" s="68"/>
      <c r="H1176" s="35" t="str">
        <f t="shared" si="6"/>
        <v/>
      </c>
      <c r="I1176" s="25" t="s">
        <v>927</v>
      </c>
    </row>
    <row r="1177">
      <c r="A1177" s="69"/>
      <c r="B1177" s="68"/>
      <c r="C1177" s="68"/>
      <c r="D1177" s="70"/>
      <c r="E1177" s="68"/>
      <c r="F1177" s="68"/>
      <c r="G1177" s="68"/>
      <c r="H1177" s="35" t="str">
        <f t="shared" si="6"/>
        <v/>
      </c>
      <c r="I1177" s="25" t="s">
        <v>927</v>
      </c>
    </row>
    <row r="1178">
      <c r="A1178" s="69"/>
      <c r="B1178" s="68"/>
      <c r="C1178" s="68"/>
      <c r="D1178" s="70"/>
      <c r="E1178" s="68"/>
      <c r="F1178" s="68"/>
      <c r="G1178" s="68"/>
      <c r="H1178" s="35" t="str">
        <f t="shared" si="6"/>
        <v/>
      </c>
      <c r="I1178" s="25" t="s">
        <v>927</v>
      </c>
    </row>
    <row r="1179">
      <c r="A1179" s="69"/>
      <c r="B1179" s="68"/>
      <c r="C1179" s="68"/>
      <c r="D1179" s="70"/>
      <c r="E1179" s="68"/>
      <c r="F1179" s="68"/>
      <c r="G1179" s="68"/>
      <c r="H1179" s="35" t="str">
        <f t="shared" si="6"/>
        <v/>
      </c>
      <c r="I1179" s="25" t="s">
        <v>927</v>
      </c>
    </row>
    <row r="1180">
      <c r="A1180" s="69"/>
      <c r="B1180" s="68"/>
      <c r="C1180" s="68"/>
      <c r="D1180" s="70"/>
      <c r="E1180" s="68"/>
      <c r="F1180" s="68"/>
      <c r="G1180" s="68"/>
      <c r="H1180" s="35" t="str">
        <f t="shared" si="6"/>
        <v/>
      </c>
      <c r="I1180" s="25" t="s">
        <v>927</v>
      </c>
    </row>
    <row r="1181">
      <c r="A1181" s="69"/>
      <c r="B1181" s="68"/>
      <c r="C1181" s="68"/>
      <c r="D1181" s="70"/>
      <c r="E1181" s="68"/>
      <c r="F1181" s="68"/>
      <c r="G1181" s="68"/>
      <c r="H1181" s="35" t="str">
        <f t="shared" si="6"/>
        <v/>
      </c>
      <c r="I1181" s="25" t="s">
        <v>927</v>
      </c>
    </row>
    <row r="1182">
      <c r="A1182" s="69"/>
      <c r="B1182" s="68"/>
      <c r="C1182" s="68"/>
      <c r="D1182" s="70"/>
      <c r="E1182" s="68"/>
      <c r="F1182" s="68"/>
      <c r="G1182" s="68"/>
      <c r="H1182" s="35" t="str">
        <f t="shared" si="6"/>
        <v/>
      </c>
      <c r="I1182" s="25" t="s">
        <v>927</v>
      </c>
    </row>
    <row r="1183">
      <c r="A1183" s="69"/>
      <c r="B1183" s="68"/>
      <c r="C1183" s="68"/>
      <c r="D1183" s="70"/>
      <c r="E1183" s="68"/>
      <c r="F1183" s="68"/>
      <c r="G1183" s="68"/>
      <c r="H1183" s="35" t="str">
        <f t="shared" si="6"/>
        <v/>
      </c>
      <c r="I1183" s="25" t="s">
        <v>927</v>
      </c>
    </row>
    <row r="1184">
      <c r="A1184" s="69"/>
      <c r="B1184" s="68"/>
      <c r="C1184" s="68"/>
      <c r="D1184" s="70"/>
      <c r="E1184" s="68"/>
      <c r="F1184" s="68"/>
      <c r="G1184" s="68"/>
      <c r="H1184" s="35" t="str">
        <f t="shared" si="6"/>
        <v/>
      </c>
      <c r="I1184" s="25" t="s">
        <v>927</v>
      </c>
    </row>
    <row r="1185">
      <c r="A1185" s="69"/>
      <c r="B1185" s="68"/>
      <c r="C1185" s="68"/>
      <c r="D1185" s="70"/>
      <c r="E1185" s="68"/>
      <c r="F1185" s="68"/>
      <c r="G1185" s="68"/>
      <c r="H1185" s="35" t="str">
        <f t="shared" si="6"/>
        <v/>
      </c>
      <c r="I1185" s="25" t="s">
        <v>927</v>
      </c>
    </row>
    <row r="1186">
      <c r="A1186" s="69"/>
      <c r="B1186" s="68"/>
      <c r="C1186" s="68"/>
      <c r="D1186" s="70"/>
      <c r="E1186" s="68"/>
      <c r="F1186" s="68"/>
      <c r="G1186" s="68"/>
      <c r="H1186" s="35" t="str">
        <f t="shared" si="6"/>
        <v/>
      </c>
      <c r="I1186" s="25" t="s">
        <v>927</v>
      </c>
    </row>
    <row r="1187">
      <c r="A1187" s="69"/>
      <c r="B1187" s="68"/>
      <c r="C1187" s="68"/>
      <c r="D1187" s="70"/>
      <c r="E1187" s="68"/>
      <c r="F1187" s="68"/>
      <c r="G1187" s="68"/>
      <c r="H1187" s="35" t="str">
        <f t="shared" si="6"/>
        <v/>
      </c>
      <c r="I1187" s="25" t="s">
        <v>927</v>
      </c>
    </row>
    <row r="1188">
      <c r="A1188" s="69"/>
      <c r="B1188" s="68"/>
      <c r="C1188" s="68"/>
      <c r="D1188" s="70"/>
      <c r="E1188" s="68"/>
      <c r="F1188" s="68"/>
      <c r="G1188" s="68"/>
      <c r="H1188" s="35" t="str">
        <f t="shared" si="6"/>
        <v/>
      </c>
      <c r="I1188" s="25" t="s">
        <v>927</v>
      </c>
    </row>
    <row r="1189">
      <c r="A1189" s="69"/>
      <c r="B1189" s="68"/>
      <c r="C1189" s="68"/>
      <c r="D1189" s="70"/>
      <c r="E1189" s="68"/>
      <c r="F1189" s="68"/>
      <c r="G1189" s="68"/>
      <c r="H1189" s="35" t="str">
        <f t="shared" si="6"/>
        <v/>
      </c>
      <c r="I1189" s="25" t="s">
        <v>927</v>
      </c>
    </row>
    <row r="1190">
      <c r="A1190" s="69"/>
      <c r="B1190" s="68"/>
      <c r="C1190" s="68"/>
      <c r="D1190" s="70"/>
      <c r="E1190" s="68"/>
      <c r="F1190" s="68"/>
      <c r="G1190" s="68"/>
      <c r="H1190" s="35" t="str">
        <f t="shared" si="6"/>
        <v/>
      </c>
      <c r="I1190" s="25" t="s">
        <v>927</v>
      </c>
    </row>
    <row r="1191">
      <c r="A1191" s="69"/>
      <c r="B1191" s="68"/>
      <c r="C1191" s="68"/>
      <c r="D1191" s="70"/>
      <c r="E1191" s="68"/>
      <c r="F1191" s="68"/>
      <c r="G1191" s="68"/>
      <c r="H1191" s="35" t="str">
        <f t="shared" si="6"/>
        <v/>
      </c>
      <c r="I1191" s="25" t="s">
        <v>927</v>
      </c>
    </row>
    <row r="1192">
      <c r="A1192" s="69"/>
      <c r="B1192" s="68"/>
      <c r="C1192" s="68"/>
      <c r="D1192" s="70"/>
      <c r="E1192" s="68"/>
      <c r="F1192" s="68"/>
      <c r="G1192" s="68"/>
      <c r="H1192" s="35" t="str">
        <f t="shared" si="6"/>
        <v/>
      </c>
      <c r="I1192" s="25" t="s">
        <v>927</v>
      </c>
    </row>
    <row r="1193">
      <c r="A1193" s="69"/>
      <c r="B1193" s="68"/>
      <c r="C1193" s="68"/>
      <c r="D1193" s="70"/>
      <c r="E1193" s="68"/>
      <c r="F1193" s="68"/>
      <c r="G1193" s="68"/>
      <c r="H1193" s="35" t="str">
        <f t="shared" si="6"/>
        <v/>
      </c>
      <c r="I1193" s="25" t="s">
        <v>927</v>
      </c>
    </row>
    <row r="1194">
      <c r="A1194" s="69"/>
      <c r="B1194" s="68"/>
      <c r="C1194" s="68"/>
      <c r="D1194" s="70"/>
      <c r="E1194" s="68"/>
      <c r="F1194" s="68"/>
      <c r="G1194" s="68"/>
      <c r="H1194" s="35" t="str">
        <f t="shared" si="6"/>
        <v/>
      </c>
      <c r="I1194" s="25" t="s">
        <v>927</v>
      </c>
    </row>
    <row r="1195">
      <c r="A1195" s="69"/>
      <c r="B1195" s="68"/>
      <c r="C1195" s="68"/>
      <c r="D1195" s="70"/>
      <c r="E1195" s="68"/>
      <c r="F1195" s="68"/>
      <c r="G1195" s="68"/>
      <c r="H1195" s="35" t="str">
        <f t="shared" si="6"/>
        <v/>
      </c>
      <c r="I1195" s="25" t="s">
        <v>927</v>
      </c>
    </row>
    <row r="1196">
      <c r="A1196" s="69"/>
      <c r="B1196" s="68"/>
      <c r="C1196" s="68"/>
      <c r="D1196" s="70"/>
      <c r="E1196" s="68"/>
      <c r="F1196" s="68"/>
      <c r="G1196" s="68"/>
      <c r="H1196" s="35" t="str">
        <f t="shared" si="6"/>
        <v/>
      </c>
      <c r="I1196" s="25" t="s">
        <v>927</v>
      </c>
    </row>
    <row r="1197">
      <c r="A1197" s="69"/>
      <c r="B1197" s="68"/>
      <c r="C1197" s="68"/>
      <c r="D1197" s="70"/>
      <c r="E1197" s="68"/>
      <c r="F1197" s="68"/>
      <c r="G1197" s="68"/>
      <c r="H1197" s="35" t="str">
        <f t="shared" si="6"/>
        <v/>
      </c>
      <c r="I1197" s="25" t="s">
        <v>927</v>
      </c>
    </row>
    <row r="1198">
      <c r="A1198" s="69"/>
      <c r="B1198" s="68"/>
      <c r="C1198" s="68"/>
      <c r="D1198" s="70"/>
      <c r="E1198" s="68"/>
      <c r="F1198" s="68"/>
      <c r="G1198" s="68"/>
      <c r="H1198" s="35" t="str">
        <f t="shared" si="6"/>
        <v/>
      </c>
      <c r="I1198" s="25" t="s">
        <v>927</v>
      </c>
    </row>
    <row r="1199">
      <c r="A1199" s="69"/>
      <c r="B1199" s="68"/>
      <c r="C1199" s="68"/>
      <c r="D1199" s="70"/>
      <c r="E1199" s="68"/>
      <c r="F1199" s="68"/>
      <c r="G1199" s="68"/>
      <c r="H1199" s="35" t="str">
        <f t="shared" si="6"/>
        <v/>
      </c>
      <c r="I1199" s="25" t="s">
        <v>927</v>
      </c>
    </row>
    <row r="1200">
      <c r="A1200" s="69"/>
      <c r="B1200" s="68"/>
      <c r="C1200" s="68"/>
      <c r="D1200" s="70"/>
      <c r="E1200" s="68"/>
      <c r="F1200" s="68"/>
      <c r="G1200" s="68"/>
      <c r="H1200" s="35" t="str">
        <f t="shared" si="6"/>
        <v/>
      </c>
      <c r="I1200" s="25" t="s">
        <v>927</v>
      </c>
    </row>
    <row r="1201">
      <c r="A1201" s="69"/>
      <c r="B1201" s="68"/>
      <c r="C1201" s="68"/>
      <c r="D1201" s="70"/>
      <c r="E1201" s="68"/>
      <c r="F1201" s="68"/>
      <c r="G1201" s="68"/>
      <c r="H1201" s="35" t="str">
        <f t="shared" si="6"/>
        <v/>
      </c>
      <c r="I1201" s="25" t="s">
        <v>927</v>
      </c>
    </row>
    <row r="1202">
      <c r="A1202" s="69"/>
      <c r="B1202" s="68"/>
      <c r="C1202" s="68"/>
      <c r="D1202" s="70"/>
      <c r="E1202" s="68"/>
      <c r="F1202" s="68"/>
      <c r="G1202" s="68"/>
      <c r="H1202" s="35" t="str">
        <f t="shared" si="6"/>
        <v/>
      </c>
      <c r="I1202" s="25" t="s">
        <v>927</v>
      </c>
    </row>
    <row r="1203">
      <c r="A1203" s="69"/>
      <c r="B1203" s="68"/>
      <c r="C1203" s="68"/>
      <c r="D1203" s="70"/>
      <c r="E1203" s="68"/>
      <c r="F1203" s="68"/>
      <c r="G1203" s="68"/>
      <c r="H1203" s="35" t="str">
        <f t="shared" si="6"/>
        <v/>
      </c>
      <c r="I1203" s="25" t="s">
        <v>927</v>
      </c>
    </row>
    <row r="1204">
      <c r="A1204" s="69"/>
      <c r="B1204" s="68"/>
      <c r="C1204" s="68"/>
      <c r="D1204" s="70"/>
      <c r="E1204" s="68"/>
      <c r="F1204" s="68"/>
      <c r="G1204" s="68"/>
      <c r="H1204" s="35" t="str">
        <f t="shared" si="6"/>
        <v/>
      </c>
      <c r="I1204" s="25" t="s">
        <v>927</v>
      </c>
    </row>
    <row r="1205">
      <c r="A1205" s="69"/>
      <c r="B1205" s="68"/>
      <c r="C1205" s="68"/>
      <c r="D1205" s="70"/>
      <c r="E1205" s="68"/>
      <c r="F1205" s="68"/>
      <c r="G1205" s="68"/>
      <c r="H1205" s="35" t="str">
        <f t="shared" si="6"/>
        <v/>
      </c>
      <c r="I1205" s="25" t="s">
        <v>927</v>
      </c>
    </row>
    <row r="1206">
      <c r="A1206" s="69"/>
      <c r="B1206" s="68"/>
      <c r="C1206" s="68"/>
      <c r="D1206" s="70"/>
      <c r="E1206" s="68"/>
      <c r="F1206" s="68"/>
      <c r="G1206" s="68"/>
      <c r="H1206" s="35" t="str">
        <f t="shared" si="6"/>
        <v/>
      </c>
      <c r="I1206" s="25" t="s">
        <v>927</v>
      </c>
    </row>
    <row r="1207">
      <c r="A1207" s="69"/>
      <c r="B1207" s="68"/>
      <c r="C1207" s="68"/>
      <c r="D1207" s="70"/>
      <c r="E1207" s="68"/>
      <c r="F1207" s="68"/>
      <c r="G1207" s="68"/>
      <c r="H1207" s="35" t="str">
        <f t="shared" si="6"/>
        <v/>
      </c>
      <c r="I1207" s="25" t="s">
        <v>927</v>
      </c>
    </row>
    <row r="1208">
      <c r="A1208" s="69"/>
      <c r="B1208" s="68"/>
      <c r="C1208" s="68"/>
      <c r="D1208" s="70"/>
      <c r="E1208" s="68"/>
      <c r="F1208" s="68"/>
      <c r="G1208" s="68"/>
      <c r="H1208" s="35" t="str">
        <f t="shared" si="6"/>
        <v/>
      </c>
      <c r="I1208" s="25" t="s">
        <v>927</v>
      </c>
    </row>
    <row r="1209">
      <c r="A1209" s="69"/>
      <c r="B1209" s="68"/>
      <c r="C1209" s="68"/>
      <c r="D1209" s="70"/>
      <c r="E1209" s="68"/>
      <c r="F1209" s="68"/>
      <c r="G1209" s="68"/>
      <c r="H1209" s="35" t="str">
        <f t="shared" si="6"/>
        <v/>
      </c>
      <c r="I1209" s="25" t="s">
        <v>927</v>
      </c>
    </row>
    <row r="1210">
      <c r="A1210" s="69"/>
      <c r="B1210" s="68"/>
      <c r="C1210" s="68"/>
      <c r="D1210" s="70"/>
      <c r="E1210" s="68"/>
      <c r="F1210" s="68"/>
      <c r="G1210" s="68"/>
      <c r="H1210" s="35" t="str">
        <f t="shared" si="6"/>
        <v/>
      </c>
      <c r="I1210" s="25" t="s">
        <v>927</v>
      </c>
    </row>
    <row r="1211">
      <c r="A1211" s="69"/>
      <c r="B1211" s="68"/>
      <c r="C1211" s="68"/>
      <c r="D1211" s="70"/>
      <c r="E1211" s="68"/>
      <c r="F1211" s="68"/>
      <c r="G1211" s="68"/>
      <c r="H1211" s="35" t="str">
        <f t="shared" si="6"/>
        <v/>
      </c>
      <c r="I1211" s="25" t="s">
        <v>927</v>
      </c>
    </row>
    <row r="1212">
      <c r="A1212" s="69"/>
      <c r="B1212" s="68"/>
      <c r="C1212" s="68"/>
      <c r="D1212" s="70"/>
      <c r="E1212" s="68"/>
      <c r="F1212" s="68"/>
      <c r="G1212" s="68"/>
      <c r="H1212" s="35" t="str">
        <f t="shared" si="6"/>
        <v/>
      </c>
      <c r="I1212" s="25" t="s">
        <v>927</v>
      </c>
    </row>
    <row r="1213">
      <c r="A1213" s="69"/>
      <c r="B1213" s="68"/>
      <c r="C1213" s="68"/>
      <c r="D1213" s="70"/>
      <c r="E1213" s="68"/>
      <c r="F1213" s="68"/>
      <c r="G1213" s="68"/>
      <c r="H1213" s="35" t="str">
        <f t="shared" si="6"/>
        <v/>
      </c>
      <c r="I1213" s="25" t="s">
        <v>927</v>
      </c>
    </row>
    <row r="1214">
      <c r="A1214" s="69"/>
      <c r="B1214" s="68"/>
      <c r="C1214" s="68"/>
      <c r="D1214" s="70"/>
      <c r="E1214" s="68"/>
      <c r="F1214" s="68"/>
      <c r="G1214" s="68"/>
      <c r="H1214" s="35" t="str">
        <f t="shared" si="6"/>
        <v/>
      </c>
      <c r="I1214" s="25" t="s">
        <v>927</v>
      </c>
    </row>
    <row r="1215">
      <c r="A1215" s="69"/>
      <c r="B1215" s="68"/>
      <c r="C1215" s="68"/>
      <c r="D1215" s="70"/>
      <c r="E1215" s="68"/>
      <c r="F1215" s="68"/>
      <c r="G1215" s="68"/>
      <c r="H1215" s="35" t="str">
        <f t="shared" si="6"/>
        <v/>
      </c>
      <c r="I1215" s="25" t="s">
        <v>927</v>
      </c>
    </row>
    <row r="1216">
      <c r="A1216" s="69"/>
      <c r="B1216" s="68"/>
      <c r="C1216" s="68"/>
      <c r="D1216" s="70"/>
      <c r="E1216" s="68"/>
      <c r="F1216" s="68"/>
      <c r="G1216" s="68"/>
      <c r="H1216" s="35" t="str">
        <f t="shared" si="6"/>
        <v/>
      </c>
      <c r="I1216" s="25" t="s">
        <v>927</v>
      </c>
    </row>
    <row r="1217">
      <c r="A1217" s="69"/>
      <c r="B1217" s="68"/>
      <c r="C1217" s="68"/>
      <c r="D1217" s="70"/>
      <c r="E1217" s="68"/>
      <c r="F1217" s="68"/>
      <c r="G1217" s="68"/>
      <c r="H1217" s="35" t="str">
        <f t="shared" si="6"/>
        <v/>
      </c>
      <c r="I1217" s="25" t="s">
        <v>927</v>
      </c>
    </row>
    <row r="1218">
      <c r="A1218" s="69"/>
      <c r="B1218" s="68"/>
      <c r="C1218" s="68"/>
      <c r="D1218" s="70"/>
      <c r="E1218" s="68"/>
      <c r="F1218" s="68"/>
      <c r="G1218" s="68"/>
      <c r="H1218" s="35" t="str">
        <f t="shared" si="6"/>
        <v/>
      </c>
      <c r="I1218" s="25" t="s">
        <v>927</v>
      </c>
    </row>
    <row r="1219">
      <c r="A1219" s="69"/>
      <c r="B1219" s="68"/>
      <c r="C1219" s="68"/>
      <c r="D1219" s="70"/>
      <c r="E1219" s="68"/>
      <c r="F1219" s="68"/>
      <c r="G1219" s="68"/>
      <c r="H1219" s="35" t="str">
        <f t="shared" si="6"/>
        <v/>
      </c>
      <c r="I1219" s="25" t="s">
        <v>927</v>
      </c>
    </row>
    <row r="1220">
      <c r="A1220" s="69"/>
      <c r="B1220" s="68"/>
      <c r="C1220" s="68"/>
      <c r="D1220" s="70"/>
      <c r="E1220" s="68"/>
      <c r="F1220" s="68"/>
      <c r="G1220" s="68"/>
      <c r="H1220" s="35" t="str">
        <f t="shared" si="6"/>
        <v/>
      </c>
      <c r="I1220" s="25" t="s">
        <v>927</v>
      </c>
    </row>
    <row r="1221">
      <c r="A1221" s="69"/>
      <c r="B1221" s="68"/>
      <c r="C1221" s="68"/>
      <c r="D1221" s="70"/>
      <c r="E1221" s="68"/>
      <c r="F1221" s="68"/>
      <c r="G1221" s="68"/>
      <c r="H1221" s="35" t="str">
        <f t="shared" si="6"/>
        <v/>
      </c>
      <c r="I1221" s="25" t="s">
        <v>927</v>
      </c>
    </row>
    <row r="1222">
      <c r="A1222" s="69"/>
      <c r="B1222" s="68"/>
      <c r="C1222" s="68"/>
      <c r="D1222" s="70"/>
      <c r="E1222" s="68"/>
      <c r="F1222" s="68"/>
      <c r="G1222" s="68"/>
      <c r="H1222" s="35" t="str">
        <f t="shared" si="6"/>
        <v/>
      </c>
      <c r="I1222" s="25" t="s">
        <v>927</v>
      </c>
    </row>
    <row r="1223">
      <c r="A1223" s="69"/>
      <c r="B1223" s="68"/>
      <c r="C1223" s="68"/>
      <c r="D1223" s="70"/>
      <c r="E1223" s="68"/>
      <c r="F1223" s="68"/>
      <c r="G1223" s="68"/>
      <c r="H1223" s="35" t="str">
        <f t="shared" si="6"/>
        <v/>
      </c>
      <c r="I1223" s="25" t="s">
        <v>927</v>
      </c>
    </row>
    <row r="1224">
      <c r="A1224" s="69"/>
      <c r="B1224" s="68"/>
      <c r="C1224" s="68"/>
      <c r="D1224" s="70"/>
      <c r="E1224" s="68"/>
      <c r="F1224" s="68"/>
      <c r="G1224" s="68"/>
      <c r="H1224" s="35" t="str">
        <f t="shared" si="6"/>
        <v/>
      </c>
      <c r="I1224" s="25" t="s">
        <v>927</v>
      </c>
    </row>
    <row r="1225">
      <c r="A1225" s="69"/>
      <c r="B1225" s="68"/>
      <c r="C1225" s="68"/>
      <c r="D1225" s="70"/>
      <c r="E1225" s="68"/>
      <c r="F1225" s="68"/>
      <c r="G1225" s="68"/>
      <c r="H1225" s="35" t="str">
        <f t="shared" si="6"/>
        <v/>
      </c>
      <c r="I1225" s="25" t="s">
        <v>927</v>
      </c>
    </row>
    <row r="1226">
      <c r="A1226" s="69"/>
      <c r="B1226" s="68"/>
      <c r="C1226" s="68"/>
      <c r="D1226" s="70"/>
      <c r="E1226" s="68"/>
      <c r="F1226" s="68"/>
      <c r="G1226" s="68"/>
      <c r="H1226" s="35" t="str">
        <f t="shared" si="6"/>
        <v/>
      </c>
      <c r="I1226" s="25" t="s">
        <v>927</v>
      </c>
    </row>
    <row r="1227">
      <c r="A1227" s="69"/>
      <c r="B1227" s="68"/>
      <c r="C1227" s="68"/>
      <c r="D1227" s="70"/>
      <c r="E1227" s="68"/>
      <c r="F1227" s="68"/>
      <c r="G1227" s="68"/>
      <c r="H1227" s="35" t="str">
        <f t="shared" si="6"/>
        <v/>
      </c>
      <c r="I1227" s="25" t="s">
        <v>927</v>
      </c>
    </row>
    <row r="1228">
      <c r="A1228" s="69"/>
      <c r="B1228" s="68"/>
      <c r="C1228" s="68"/>
      <c r="D1228" s="70"/>
      <c r="E1228" s="68"/>
      <c r="F1228" s="68"/>
      <c r="G1228" s="68"/>
      <c r="H1228" s="35" t="str">
        <f t="shared" si="6"/>
        <v/>
      </c>
      <c r="I1228" s="25" t="s">
        <v>927</v>
      </c>
    </row>
    <row r="1229">
      <c r="A1229" s="69"/>
      <c r="B1229" s="68"/>
      <c r="C1229" s="68"/>
      <c r="D1229" s="70"/>
      <c r="E1229" s="68"/>
      <c r="F1229" s="68"/>
      <c r="G1229" s="68"/>
      <c r="H1229" s="35" t="str">
        <f t="shared" si="6"/>
        <v/>
      </c>
      <c r="I1229" s="25" t="s">
        <v>927</v>
      </c>
    </row>
    <row r="1230">
      <c r="A1230" s="69"/>
      <c r="B1230" s="68"/>
      <c r="C1230" s="68"/>
      <c r="D1230" s="70"/>
      <c r="E1230" s="68"/>
      <c r="F1230" s="68"/>
      <c r="G1230" s="68"/>
      <c r="H1230" s="35" t="str">
        <f t="shared" si="6"/>
        <v/>
      </c>
      <c r="I1230" s="25" t="s">
        <v>927</v>
      </c>
    </row>
    <row r="1231">
      <c r="A1231" s="69"/>
      <c r="B1231" s="68"/>
      <c r="C1231" s="68"/>
      <c r="D1231" s="70"/>
      <c r="E1231" s="68"/>
      <c r="F1231" s="68"/>
      <c r="G1231" s="68"/>
      <c r="H1231" s="35" t="str">
        <f t="shared" si="6"/>
        <v/>
      </c>
      <c r="I1231" s="25" t="s">
        <v>927</v>
      </c>
    </row>
    <row r="1232">
      <c r="A1232" s="69"/>
      <c r="B1232" s="68"/>
      <c r="C1232" s="68"/>
      <c r="D1232" s="70"/>
      <c r="E1232" s="68"/>
      <c r="F1232" s="68"/>
      <c r="G1232" s="68"/>
      <c r="H1232" s="35" t="str">
        <f t="shared" si="6"/>
        <v/>
      </c>
      <c r="I1232" s="25" t="s">
        <v>927</v>
      </c>
    </row>
    <row r="1233">
      <c r="A1233" s="69"/>
      <c r="B1233" s="68"/>
      <c r="C1233" s="68"/>
      <c r="D1233" s="70"/>
      <c r="E1233" s="68"/>
      <c r="F1233" s="68"/>
      <c r="G1233" s="68"/>
      <c r="H1233" s="35" t="str">
        <f t="shared" si="6"/>
        <v/>
      </c>
      <c r="I1233" s="25" t="s">
        <v>927</v>
      </c>
    </row>
    <row r="1234">
      <c r="A1234" s="69"/>
      <c r="B1234" s="68"/>
      <c r="C1234" s="68"/>
      <c r="D1234" s="70"/>
      <c r="E1234" s="68"/>
      <c r="F1234" s="68"/>
      <c r="G1234" s="68"/>
      <c r="H1234" s="35" t="str">
        <f t="shared" si="6"/>
        <v/>
      </c>
      <c r="I1234" s="25" t="s">
        <v>927</v>
      </c>
    </row>
    <row r="1235">
      <c r="A1235" s="69"/>
      <c r="B1235" s="68"/>
      <c r="C1235" s="68"/>
      <c r="D1235" s="70"/>
      <c r="E1235" s="68"/>
      <c r="F1235" s="68"/>
      <c r="G1235" s="68"/>
      <c r="H1235" s="35" t="str">
        <f t="shared" si="6"/>
        <v/>
      </c>
      <c r="I1235" s="25" t="s">
        <v>927</v>
      </c>
    </row>
    <row r="1236">
      <c r="A1236" s="69"/>
      <c r="B1236" s="68"/>
      <c r="C1236" s="68"/>
      <c r="D1236" s="70"/>
      <c r="E1236" s="68"/>
      <c r="F1236" s="68"/>
      <c r="G1236" s="68"/>
      <c r="H1236" s="35" t="str">
        <f t="shared" si="6"/>
        <v/>
      </c>
      <c r="I1236" s="25" t="s">
        <v>927</v>
      </c>
    </row>
    <row r="1237">
      <c r="A1237" s="69"/>
      <c r="B1237" s="68"/>
      <c r="C1237" s="68"/>
      <c r="D1237" s="70"/>
      <c r="E1237" s="68"/>
      <c r="F1237" s="68"/>
      <c r="G1237" s="68"/>
      <c r="H1237" s="35" t="str">
        <f t="shared" si="6"/>
        <v/>
      </c>
      <c r="I1237" s="25" t="s">
        <v>927</v>
      </c>
    </row>
    <row r="1238">
      <c r="A1238" s="69"/>
      <c r="B1238" s="68"/>
      <c r="C1238" s="68"/>
      <c r="D1238" s="70"/>
      <c r="E1238" s="68"/>
      <c r="F1238" s="68"/>
      <c r="G1238" s="68"/>
      <c r="H1238" s="35" t="str">
        <f t="shared" si="6"/>
        <v/>
      </c>
      <c r="I1238" s="25" t="s">
        <v>927</v>
      </c>
    </row>
    <row r="1239">
      <c r="A1239" s="69"/>
      <c r="B1239" s="68"/>
      <c r="C1239" s="68"/>
      <c r="D1239" s="70"/>
      <c r="E1239" s="68"/>
      <c r="F1239" s="68"/>
      <c r="G1239" s="68"/>
      <c r="H1239" s="35" t="str">
        <f t="shared" si="6"/>
        <v/>
      </c>
      <c r="I1239" s="25" t="s">
        <v>927</v>
      </c>
    </row>
    <row r="1240">
      <c r="A1240" s="69"/>
      <c r="B1240" s="68"/>
      <c r="C1240" s="68"/>
      <c r="D1240" s="70"/>
      <c r="E1240" s="68"/>
      <c r="F1240" s="68"/>
      <c r="G1240" s="68"/>
      <c r="H1240" s="35" t="str">
        <f t="shared" si="6"/>
        <v/>
      </c>
      <c r="I1240" s="25" t="s">
        <v>927</v>
      </c>
    </row>
    <row r="1241">
      <c r="A1241" s="69"/>
      <c r="B1241" s="68"/>
      <c r="C1241" s="68"/>
      <c r="D1241" s="70"/>
      <c r="E1241" s="68"/>
      <c r="F1241" s="68"/>
      <c r="G1241" s="68"/>
      <c r="H1241" s="35" t="str">
        <f t="shared" si="6"/>
        <v/>
      </c>
      <c r="I1241" s="25" t="s">
        <v>927</v>
      </c>
    </row>
    <row r="1242">
      <c r="A1242" s="69"/>
      <c r="B1242" s="68"/>
      <c r="C1242" s="68"/>
      <c r="D1242" s="70"/>
      <c r="E1242" s="68"/>
      <c r="F1242" s="68"/>
      <c r="G1242" s="68"/>
      <c r="H1242" s="35" t="str">
        <f t="shared" si="6"/>
        <v/>
      </c>
      <c r="I1242" s="25" t="s">
        <v>927</v>
      </c>
    </row>
    <row r="1243">
      <c r="A1243" s="69"/>
      <c r="B1243" s="68"/>
      <c r="C1243" s="68"/>
      <c r="D1243" s="70"/>
      <c r="E1243" s="68"/>
      <c r="F1243" s="68"/>
      <c r="G1243" s="68"/>
      <c r="H1243" s="35" t="str">
        <f t="shared" si="6"/>
        <v/>
      </c>
      <c r="I1243" s="25" t="s">
        <v>927</v>
      </c>
    </row>
    <row r="1244">
      <c r="A1244" s="69"/>
      <c r="B1244" s="68"/>
      <c r="C1244" s="68"/>
      <c r="D1244" s="70"/>
      <c r="E1244" s="68"/>
      <c r="F1244" s="68"/>
      <c r="G1244" s="68"/>
      <c r="H1244" s="35" t="str">
        <f t="shared" si="6"/>
        <v/>
      </c>
      <c r="I1244" s="25" t="s">
        <v>927</v>
      </c>
    </row>
    <row r="1245">
      <c r="A1245" s="69"/>
      <c r="B1245" s="68"/>
      <c r="C1245" s="68"/>
      <c r="D1245" s="70"/>
      <c r="E1245" s="68"/>
      <c r="F1245" s="68"/>
      <c r="G1245" s="68"/>
      <c r="H1245" s="35" t="str">
        <f t="shared" si="6"/>
        <v/>
      </c>
      <c r="I1245" s="25" t="s">
        <v>927</v>
      </c>
    </row>
    <row r="1246">
      <c r="A1246" s="69"/>
      <c r="B1246" s="68"/>
      <c r="C1246" s="68"/>
      <c r="D1246" s="70"/>
      <c r="E1246" s="68"/>
      <c r="F1246" s="68"/>
      <c r="G1246" s="68"/>
      <c r="H1246" s="35" t="str">
        <f t="shared" si="6"/>
        <v/>
      </c>
      <c r="I1246" s="25" t="s">
        <v>927</v>
      </c>
    </row>
    <row r="1247">
      <c r="A1247" s="69"/>
      <c r="B1247" s="68"/>
      <c r="C1247" s="68"/>
      <c r="D1247" s="70"/>
      <c r="E1247" s="68"/>
      <c r="F1247" s="68"/>
      <c r="G1247" s="68"/>
      <c r="H1247" s="35" t="str">
        <f t="shared" si="6"/>
        <v/>
      </c>
      <c r="I1247" s="25" t="s">
        <v>927</v>
      </c>
    </row>
    <row r="1248">
      <c r="A1248" s="69"/>
      <c r="B1248" s="68"/>
      <c r="C1248" s="68"/>
      <c r="D1248" s="70"/>
      <c r="E1248" s="68"/>
      <c r="F1248" s="68"/>
      <c r="G1248" s="68"/>
      <c r="H1248" s="35" t="str">
        <f t="shared" si="6"/>
        <v/>
      </c>
      <c r="I1248" s="25" t="s">
        <v>927</v>
      </c>
    </row>
    <row r="1249">
      <c r="A1249" s="69"/>
      <c r="B1249" s="68"/>
      <c r="C1249" s="68"/>
      <c r="D1249" s="70"/>
      <c r="E1249" s="68"/>
      <c r="F1249" s="68"/>
      <c r="G1249" s="68"/>
      <c r="H1249" s="35" t="str">
        <f t="shared" si="6"/>
        <v/>
      </c>
      <c r="I1249" s="25" t="s">
        <v>927</v>
      </c>
    </row>
    <row r="1250">
      <c r="A1250" s="69"/>
      <c r="B1250" s="68"/>
      <c r="C1250" s="68"/>
      <c r="D1250" s="70"/>
      <c r="E1250" s="68"/>
      <c r="F1250" s="68"/>
      <c r="G1250" s="68"/>
      <c r="H1250" s="35" t="str">
        <f t="shared" si="6"/>
        <v/>
      </c>
      <c r="I1250" s="25" t="s">
        <v>927</v>
      </c>
    </row>
    <row r="1251">
      <c r="A1251" s="69"/>
      <c r="B1251" s="68"/>
      <c r="C1251" s="68"/>
      <c r="D1251" s="70"/>
      <c r="E1251" s="68"/>
      <c r="F1251" s="68"/>
      <c r="G1251" s="68"/>
      <c r="H1251" s="35" t="str">
        <f t="shared" si="6"/>
        <v/>
      </c>
      <c r="I1251" s="25" t="s">
        <v>927</v>
      </c>
    </row>
    <row r="1252">
      <c r="A1252" s="69"/>
      <c r="B1252" s="68"/>
      <c r="C1252" s="68"/>
      <c r="D1252" s="70"/>
      <c r="E1252" s="68"/>
      <c r="F1252" s="68"/>
      <c r="G1252" s="68"/>
      <c r="H1252" s="35" t="str">
        <f t="shared" si="6"/>
        <v/>
      </c>
      <c r="I1252" s="25" t="s">
        <v>927</v>
      </c>
    </row>
    <row r="1253">
      <c r="A1253" s="69"/>
      <c r="B1253" s="68"/>
      <c r="C1253" s="68"/>
      <c r="D1253" s="70"/>
      <c r="E1253" s="68"/>
      <c r="F1253" s="68"/>
      <c r="G1253" s="68"/>
      <c r="H1253" s="35" t="str">
        <f t="shared" si="6"/>
        <v/>
      </c>
      <c r="I1253" s="25" t="s">
        <v>927</v>
      </c>
    </row>
    <row r="1254">
      <c r="A1254" s="69"/>
      <c r="B1254" s="68"/>
      <c r="C1254" s="68"/>
      <c r="D1254" s="70"/>
      <c r="E1254" s="68"/>
      <c r="F1254" s="68"/>
      <c r="G1254" s="68"/>
      <c r="H1254" s="35" t="str">
        <f t="shared" si="6"/>
        <v/>
      </c>
      <c r="I1254" s="25" t="s">
        <v>927</v>
      </c>
    </row>
    <row r="1255">
      <c r="A1255" s="69"/>
      <c r="B1255" s="68"/>
      <c r="C1255" s="68"/>
      <c r="D1255" s="70"/>
      <c r="E1255" s="68"/>
      <c r="F1255" s="68"/>
      <c r="G1255" s="68"/>
      <c r="H1255" s="35" t="str">
        <f t="shared" si="6"/>
        <v/>
      </c>
      <c r="I1255" s="25" t="s">
        <v>927</v>
      </c>
    </row>
    <row r="1256">
      <c r="A1256" s="69"/>
      <c r="B1256" s="68"/>
      <c r="C1256" s="68"/>
      <c r="D1256" s="70"/>
      <c r="E1256" s="68"/>
      <c r="F1256" s="68"/>
      <c r="G1256" s="68"/>
      <c r="H1256" s="35" t="str">
        <f t="shared" si="6"/>
        <v/>
      </c>
      <c r="I1256" s="25" t="s">
        <v>927</v>
      </c>
    </row>
    <row r="1257">
      <c r="A1257" s="69"/>
      <c r="B1257" s="68"/>
      <c r="C1257" s="68"/>
      <c r="D1257" s="70"/>
      <c r="E1257" s="68"/>
      <c r="F1257" s="68"/>
      <c r="G1257" s="68"/>
      <c r="H1257" s="35" t="str">
        <f t="shared" si="6"/>
        <v/>
      </c>
      <c r="I1257" s="25" t="s">
        <v>927</v>
      </c>
    </row>
    <row r="1258">
      <c r="A1258" s="69"/>
      <c r="B1258" s="68"/>
      <c r="C1258" s="68"/>
      <c r="D1258" s="70"/>
      <c r="E1258" s="68"/>
      <c r="F1258" s="68"/>
      <c r="G1258" s="68"/>
      <c r="H1258" s="35" t="str">
        <f t="shared" si="6"/>
        <v/>
      </c>
      <c r="I1258" s="25" t="s">
        <v>927</v>
      </c>
    </row>
    <row r="1259">
      <c r="A1259" s="69"/>
      <c r="B1259" s="68"/>
      <c r="C1259" s="68"/>
      <c r="D1259" s="70"/>
      <c r="E1259" s="68"/>
      <c r="F1259" s="68"/>
      <c r="G1259" s="68"/>
      <c r="H1259" s="35" t="str">
        <f t="shared" si="6"/>
        <v/>
      </c>
      <c r="I1259" s="25" t="s">
        <v>927</v>
      </c>
    </row>
    <row r="1260">
      <c r="A1260" s="69"/>
      <c r="B1260" s="68"/>
      <c r="C1260" s="68"/>
      <c r="D1260" s="70"/>
      <c r="E1260" s="68"/>
      <c r="F1260" s="68"/>
      <c r="G1260" s="68"/>
      <c r="H1260" s="35" t="str">
        <f t="shared" si="6"/>
        <v/>
      </c>
      <c r="I1260" s="25" t="s">
        <v>927</v>
      </c>
    </row>
    <row r="1261">
      <c r="A1261" s="69"/>
      <c r="B1261" s="68"/>
      <c r="C1261" s="68"/>
      <c r="D1261" s="70"/>
      <c r="E1261" s="68"/>
      <c r="F1261" s="68"/>
      <c r="G1261" s="68"/>
      <c r="H1261" s="35" t="str">
        <f t="shared" si="6"/>
        <v/>
      </c>
      <c r="I1261" s="25" t="s">
        <v>927</v>
      </c>
    </row>
    <row r="1262">
      <c r="A1262" s="69"/>
      <c r="B1262" s="68"/>
      <c r="C1262" s="68"/>
      <c r="D1262" s="70"/>
      <c r="E1262" s="68"/>
      <c r="F1262" s="68"/>
      <c r="G1262" s="68"/>
      <c r="H1262" s="35" t="str">
        <f t="shared" si="6"/>
        <v/>
      </c>
      <c r="I1262" s="25" t="s">
        <v>927</v>
      </c>
    </row>
    <row r="1263">
      <c r="A1263" s="69"/>
      <c r="B1263" s="68"/>
      <c r="C1263" s="68"/>
      <c r="D1263" s="70"/>
      <c r="E1263" s="68"/>
      <c r="F1263" s="68"/>
      <c r="G1263" s="68"/>
      <c r="H1263" s="35" t="str">
        <f t="shared" si="6"/>
        <v/>
      </c>
      <c r="I1263" s="25" t="s">
        <v>927</v>
      </c>
    </row>
    <row r="1264">
      <c r="A1264" s="69"/>
      <c r="B1264" s="68"/>
      <c r="C1264" s="68"/>
      <c r="D1264" s="70"/>
      <c r="E1264" s="68"/>
      <c r="F1264" s="68"/>
      <c r="G1264" s="68"/>
      <c r="H1264" s="35" t="str">
        <f t="shared" si="6"/>
        <v/>
      </c>
      <c r="I1264" s="25" t="s">
        <v>927</v>
      </c>
    </row>
    <row r="1265">
      <c r="A1265" s="69"/>
      <c r="B1265" s="68"/>
      <c r="C1265" s="68"/>
      <c r="D1265" s="70"/>
      <c r="E1265" s="68"/>
      <c r="F1265" s="68"/>
      <c r="G1265" s="68"/>
      <c r="H1265" s="35" t="str">
        <f t="shared" si="6"/>
        <v/>
      </c>
      <c r="I1265" s="25" t="s">
        <v>927</v>
      </c>
    </row>
    <row r="1266">
      <c r="A1266" s="69"/>
      <c r="B1266" s="68"/>
      <c r="C1266" s="68"/>
      <c r="D1266" s="70"/>
      <c r="E1266" s="68"/>
      <c r="F1266" s="68"/>
      <c r="G1266" s="68"/>
      <c r="H1266" s="35" t="str">
        <f t="shared" si="6"/>
        <v/>
      </c>
      <c r="I1266" s="25" t="s">
        <v>927</v>
      </c>
    </row>
    <row r="1267">
      <c r="A1267" s="69"/>
      <c r="B1267" s="68"/>
      <c r="C1267" s="68"/>
      <c r="D1267" s="70"/>
      <c r="E1267" s="68"/>
      <c r="F1267" s="68"/>
      <c r="G1267" s="68"/>
      <c r="H1267" s="35" t="str">
        <f t="shared" si="6"/>
        <v/>
      </c>
      <c r="I1267" s="25" t="s">
        <v>927</v>
      </c>
    </row>
    <row r="1268">
      <c r="A1268" s="69"/>
      <c r="B1268" s="68"/>
      <c r="C1268" s="68"/>
      <c r="D1268" s="70"/>
      <c r="E1268" s="68"/>
      <c r="F1268" s="68"/>
      <c r="G1268" s="68"/>
      <c r="H1268" s="35" t="str">
        <f t="shared" si="6"/>
        <v/>
      </c>
      <c r="I1268" s="25" t="s">
        <v>927</v>
      </c>
    </row>
    <row r="1269">
      <c r="A1269" s="69"/>
      <c r="B1269" s="68"/>
      <c r="C1269" s="68"/>
      <c r="D1269" s="70"/>
      <c r="E1269" s="68"/>
      <c r="F1269" s="68"/>
      <c r="G1269" s="68"/>
      <c r="H1269" s="35" t="str">
        <f t="shared" si="6"/>
        <v/>
      </c>
      <c r="I1269" s="25" t="s">
        <v>927</v>
      </c>
    </row>
    <row r="1270">
      <c r="A1270" s="69"/>
      <c r="B1270" s="68"/>
      <c r="C1270" s="68"/>
      <c r="D1270" s="70"/>
      <c r="E1270" s="68"/>
      <c r="F1270" s="68"/>
      <c r="G1270" s="68"/>
      <c r="H1270" s="35" t="str">
        <f t="shared" si="6"/>
        <v/>
      </c>
      <c r="I1270" s="25" t="s">
        <v>927</v>
      </c>
    </row>
    <row r="1271">
      <c r="A1271" s="69"/>
      <c r="B1271" s="68"/>
      <c r="C1271" s="68"/>
      <c r="D1271" s="70"/>
      <c r="E1271" s="68"/>
      <c r="F1271" s="68"/>
      <c r="G1271" s="68"/>
      <c r="H1271" s="35" t="str">
        <f t="shared" si="6"/>
        <v/>
      </c>
      <c r="I1271" s="25" t="s">
        <v>927</v>
      </c>
    </row>
    <row r="1272">
      <c r="A1272" s="69"/>
      <c r="B1272" s="68"/>
      <c r="C1272" s="68"/>
      <c r="D1272" s="70"/>
      <c r="E1272" s="68"/>
      <c r="F1272" s="68"/>
      <c r="G1272" s="68"/>
      <c r="H1272" s="35" t="str">
        <f t="shared" si="6"/>
        <v/>
      </c>
      <c r="I1272" s="25" t="s">
        <v>927</v>
      </c>
    </row>
    <row r="1273">
      <c r="A1273" s="69"/>
      <c r="B1273" s="68"/>
      <c r="C1273" s="68"/>
      <c r="D1273" s="70"/>
      <c r="E1273" s="68"/>
      <c r="F1273" s="68"/>
      <c r="G1273" s="68"/>
      <c r="H1273" s="35" t="str">
        <f t="shared" si="6"/>
        <v/>
      </c>
      <c r="I1273" s="25" t="s">
        <v>927</v>
      </c>
    </row>
    <row r="1274">
      <c r="A1274" s="69"/>
      <c r="B1274" s="68"/>
      <c r="C1274" s="68"/>
      <c r="D1274" s="70"/>
      <c r="E1274" s="68"/>
      <c r="F1274" s="68"/>
      <c r="G1274" s="68"/>
      <c r="H1274" s="35" t="str">
        <f t="shared" si="6"/>
        <v/>
      </c>
      <c r="I1274" s="25" t="s">
        <v>927</v>
      </c>
    </row>
    <row r="1275">
      <c r="A1275" s="69"/>
      <c r="B1275" s="68"/>
      <c r="C1275" s="68"/>
      <c r="D1275" s="70"/>
      <c r="E1275" s="68"/>
      <c r="F1275" s="68"/>
      <c r="G1275" s="68"/>
      <c r="H1275" s="35" t="str">
        <f t="shared" si="6"/>
        <v/>
      </c>
      <c r="I1275" s="25" t="s">
        <v>927</v>
      </c>
    </row>
    <row r="1276">
      <c r="A1276" s="69"/>
      <c r="B1276" s="68"/>
      <c r="C1276" s="68"/>
      <c r="D1276" s="70"/>
      <c r="E1276" s="68"/>
      <c r="F1276" s="68"/>
      <c r="G1276" s="68"/>
      <c r="H1276" s="35" t="str">
        <f t="shared" si="6"/>
        <v/>
      </c>
      <c r="I1276" s="25" t="s">
        <v>927</v>
      </c>
    </row>
    <row r="1277">
      <c r="A1277" s="69"/>
      <c r="B1277" s="68"/>
      <c r="C1277" s="68"/>
      <c r="D1277" s="70"/>
      <c r="E1277" s="68"/>
      <c r="F1277" s="68"/>
      <c r="G1277" s="68"/>
      <c r="H1277" s="35" t="str">
        <f t="shared" si="6"/>
        <v/>
      </c>
      <c r="I1277" s="25" t="s">
        <v>927</v>
      </c>
    </row>
    <row r="1278">
      <c r="A1278" s="69"/>
      <c r="B1278" s="68"/>
      <c r="C1278" s="68"/>
      <c r="D1278" s="70"/>
      <c r="E1278" s="68"/>
      <c r="F1278" s="68"/>
      <c r="G1278" s="68"/>
      <c r="H1278" s="35" t="str">
        <f t="shared" si="6"/>
        <v/>
      </c>
      <c r="I1278" s="25" t="s">
        <v>927</v>
      </c>
    </row>
    <row r="1279">
      <c r="A1279" s="69"/>
      <c r="B1279" s="68"/>
      <c r="C1279" s="68"/>
      <c r="D1279" s="70"/>
      <c r="E1279" s="68"/>
      <c r="F1279" s="68"/>
      <c r="G1279" s="68"/>
      <c r="H1279" s="35" t="str">
        <f t="shared" si="6"/>
        <v/>
      </c>
      <c r="I1279" s="25" t="s">
        <v>927</v>
      </c>
    </row>
    <row r="1280">
      <c r="A1280" s="69"/>
      <c r="B1280" s="68"/>
      <c r="C1280" s="68"/>
      <c r="D1280" s="70"/>
      <c r="E1280" s="68"/>
      <c r="F1280" s="68"/>
      <c r="G1280" s="68"/>
      <c r="H1280" s="35" t="str">
        <f t="shared" si="6"/>
        <v/>
      </c>
      <c r="I1280" s="25" t="s">
        <v>927</v>
      </c>
    </row>
    <row r="1281">
      <c r="A1281" s="69"/>
      <c r="B1281" s="68"/>
      <c r="C1281" s="68"/>
      <c r="D1281" s="70"/>
      <c r="E1281" s="68"/>
      <c r="F1281" s="68"/>
      <c r="G1281" s="68"/>
      <c r="H1281" s="35" t="str">
        <f t="shared" si="6"/>
        <v/>
      </c>
      <c r="I1281" s="25" t="s">
        <v>927</v>
      </c>
    </row>
    <row r="1282">
      <c r="A1282" s="69"/>
      <c r="B1282" s="68"/>
      <c r="C1282" s="68"/>
      <c r="D1282" s="70"/>
      <c r="E1282" s="68"/>
      <c r="F1282" s="68"/>
      <c r="G1282" s="68"/>
      <c r="H1282" s="35" t="str">
        <f t="shared" si="6"/>
        <v/>
      </c>
      <c r="I1282" s="25" t="s">
        <v>927</v>
      </c>
    </row>
    <row r="1283">
      <c r="A1283" s="69"/>
      <c r="B1283" s="68"/>
      <c r="C1283" s="68"/>
      <c r="D1283" s="70"/>
      <c r="E1283" s="68"/>
      <c r="F1283" s="68"/>
      <c r="G1283" s="68"/>
      <c r="H1283" s="35" t="str">
        <f t="shared" si="6"/>
        <v/>
      </c>
      <c r="I1283" s="25" t="s">
        <v>927</v>
      </c>
    </row>
    <row r="1284">
      <c r="A1284" s="69"/>
      <c r="B1284" s="68"/>
      <c r="C1284" s="68"/>
      <c r="D1284" s="70"/>
      <c r="E1284" s="68"/>
      <c r="F1284" s="68"/>
      <c r="G1284" s="68"/>
      <c r="H1284" s="35" t="str">
        <f t="shared" si="6"/>
        <v/>
      </c>
      <c r="I1284" s="25" t="s">
        <v>927</v>
      </c>
    </row>
    <row r="1285">
      <c r="A1285" s="69"/>
      <c r="B1285" s="68"/>
      <c r="C1285" s="68"/>
      <c r="D1285" s="70"/>
      <c r="E1285" s="68"/>
      <c r="F1285" s="68"/>
      <c r="G1285" s="68"/>
      <c r="H1285" s="35" t="str">
        <f t="shared" si="6"/>
        <v/>
      </c>
      <c r="I1285" s="25" t="s">
        <v>927</v>
      </c>
    </row>
    <row r="1286">
      <c r="A1286" s="69"/>
      <c r="B1286" s="68"/>
      <c r="C1286" s="68"/>
      <c r="D1286" s="70"/>
      <c r="E1286" s="68"/>
      <c r="F1286" s="68"/>
      <c r="G1286" s="68"/>
      <c r="H1286" s="35" t="str">
        <f t="shared" si="6"/>
        <v/>
      </c>
      <c r="I1286" s="25" t="s">
        <v>927</v>
      </c>
    </row>
    <row r="1287">
      <c r="A1287" s="69"/>
      <c r="B1287" s="68"/>
      <c r="C1287" s="68"/>
      <c r="D1287" s="70"/>
      <c r="E1287" s="68"/>
      <c r="F1287" s="68"/>
      <c r="G1287" s="68"/>
      <c r="H1287" s="35" t="str">
        <f t="shared" si="6"/>
        <v/>
      </c>
      <c r="I1287" s="25" t="s">
        <v>927</v>
      </c>
    </row>
    <row r="1288">
      <c r="A1288" s="69"/>
      <c r="B1288" s="68"/>
      <c r="C1288" s="68"/>
      <c r="D1288" s="70"/>
      <c r="E1288" s="68"/>
      <c r="F1288" s="68"/>
      <c r="G1288" s="68"/>
      <c r="H1288" s="35" t="str">
        <f t="shared" si="6"/>
        <v/>
      </c>
      <c r="I1288" s="25" t="s">
        <v>927</v>
      </c>
    </row>
    <row r="1289">
      <c r="A1289" s="69"/>
      <c r="B1289" s="68"/>
      <c r="C1289" s="68"/>
      <c r="D1289" s="70"/>
      <c r="E1289" s="68"/>
      <c r="F1289" s="68"/>
      <c r="G1289" s="68"/>
      <c r="H1289" s="35" t="str">
        <f t="shared" si="6"/>
        <v/>
      </c>
      <c r="I1289" s="25" t="s">
        <v>927</v>
      </c>
    </row>
    <row r="1290">
      <c r="A1290" s="69"/>
      <c r="B1290" s="68"/>
      <c r="C1290" s="68"/>
      <c r="D1290" s="70"/>
      <c r="E1290" s="68"/>
      <c r="F1290" s="68"/>
      <c r="G1290" s="68"/>
      <c r="H1290" s="35" t="str">
        <f t="shared" si="6"/>
        <v/>
      </c>
      <c r="I1290" s="25" t="s">
        <v>927</v>
      </c>
    </row>
    <row r="1291">
      <c r="A1291" s="69"/>
      <c r="B1291" s="68"/>
      <c r="C1291" s="68"/>
      <c r="D1291" s="70"/>
      <c r="E1291" s="68"/>
      <c r="F1291" s="68"/>
      <c r="G1291" s="68"/>
      <c r="H1291" s="35" t="str">
        <f t="shared" si="6"/>
        <v/>
      </c>
      <c r="I1291" s="25" t="s">
        <v>927</v>
      </c>
    </row>
    <row r="1292">
      <c r="A1292" s="69"/>
      <c r="B1292" s="68"/>
      <c r="C1292" s="68"/>
      <c r="D1292" s="70"/>
      <c r="E1292" s="68"/>
      <c r="F1292" s="68"/>
      <c r="G1292" s="68"/>
      <c r="H1292" s="35" t="str">
        <f t="shared" si="6"/>
        <v/>
      </c>
      <c r="I1292" s="25" t="s">
        <v>927</v>
      </c>
    </row>
    <row r="1293">
      <c r="A1293" s="69"/>
      <c r="B1293" s="68"/>
      <c r="C1293" s="68"/>
      <c r="D1293" s="70"/>
      <c r="E1293" s="68"/>
      <c r="F1293" s="68"/>
      <c r="G1293" s="68"/>
      <c r="H1293" s="35" t="str">
        <f t="shared" si="6"/>
        <v/>
      </c>
      <c r="I1293" s="25" t="s">
        <v>927</v>
      </c>
    </row>
    <row r="1294">
      <c r="A1294" s="69"/>
      <c r="B1294" s="68"/>
      <c r="C1294" s="68"/>
      <c r="D1294" s="70"/>
      <c r="E1294" s="68"/>
      <c r="F1294" s="68"/>
      <c r="G1294" s="68"/>
      <c r="H1294" s="35" t="str">
        <f t="shared" si="6"/>
        <v/>
      </c>
      <c r="I1294" s="25" t="s">
        <v>927</v>
      </c>
    </row>
    <row r="1295">
      <c r="A1295" s="69"/>
      <c r="B1295" s="68"/>
      <c r="C1295" s="68"/>
      <c r="D1295" s="70"/>
      <c r="E1295" s="68"/>
      <c r="F1295" s="68"/>
      <c r="G1295" s="68"/>
      <c r="H1295" s="35" t="str">
        <f t="shared" si="6"/>
        <v/>
      </c>
      <c r="I1295" s="25" t="s">
        <v>927</v>
      </c>
    </row>
    <row r="1296">
      <c r="A1296" s="69"/>
      <c r="B1296" s="68"/>
      <c r="C1296" s="68"/>
      <c r="D1296" s="70"/>
      <c r="E1296" s="68"/>
      <c r="F1296" s="68"/>
      <c r="G1296" s="68"/>
      <c r="H1296" s="35" t="str">
        <f t="shared" si="6"/>
        <v/>
      </c>
      <c r="I1296" s="25" t="s">
        <v>927</v>
      </c>
    </row>
    <row r="1297">
      <c r="A1297" s="69"/>
      <c r="B1297" s="68"/>
      <c r="C1297" s="68"/>
      <c r="D1297" s="70"/>
      <c r="E1297" s="68"/>
      <c r="F1297" s="68"/>
      <c r="G1297" s="68"/>
      <c r="H1297" s="35" t="str">
        <f t="shared" si="6"/>
        <v/>
      </c>
      <c r="I1297" s="25" t="s">
        <v>927</v>
      </c>
    </row>
    <row r="1298">
      <c r="A1298" s="69"/>
      <c r="B1298" s="68"/>
      <c r="C1298" s="68"/>
      <c r="D1298" s="70"/>
      <c r="E1298" s="68"/>
      <c r="F1298" s="68"/>
      <c r="G1298" s="68"/>
      <c r="H1298" s="35" t="str">
        <f t="shared" si="6"/>
        <v/>
      </c>
      <c r="I1298" s="25" t="s">
        <v>927</v>
      </c>
    </row>
    <row r="1299">
      <c r="A1299" s="69"/>
      <c r="B1299" s="68"/>
      <c r="C1299" s="68"/>
      <c r="D1299" s="70"/>
      <c r="E1299" s="68"/>
      <c r="F1299" s="68"/>
      <c r="G1299" s="68"/>
      <c r="H1299" s="35" t="str">
        <f t="shared" si="6"/>
        <v/>
      </c>
      <c r="I1299" s="25" t="s">
        <v>927</v>
      </c>
    </row>
    <row r="1300">
      <c r="A1300" s="69"/>
      <c r="B1300" s="68"/>
      <c r="C1300" s="68"/>
      <c r="D1300" s="70"/>
      <c r="E1300" s="68"/>
      <c r="F1300" s="68"/>
      <c r="G1300" s="68"/>
      <c r="H1300" s="35" t="str">
        <f t="shared" si="6"/>
        <v/>
      </c>
      <c r="I1300" s="25" t="s">
        <v>927</v>
      </c>
    </row>
    <row r="1301">
      <c r="A1301" s="69"/>
      <c r="B1301" s="68"/>
      <c r="C1301" s="68"/>
      <c r="D1301" s="70"/>
      <c r="E1301" s="68"/>
      <c r="F1301" s="68"/>
      <c r="G1301" s="68"/>
      <c r="H1301" s="35" t="str">
        <f t="shared" si="6"/>
        <v/>
      </c>
      <c r="I1301" s="25" t="s">
        <v>927</v>
      </c>
    </row>
    <row r="1302">
      <c r="A1302" s="69"/>
      <c r="B1302" s="68"/>
      <c r="C1302" s="68"/>
      <c r="D1302" s="70"/>
      <c r="E1302" s="68"/>
      <c r="F1302" s="68"/>
      <c r="G1302" s="68"/>
      <c r="H1302" s="35" t="str">
        <f t="shared" si="6"/>
        <v/>
      </c>
      <c r="I1302" s="25" t="s">
        <v>927</v>
      </c>
    </row>
    <row r="1303">
      <c r="A1303" s="69"/>
      <c r="B1303" s="68"/>
      <c r="C1303" s="68"/>
      <c r="D1303" s="70"/>
      <c r="E1303" s="68"/>
      <c r="F1303" s="68"/>
      <c r="G1303" s="68"/>
      <c r="H1303" s="35" t="str">
        <f t="shared" si="6"/>
        <v/>
      </c>
      <c r="I1303" s="25" t="s">
        <v>927</v>
      </c>
    </row>
    <row r="1304">
      <c r="A1304" s="69"/>
      <c r="B1304" s="68"/>
      <c r="C1304" s="68"/>
      <c r="D1304" s="70"/>
      <c r="E1304" s="68"/>
      <c r="F1304" s="68"/>
      <c r="G1304" s="68"/>
      <c r="H1304" s="35" t="str">
        <f t="shared" si="6"/>
        <v/>
      </c>
      <c r="I1304" s="25" t="s">
        <v>927</v>
      </c>
    </row>
    <row r="1305">
      <c r="A1305" s="69"/>
      <c r="B1305" s="68"/>
      <c r="C1305" s="68"/>
      <c r="D1305" s="70"/>
      <c r="E1305" s="68"/>
      <c r="F1305" s="68"/>
      <c r="G1305" s="68"/>
      <c r="H1305" s="35" t="str">
        <f t="shared" si="6"/>
        <v/>
      </c>
      <c r="I1305" s="25" t="s">
        <v>927</v>
      </c>
    </row>
    <row r="1306">
      <c r="A1306" s="69"/>
      <c r="B1306" s="68"/>
      <c r="C1306" s="68"/>
      <c r="D1306" s="70"/>
      <c r="E1306" s="68"/>
      <c r="F1306" s="68"/>
      <c r="G1306" s="68"/>
      <c r="H1306" s="35" t="str">
        <f t="shared" si="6"/>
        <v/>
      </c>
      <c r="I1306" s="25" t="s">
        <v>927</v>
      </c>
    </row>
    <row r="1307">
      <c r="A1307" s="69"/>
      <c r="B1307" s="68"/>
      <c r="C1307" s="68"/>
      <c r="D1307" s="70"/>
      <c r="E1307" s="68"/>
      <c r="F1307" s="68"/>
      <c r="G1307" s="68"/>
      <c r="H1307" s="35" t="str">
        <f t="shared" si="6"/>
        <v/>
      </c>
      <c r="I1307" s="25" t="s">
        <v>927</v>
      </c>
    </row>
    <row r="1308">
      <c r="A1308" s="69"/>
      <c r="B1308" s="68"/>
      <c r="C1308" s="68"/>
      <c r="D1308" s="70"/>
      <c r="E1308" s="68"/>
      <c r="F1308" s="68"/>
      <c r="G1308" s="68"/>
      <c r="H1308" s="35" t="str">
        <f t="shared" si="6"/>
        <v/>
      </c>
      <c r="I1308" s="25" t="s">
        <v>927</v>
      </c>
    </row>
    <row r="1309">
      <c r="A1309" s="69"/>
      <c r="B1309" s="68"/>
      <c r="C1309" s="68"/>
      <c r="D1309" s="70"/>
      <c r="E1309" s="68"/>
      <c r="F1309" s="68"/>
      <c r="G1309" s="68"/>
      <c r="H1309" s="35" t="str">
        <f t="shared" si="6"/>
        <v/>
      </c>
      <c r="I1309" s="25" t="s">
        <v>927</v>
      </c>
    </row>
    <row r="1310">
      <c r="A1310" s="69"/>
      <c r="B1310" s="68"/>
      <c r="C1310" s="68"/>
      <c r="D1310" s="70"/>
      <c r="E1310" s="68"/>
      <c r="F1310" s="68"/>
      <c r="G1310" s="68"/>
      <c r="H1310" s="35" t="str">
        <f t="shared" si="6"/>
        <v/>
      </c>
      <c r="I1310" s="25" t="s">
        <v>927</v>
      </c>
    </row>
    <row r="1311">
      <c r="A1311" s="69"/>
      <c r="B1311" s="68"/>
      <c r="C1311" s="68"/>
      <c r="D1311" s="70"/>
      <c r="E1311" s="68"/>
      <c r="F1311" s="68"/>
      <c r="G1311" s="68"/>
      <c r="H1311" s="35" t="str">
        <f t="shared" si="6"/>
        <v/>
      </c>
      <c r="I1311" s="25" t="s">
        <v>927</v>
      </c>
    </row>
    <row r="1312">
      <c r="A1312" s="69"/>
      <c r="B1312" s="68"/>
      <c r="C1312" s="68"/>
      <c r="D1312" s="70"/>
      <c r="E1312" s="68"/>
      <c r="F1312" s="68"/>
      <c r="G1312" s="68"/>
      <c r="H1312" s="35" t="str">
        <f t="shared" si="6"/>
        <v/>
      </c>
      <c r="I1312" s="25" t="s">
        <v>927</v>
      </c>
    </row>
    <row r="1313">
      <c r="A1313" s="69"/>
      <c r="B1313" s="68"/>
      <c r="C1313" s="68"/>
      <c r="D1313" s="70"/>
      <c r="E1313" s="68"/>
      <c r="F1313" s="68"/>
      <c r="G1313" s="68"/>
      <c r="H1313" s="35" t="str">
        <f t="shared" si="6"/>
        <v/>
      </c>
      <c r="I1313" s="25" t="s">
        <v>927</v>
      </c>
    </row>
    <row r="1314">
      <c r="A1314" s="69"/>
      <c r="B1314" s="68"/>
      <c r="C1314" s="68"/>
      <c r="D1314" s="70"/>
      <c r="E1314" s="68"/>
      <c r="F1314" s="68"/>
      <c r="G1314" s="68"/>
      <c r="H1314" s="35" t="str">
        <f t="shared" si="6"/>
        <v/>
      </c>
      <c r="I1314" s="25" t="s">
        <v>927</v>
      </c>
    </row>
    <row r="1315">
      <c r="A1315" s="69"/>
      <c r="B1315" s="68"/>
      <c r="C1315" s="68"/>
      <c r="D1315" s="70"/>
      <c r="E1315" s="68"/>
      <c r="F1315" s="68"/>
      <c r="G1315" s="68"/>
      <c r="H1315" s="35" t="str">
        <f t="shared" si="6"/>
        <v/>
      </c>
      <c r="I1315" s="25" t="s">
        <v>927</v>
      </c>
    </row>
    <row r="1316">
      <c r="A1316" s="69"/>
      <c r="B1316" s="68"/>
      <c r="C1316" s="68"/>
      <c r="D1316" s="70"/>
      <c r="E1316" s="68"/>
      <c r="F1316" s="68"/>
      <c r="G1316" s="68"/>
      <c r="H1316" s="35" t="str">
        <f t="shared" si="6"/>
        <v/>
      </c>
      <c r="I1316" s="25" t="s">
        <v>927</v>
      </c>
    </row>
    <row r="1317">
      <c r="A1317" s="69"/>
      <c r="B1317" s="68"/>
      <c r="C1317" s="68"/>
      <c r="D1317" s="70"/>
      <c r="E1317" s="68"/>
      <c r="F1317" s="68"/>
      <c r="G1317" s="68"/>
      <c r="H1317" s="35" t="str">
        <f t="shared" si="6"/>
        <v/>
      </c>
      <c r="I1317" s="25" t="s">
        <v>927</v>
      </c>
    </row>
    <row r="1318">
      <c r="A1318" s="69"/>
      <c r="B1318" s="68"/>
      <c r="C1318" s="68"/>
      <c r="D1318" s="70"/>
      <c r="E1318" s="68"/>
      <c r="F1318" s="68"/>
      <c r="G1318" s="68"/>
      <c r="H1318" s="35" t="str">
        <f t="shared" si="6"/>
        <v/>
      </c>
      <c r="I1318" s="25" t="s">
        <v>927</v>
      </c>
    </row>
    <row r="1319">
      <c r="A1319" s="69"/>
      <c r="B1319" s="68"/>
      <c r="C1319" s="68"/>
      <c r="D1319" s="70"/>
      <c r="E1319" s="68"/>
      <c r="F1319" s="68"/>
      <c r="G1319" s="68"/>
      <c r="H1319" s="35" t="str">
        <f t="shared" si="6"/>
        <v/>
      </c>
      <c r="I1319" s="25" t="s">
        <v>927</v>
      </c>
    </row>
    <row r="1320">
      <c r="A1320" s="69"/>
      <c r="B1320" s="68"/>
      <c r="C1320" s="68"/>
      <c r="D1320" s="70"/>
      <c r="E1320" s="68"/>
      <c r="F1320" s="68"/>
      <c r="G1320" s="68"/>
      <c r="H1320" s="35" t="str">
        <f t="shared" si="6"/>
        <v/>
      </c>
      <c r="I1320" s="25" t="s">
        <v>927</v>
      </c>
    </row>
    <row r="1321">
      <c r="A1321" s="69"/>
      <c r="B1321" s="68"/>
      <c r="C1321" s="68"/>
      <c r="D1321" s="70"/>
      <c r="E1321" s="68"/>
      <c r="F1321" s="68"/>
      <c r="G1321" s="68"/>
      <c r="H1321" s="35" t="str">
        <f t="shared" si="6"/>
        <v/>
      </c>
      <c r="I1321" s="25" t="s">
        <v>927</v>
      </c>
    </row>
    <row r="1322">
      <c r="A1322" s="69"/>
      <c r="B1322" s="68"/>
      <c r="C1322" s="68"/>
      <c r="D1322" s="70"/>
      <c r="E1322" s="68"/>
      <c r="F1322" s="68"/>
      <c r="G1322" s="68"/>
      <c r="H1322" s="35" t="str">
        <f t="shared" si="6"/>
        <v/>
      </c>
      <c r="I1322" s="25" t="s">
        <v>927</v>
      </c>
    </row>
    <row r="1323">
      <c r="A1323" s="69"/>
      <c r="B1323" s="68"/>
      <c r="C1323" s="68"/>
      <c r="D1323" s="70"/>
      <c r="E1323" s="68"/>
      <c r="F1323" s="68"/>
      <c r="G1323" s="68"/>
      <c r="H1323" s="35" t="str">
        <f t="shared" si="6"/>
        <v/>
      </c>
      <c r="I1323" s="25" t="s">
        <v>927</v>
      </c>
    </row>
    <row r="1324">
      <c r="A1324" s="69"/>
      <c r="B1324" s="68"/>
      <c r="C1324" s="68"/>
      <c r="D1324" s="70"/>
      <c r="E1324" s="68"/>
      <c r="F1324" s="68"/>
      <c r="G1324" s="68"/>
      <c r="H1324" s="35" t="str">
        <f t="shared" si="6"/>
        <v/>
      </c>
      <c r="I1324" s="25" t="s">
        <v>927</v>
      </c>
    </row>
    <row r="1325">
      <c r="A1325" s="69"/>
      <c r="B1325" s="68"/>
      <c r="C1325" s="68"/>
      <c r="D1325" s="70"/>
      <c r="E1325" s="68"/>
      <c r="F1325" s="68"/>
      <c r="G1325" s="68"/>
      <c r="H1325" s="35" t="str">
        <f t="shared" si="6"/>
        <v/>
      </c>
      <c r="I1325" s="25" t="s">
        <v>927</v>
      </c>
    </row>
    <row r="1326">
      <c r="A1326" s="69"/>
      <c r="B1326" s="68"/>
      <c r="C1326" s="68"/>
      <c r="D1326" s="70"/>
      <c r="E1326" s="68"/>
      <c r="F1326" s="68"/>
      <c r="G1326" s="68"/>
      <c r="H1326" s="35" t="str">
        <f t="shared" si="6"/>
        <v/>
      </c>
      <c r="I1326" s="25" t="s">
        <v>927</v>
      </c>
    </row>
    <row r="1327">
      <c r="A1327" s="69"/>
      <c r="B1327" s="68"/>
      <c r="C1327" s="68"/>
      <c r="D1327" s="70"/>
      <c r="E1327" s="68"/>
      <c r="F1327" s="68"/>
      <c r="G1327" s="68"/>
      <c r="H1327" s="35" t="str">
        <f t="shared" si="6"/>
        <v/>
      </c>
      <c r="I1327" s="25" t="s">
        <v>927</v>
      </c>
    </row>
    <row r="1328">
      <c r="A1328" s="69"/>
      <c r="B1328" s="68"/>
      <c r="C1328" s="68"/>
      <c r="D1328" s="70"/>
      <c r="E1328" s="68"/>
      <c r="F1328" s="68"/>
      <c r="G1328" s="68"/>
      <c r="H1328" s="35" t="str">
        <f t="shared" si="6"/>
        <v/>
      </c>
      <c r="I1328" s="25" t="s">
        <v>927</v>
      </c>
    </row>
    <row r="1329">
      <c r="A1329" s="69"/>
      <c r="B1329" s="68"/>
      <c r="C1329" s="68"/>
      <c r="D1329" s="70"/>
      <c r="E1329" s="68"/>
      <c r="F1329" s="68"/>
      <c r="G1329" s="68"/>
      <c r="H1329" s="35" t="str">
        <f t="shared" si="6"/>
        <v/>
      </c>
      <c r="I1329" s="25" t="s">
        <v>927</v>
      </c>
    </row>
    <row r="1330">
      <c r="A1330" s="69"/>
      <c r="B1330" s="68"/>
      <c r="C1330" s="68"/>
      <c r="D1330" s="70"/>
      <c r="E1330" s="68"/>
      <c r="F1330" s="68"/>
      <c r="G1330" s="68"/>
      <c r="H1330" s="35" t="str">
        <f t="shared" si="6"/>
        <v/>
      </c>
      <c r="I1330" s="25" t="s">
        <v>927</v>
      </c>
    </row>
    <row r="1331">
      <c r="A1331" s="69"/>
      <c r="B1331" s="68"/>
      <c r="C1331" s="68"/>
      <c r="D1331" s="70"/>
      <c r="E1331" s="68"/>
      <c r="F1331" s="68"/>
      <c r="G1331" s="68"/>
      <c r="H1331" s="35" t="str">
        <f t="shared" si="6"/>
        <v/>
      </c>
      <c r="I1331" s="25" t="s">
        <v>927</v>
      </c>
    </row>
    <row r="1332">
      <c r="A1332" s="69"/>
      <c r="B1332" s="68"/>
      <c r="C1332" s="68"/>
      <c r="D1332" s="70"/>
      <c r="E1332" s="68"/>
      <c r="F1332" s="68"/>
      <c r="G1332" s="68"/>
      <c r="H1332" s="35" t="str">
        <f t="shared" si="6"/>
        <v/>
      </c>
      <c r="I1332" s="25" t="s">
        <v>927</v>
      </c>
    </row>
    <row r="1333">
      <c r="A1333" s="69"/>
      <c r="B1333" s="68"/>
      <c r="C1333" s="68"/>
      <c r="D1333" s="70"/>
      <c r="E1333" s="68"/>
      <c r="F1333" s="68"/>
      <c r="G1333" s="68"/>
      <c r="H1333" s="35" t="str">
        <f t="shared" si="6"/>
        <v/>
      </c>
      <c r="I1333" s="25" t="s">
        <v>927</v>
      </c>
    </row>
    <row r="1334">
      <c r="A1334" s="69"/>
      <c r="B1334" s="68"/>
      <c r="C1334" s="68"/>
      <c r="D1334" s="70"/>
      <c r="E1334" s="68"/>
      <c r="F1334" s="68"/>
      <c r="G1334" s="68"/>
      <c r="H1334" s="35" t="str">
        <f t="shared" si="6"/>
        <v/>
      </c>
      <c r="I1334" s="25" t="s">
        <v>927</v>
      </c>
    </row>
    <row r="1335">
      <c r="A1335" s="69"/>
      <c r="B1335" s="68"/>
      <c r="C1335" s="68"/>
      <c r="D1335" s="70"/>
      <c r="E1335" s="68"/>
      <c r="F1335" s="68"/>
      <c r="G1335" s="68"/>
      <c r="H1335" s="35" t="str">
        <f t="shared" si="6"/>
        <v/>
      </c>
      <c r="I1335" s="25" t="s">
        <v>927</v>
      </c>
    </row>
    <row r="1336">
      <c r="A1336" s="69"/>
      <c r="B1336" s="68"/>
      <c r="C1336" s="68"/>
      <c r="D1336" s="70"/>
      <c r="E1336" s="68"/>
      <c r="F1336" s="68"/>
      <c r="G1336" s="68"/>
      <c r="H1336" s="35" t="str">
        <f t="shared" si="6"/>
        <v/>
      </c>
      <c r="I1336" s="25" t="s">
        <v>927</v>
      </c>
    </row>
    <row r="1337">
      <c r="A1337" s="69"/>
      <c r="B1337" s="68"/>
      <c r="C1337" s="68"/>
      <c r="D1337" s="70"/>
      <c r="E1337" s="68"/>
      <c r="F1337" s="68"/>
      <c r="G1337" s="68"/>
      <c r="H1337" s="35" t="str">
        <f t="shared" si="6"/>
        <v/>
      </c>
      <c r="I1337" s="25" t="s">
        <v>927</v>
      </c>
    </row>
    <row r="1338">
      <c r="A1338" s="69"/>
      <c r="B1338" s="68"/>
      <c r="C1338" s="68"/>
      <c r="D1338" s="70"/>
      <c r="E1338" s="68"/>
      <c r="F1338" s="68"/>
      <c r="G1338" s="68"/>
      <c r="H1338" s="35" t="str">
        <f t="shared" si="6"/>
        <v/>
      </c>
      <c r="I1338" s="25" t="s">
        <v>927</v>
      </c>
    </row>
    <row r="1339">
      <c r="A1339" s="69"/>
      <c r="B1339" s="68"/>
      <c r="C1339" s="68"/>
      <c r="D1339" s="70"/>
      <c r="E1339" s="68"/>
      <c r="F1339" s="68"/>
      <c r="G1339" s="68"/>
      <c r="H1339" s="35" t="str">
        <f t="shared" si="6"/>
        <v/>
      </c>
      <c r="I1339" s="25" t="s">
        <v>927</v>
      </c>
    </row>
    <row r="1340">
      <c r="A1340" s="69"/>
      <c r="B1340" s="68"/>
      <c r="C1340" s="68"/>
      <c r="D1340" s="70"/>
      <c r="E1340" s="68"/>
      <c r="F1340" s="68"/>
      <c r="G1340" s="68"/>
      <c r="H1340" s="35" t="str">
        <f t="shared" si="6"/>
        <v/>
      </c>
      <c r="I1340" s="25" t="s">
        <v>927</v>
      </c>
    </row>
    <row r="1341">
      <c r="A1341" s="69"/>
      <c r="B1341" s="68"/>
      <c r="C1341" s="68"/>
      <c r="D1341" s="70"/>
      <c r="E1341" s="68"/>
      <c r="F1341" s="68"/>
      <c r="G1341" s="68"/>
      <c r="H1341" s="35" t="str">
        <f t="shared" si="6"/>
        <v/>
      </c>
      <c r="I1341" s="25" t="s">
        <v>927</v>
      </c>
    </row>
    <row r="1342">
      <c r="A1342" s="69"/>
      <c r="B1342" s="68"/>
      <c r="C1342" s="68"/>
      <c r="D1342" s="70"/>
      <c r="E1342" s="68"/>
      <c r="F1342" s="68"/>
      <c r="G1342" s="68"/>
      <c r="H1342" s="35" t="str">
        <f t="shared" si="6"/>
        <v/>
      </c>
      <c r="I1342" s="25" t="s">
        <v>927</v>
      </c>
    </row>
    <row r="1343">
      <c r="A1343" s="69"/>
      <c r="B1343" s="68"/>
      <c r="C1343" s="68"/>
      <c r="D1343" s="70"/>
      <c r="E1343" s="68"/>
      <c r="F1343" s="68"/>
      <c r="G1343" s="68"/>
      <c r="H1343" s="35" t="str">
        <f t="shared" si="6"/>
        <v/>
      </c>
      <c r="I1343" s="25" t="s">
        <v>927</v>
      </c>
    </row>
    <row r="1344">
      <c r="A1344" s="69"/>
      <c r="B1344" s="68"/>
      <c r="C1344" s="68"/>
      <c r="D1344" s="70"/>
      <c r="E1344" s="68"/>
      <c r="F1344" s="68"/>
      <c r="G1344" s="68"/>
      <c r="H1344" s="35" t="str">
        <f t="shared" si="6"/>
        <v/>
      </c>
      <c r="I1344" s="25" t="s">
        <v>927</v>
      </c>
    </row>
    <row r="1345">
      <c r="A1345" s="69"/>
      <c r="B1345" s="68"/>
      <c r="C1345" s="68"/>
      <c r="D1345" s="70"/>
      <c r="E1345" s="68"/>
      <c r="F1345" s="68"/>
      <c r="G1345" s="68"/>
      <c r="H1345" s="35" t="str">
        <f t="shared" si="6"/>
        <v/>
      </c>
      <c r="I1345" s="25" t="s">
        <v>927</v>
      </c>
    </row>
    <row r="1346">
      <c r="A1346" s="69"/>
      <c r="B1346" s="68"/>
      <c r="C1346" s="68"/>
      <c r="D1346" s="70"/>
      <c r="E1346" s="68"/>
      <c r="F1346" s="68"/>
      <c r="G1346" s="68"/>
      <c r="H1346" s="35" t="str">
        <f t="shared" si="6"/>
        <v/>
      </c>
      <c r="I1346" s="25" t="s">
        <v>927</v>
      </c>
    </row>
    <row r="1347">
      <c r="A1347" s="69"/>
      <c r="B1347" s="68"/>
      <c r="C1347" s="68"/>
      <c r="D1347" s="70"/>
      <c r="E1347" s="68"/>
      <c r="F1347" s="68"/>
      <c r="G1347" s="68"/>
      <c r="H1347" s="35" t="str">
        <f t="shared" si="6"/>
        <v/>
      </c>
      <c r="I1347" s="25" t="s">
        <v>927</v>
      </c>
    </row>
    <row r="1348">
      <c r="A1348" s="69"/>
      <c r="B1348" s="68"/>
      <c r="C1348" s="68"/>
      <c r="D1348" s="70"/>
      <c r="E1348" s="68"/>
      <c r="F1348" s="68"/>
      <c r="G1348" s="68"/>
      <c r="H1348" s="35" t="str">
        <f t="shared" si="6"/>
        <v/>
      </c>
      <c r="I1348" s="25" t="s">
        <v>927</v>
      </c>
    </row>
    <row r="1349">
      <c r="A1349" s="69"/>
      <c r="B1349" s="68"/>
      <c r="C1349" s="68"/>
      <c r="D1349" s="70"/>
      <c r="E1349" s="68"/>
      <c r="F1349" s="68"/>
      <c r="G1349" s="68"/>
      <c r="H1349" s="35" t="str">
        <f t="shared" si="6"/>
        <v/>
      </c>
      <c r="I1349" s="25" t="s">
        <v>927</v>
      </c>
    </row>
    <row r="1350">
      <c r="A1350" s="69"/>
      <c r="B1350" s="68"/>
      <c r="C1350" s="68"/>
      <c r="D1350" s="70"/>
      <c r="E1350" s="68"/>
      <c r="F1350" s="68"/>
      <c r="G1350" s="68"/>
      <c r="H1350" s="35" t="str">
        <f t="shared" si="6"/>
        <v/>
      </c>
      <c r="I1350" s="25" t="s">
        <v>927</v>
      </c>
    </row>
    <row r="1351">
      <c r="A1351" s="69"/>
      <c r="B1351" s="68"/>
      <c r="C1351" s="68"/>
      <c r="D1351" s="70"/>
      <c r="E1351" s="68"/>
      <c r="F1351" s="68"/>
      <c r="G1351" s="68"/>
      <c r="H1351" s="35" t="str">
        <f t="shared" si="6"/>
        <v/>
      </c>
      <c r="I1351" s="25" t="s">
        <v>927</v>
      </c>
    </row>
    <row r="1352">
      <c r="A1352" s="69"/>
      <c r="B1352" s="68"/>
      <c r="C1352" s="68"/>
      <c r="D1352" s="70"/>
      <c r="E1352" s="68"/>
      <c r="F1352" s="68"/>
      <c r="G1352" s="68"/>
      <c r="H1352" s="35" t="str">
        <f t="shared" si="6"/>
        <v/>
      </c>
      <c r="I1352" s="25" t="s">
        <v>927</v>
      </c>
    </row>
    <row r="1353">
      <c r="A1353" s="69"/>
      <c r="B1353" s="68"/>
      <c r="C1353" s="68"/>
      <c r="D1353" s="70"/>
      <c r="E1353" s="68"/>
      <c r="F1353" s="68"/>
      <c r="G1353" s="68"/>
      <c r="H1353" s="35" t="str">
        <f t="shared" si="6"/>
        <v/>
      </c>
      <c r="I1353" s="25" t="s">
        <v>927</v>
      </c>
    </row>
    <row r="1354">
      <c r="A1354" s="69"/>
      <c r="B1354" s="68"/>
      <c r="C1354" s="68"/>
      <c r="D1354" s="70"/>
      <c r="E1354" s="68"/>
      <c r="F1354" s="68"/>
      <c r="G1354" s="68"/>
      <c r="H1354" s="35" t="str">
        <f t="shared" si="6"/>
        <v/>
      </c>
      <c r="I1354" s="25" t="s">
        <v>927</v>
      </c>
    </row>
    <row r="1355">
      <c r="A1355" s="69"/>
      <c r="B1355" s="68"/>
      <c r="C1355" s="68"/>
      <c r="D1355" s="70"/>
      <c r="E1355" s="68"/>
      <c r="F1355" s="68"/>
      <c r="G1355" s="68"/>
      <c r="H1355" s="35" t="str">
        <f t="shared" si="6"/>
        <v/>
      </c>
      <c r="I1355" s="25" t="s">
        <v>927</v>
      </c>
    </row>
    <row r="1356">
      <c r="A1356" s="69"/>
      <c r="B1356" s="68"/>
      <c r="C1356" s="68"/>
      <c r="D1356" s="70"/>
      <c r="E1356" s="68"/>
      <c r="F1356" s="68"/>
      <c r="G1356" s="68"/>
      <c r="H1356" s="35" t="str">
        <f t="shared" si="6"/>
        <v/>
      </c>
      <c r="I1356" s="25" t="s">
        <v>927</v>
      </c>
    </row>
    <row r="1357">
      <c r="A1357" s="69"/>
      <c r="B1357" s="68"/>
      <c r="C1357" s="68"/>
      <c r="D1357" s="70"/>
      <c r="E1357" s="68"/>
      <c r="F1357" s="68"/>
      <c r="G1357" s="68"/>
      <c r="H1357" s="35" t="str">
        <f t="shared" si="6"/>
        <v/>
      </c>
      <c r="I1357" s="25" t="s">
        <v>927</v>
      </c>
    </row>
    <row r="1358">
      <c r="A1358" s="69"/>
      <c r="B1358" s="68"/>
      <c r="C1358" s="68"/>
      <c r="D1358" s="70"/>
      <c r="E1358" s="68"/>
      <c r="F1358" s="68"/>
      <c r="G1358" s="68"/>
      <c r="H1358" s="35" t="str">
        <f t="shared" si="6"/>
        <v/>
      </c>
      <c r="I1358" s="25" t="s">
        <v>927</v>
      </c>
    </row>
    <row r="1359">
      <c r="A1359" s="69"/>
      <c r="B1359" s="68"/>
      <c r="C1359" s="68"/>
      <c r="D1359" s="70"/>
      <c r="E1359" s="68"/>
      <c r="F1359" s="68"/>
      <c r="G1359" s="68"/>
      <c r="H1359" s="35" t="str">
        <f t="shared" si="6"/>
        <v/>
      </c>
      <c r="I1359" s="25" t="s">
        <v>927</v>
      </c>
    </row>
    <row r="1360">
      <c r="A1360" s="69"/>
      <c r="B1360" s="68"/>
      <c r="C1360" s="68"/>
      <c r="D1360" s="70"/>
      <c r="E1360" s="68"/>
      <c r="F1360" s="68"/>
      <c r="G1360" s="68"/>
      <c r="H1360" s="35" t="str">
        <f t="shared" si="6"/>
        <v/>
      </c>
      <c r="I1360" s="25" t="s">
        <v>927</v>
      </c>
    </row>
    <row r="1361">
      <c r="A1361" s="69"/>
      <c r="B1361" s="68"/>
      <c r="C1361" s="68"/>
      <c r="D1361" s="70"/>
      <c r="E1361" s="68"/>
      <c r="F1361" s="68"/>
      <c r="G1361" s="68"/>
      <c r="H1361" s="35" t="str">
        <f t="shared" si="6"/>
        <v/>
      </c>
      <c r="I1361" s="25" t="s">
        <v>927</v>
      </c>
    </row>
    <row r="1362">
      <c r="A1362" s="69"/>
      <c r="B1362" s="68"/>
      <c r="C1362" s="68"/>
      <c r="D1362" s="70"/>
      <c r="E1362" s="68"/>
      <c r="F1362" s="68"/>
      <c r="G1362" s="68"/>
      <c r="H1362" s="35" t="str">
        <f t="shared" si="6"/>
        <v/>
      </c>
      <c r="I1362" s="25" t="s">
        <v>927</v>
      </c>
    </row>
    <row r="1363">
      <c r="A1363" s="69"/>
      <c r="B1363" s="68"/>
      <c r="C1363" s="68"/>
      <c r="D1363" s="70"/>
      <c r="E1363" s="68"/>
      <c r="F1363" s="68"/>
      <c r="G1363" s="68"/>
      <c r="H1363" s="35" t="str">
        <f t="shared" si="6"/>
        <v/>
      </c>
      <c r="I1363" s="25" t="s">
        <v>927</v>
      </c>
    </row>
    <row r="1364">
      <c r="A1364" s="69"/>
      <c r="B1364" s="68"/>
      <c r="C1364" s="68"/>
      <c r="D1364" s="70"/>
      <c r="E1364" s="68"/>
      <c r="F1364" s="68"/>
      <c r="G1364" s="68"/>
      <c r="H1364" s="35" t="str">
        <f t="shared" si="6"/>
        <v/>
      </c>
      <c r="I1364" s="25" t="s">
        <v>927</v>
      </c>
    </row>
    <row r="1365">
      <c r="A1365" s="69"/>
      <c r="B1365" s="68"/>
      <c r="C1365" s="68"/>
      <c r="D1365" s="70"/>
      <c r="E1365" s="68"/>
      <c r="F1365" s="68"/>
      <c r="G1365" s="68"/>
      <c r="H1365" s="35" t="str">
        <f t="shared" si="6"/>
        <v/>
      </c>
      <c r="I1365" s="25" t="s">
        <v>927</v>
      </c>
    </row>
    <row r="1366">
      <c r="A1366" s="69"/>
      <c r="B1366" s="68"/>
      <c r="C1366" s="68"/>
      <c r="D1366" s="70"/>
      <c r="E1366" s="68"/>
      <c r="F1366" s="68"/>
      <c r="G1366" s="68"/>
      <c r="H1366" s="35" t="str">
        <f t="shared" si="6"/>
        <v/>
      </c>
      <c r="I1366" s="25" t="s">
        <v>927</v>
      </c>
    </row>
    <row r="1367">
      <c r="A1367" s="69"/>
      <c r="B1367" s="68"/>
      <c r="C1367" s="68"/>
      <c r="D1367" s="70"/>
      <c r="E1367" s="68"/>
      <c r="F1367" s="68"/>
      <c r="G1367" s="68"/>
      <c r="H1367" s="35" t="str">
        <f t="shared" si="6"/>
        <v/>
      </c>
      <c r="I1367" s="25" t="s">
        <v>927</v>
      </c>
    </row>
    <row r="1368">
      <c r="A1368" s="69"/>
      <c r="B1368" s="68"/>
      <c r="C1368" s="68"/>
      <c r="D1368" s="70"/>
      <c r="E1368" s="68"/>
      <c r="F1368" s="68"/>
      <c r="G1368" s="68"/>
      <c r="H1368" s="35" t="str">
        <f t="shared" si="6"/>
        <v/>
      </c>
      <c r="I1368" s="25" t="s">
        <v>927</v>
      </c>
    </row>
    <row r="1369">
      <c r="A1369" s="69"/>
      <c r="B1369" s="68"/>
      <c r="C1369" s="68"/>
      <c r="D1369" s="70"/>
      <c r="E1369" s="68"/>
      <c r="F1369" s="68"/>
      <c r="G1369" s="68"/>
      <c r="H1369" s="35" t="str">
        <f t="shared" si="6"/>
        <v/>
      </c>
      <c r="I1369" s="25" t="s">
        <v>927</v>
      </c>
    </row>
    <row r="1370">
      <c r="A1370" s="69"/>
      <c r="B1370" s="68"/>
      <c r="C1370" s="68"/>
      <c r="D1370" s="70"/>
      <c r="E1370" s="68"/>
      <c r="F1370" s="68"/>
      <c r="G1370" s="68"/>
      <c r="H1370" s="35" t="str">
        <f t="shared" si="6"/>
        <v/>
      </c>
      <c r="I1370" s="25" t="s">
        <v>927</v>
      </c>
    </row>
    <row r="1371">
      <c r="A1371" s="69"/>
      <c r="B1371" s="68"/>
      <c r="C1371" s="68"/>
      <c r="D1371" s="70"/>
      <c r="E1371" s="68"/>
      <c r="F1371" s="68"/>
      <c r="G1371" s="68"/>
      <c r="H1371" s="35" t="str">
        <f t="shared" si="6"/>
        <v/>
      </c>
      <c r="I1371" s="25" t="s">
        <v>927</v>
      </c>
    </row>
    <row r="1372">
      <c r="A1372" s="69"/>
      <c r="B1372" s="68"/>
      <c r="C1372" s="68"/>
      <c r="D1372" s="70"/>
      <c r="E1372" s="68"/>
      <c r="F1372" s="68"/>
      <c r="G1372" s="68"/>
      <c r="H1372" s="35" t="str">
        <f t="shared" si="6"/>
        <v/>
      </c>
      <c r="I1372" s="25" t="s">
        <v>927</v>
      </c>
    </row>
    <row r="1373">
      <c r="A1373" s="69"/>
      <c r="B1373" s="68"/>
      <c r="C1373" s="68"/>
      <c r="D1373" s="70"/>
      <c r="E1373" s="68"/>
      <c r="F1373" s="68"/>
      <c r="G1373" s="68"/>
      <c r="H1373" s="35" t="str">
        <f t="shared" si="6"/>
        <v/>
      </c>
      <c r="I1373" s="25" t="s">
        <v>927</v>
      </c>
    </row>
    <row r="1374">
      <c r="A1374" s="69"/>
      <c r="B1374" s="68"/>
      <c r="C1374" s="68"/>
      <c r="D1374" s="70"/>
      <c r="E1374" s="68"/>
      <c r="F1374" s="68"/>
      <c r="G1374" s="68"/>
      <c r="H1374" s="35" t="str">
        <f t="shared" si="6"/>
        <v/>
      </c>
      <c r="I1374" s="25" t="s">
        <v>927</v>
      </c>
    </row>
    <row r="1375">
      <c r="A1375" s="69"/>
      <c r="B1375" s="68"/>
      <c r="C1375" s="68"/>
      <c r="D1375" s="70"/>
      <c r="E1375" s="68"/>
      <c r="F1375" s="68"/>
      <c r="G1375" s="68"/>
      <c r="H1375" s="35" t="str">
        <f t="shared" si="6"/>
        <v/>
      </c>
      <c r="I1375" s="25" t="s">
        <v>927</v>
      </c>
    </row>
    <row r="1376">
      <c r="A1376" s="69"/>
      <c r="B1376" s="68"/>
      <c r="C1376" s="68"/>
      <c r="D1376" s="70"/>
      <c r="E1376" s="68"/>
      <c r="F1376" s="68"/>
      <c r="G1376" s="68"/>
      <c r="H1376" s="35" t="str">
        <f t="shared" si="6"/>
        <v/>
      </c>
      <c r="I1376" s="25" t="s">
        <v>927</v>
      </c>
    </row>
    <row r="1377">
      <c r="A1377" s="69"/>
      <c r="B1377" s="68"/>
      <c r="C1377" s="68"/>
      <c r="D1377" s="70"/>
      <c r="E1377" s="68"/>
      <c r="F1377" s="68"/>
      <c r="G1377" s="68"/>
      <c r="H1377" s="35" t="str">
        <f t="shared" si="6"/>
        <v/>
      </c>
      <c r="I1377" s="25" t="s">
        <v>927</v>
      </c>
    </row>
    <row r="1378">
      <c r="A1378" s="69"/>
      <c r="B1378" s="68"/>
      <c r="C1378" s="68"/>
      <c r="D1378" s="70"/>
      <c r="E1378" s="68"/>
      <c r="F1378" s="68"/>
      <c r="G1378" s="68"/>
      <c r="H1378" s="35" t="str">
        <f t="shared" si="6"/>
        <v/>
      </c>
      <c r="I1378" s="25" t="s">
        <v>927</v>
      </c>
    </row>
    <row r="1379">
      <c r="A1379" s="69"/>
      <c r="B1379" s="68"/>
      <c r="C1379" s="68"/>
      <c r="D1379" s="70"/>
      <c r="E1379" s="68"/>
      <c r="F1379" s="68"/>
      <c r="G1379" s="68"/>
      <c r="H1379" s="35" t="str">
        <f t="shared" si="6"/>
        <v/>
      </c>
      <c r="I1379" s="25" t="s">
        <v>927</v>
      </c>
    </row>
    <row r="1380">
      <c r="A1380" s="69"/>
      <c r="B1380" s="68"/>
      <c r="C1380" s="68"/>
      <c r="D1380" s="70"/>
      <c r="E1380" s="68"/>
      <c r="F1380" s="68"/>
      <c r="G1380" s="68"/>
      <c r="H1380" s="35" t="str">
        <f t="shared" si="6"/>
        <v/>
      </c>
      <c r="I1380" s="25" t="s">
        <v>927</v>
      </c>
    </row>
    <row r="1381">
      <c r="A1381" s="69"/>
      <c r="B1381" s="68"/>
      <c r="C1381" s="68"/>
      <c r="D1381" s="70"/>
      <c r="E1381" s="68"/>
      <c r="F1381" s="68"/>
      <c r="G1381" s="68"/>
      <c r="H1381" s="35" t="str">
        <f t="shared" si="6"/>
        <v/>
      </c>
      <c r="I1381" s="25" t="s">
        <v>927</v>
      </c>
    </row>
    <row r="1382">
      <c r="A1382" s="69"/>
      <c r="B1382" s="68"/>
      <c r="C1382" s="68"/>
      <c r="D1382" s="70"/>
      <c r="E1382" s="68"/>
      <c r="F1382" s="68"/>
      <c r="G1382" s="68"/>
      <c r="H1382" s="35" t="str">
        <f t="shared" si="6"/>
        <v/>
      </c>
      <c r="I1382" s="25" t="s">
        <v>927</v>
      </c>
    </row>
    <row r="1383">
      <c r="A1383" s="69"/>
      <c r="B1383" s="68"/>
      <c r="C1383" s="68"/>
      <c r="D1383" s="70"/>
      <c r="E1383" s="68"/>
      <c r="F1383" s="68"/>
      <c r="G1383" s="68"/>
      <c r="H1383" s="35" t="str">
        <f t="shared" si="6"/>
        <v/>
      </c>
      <c r="I1383" s="25" t="s">
        <v>927</v>
      </c>
    </row>
    <row r="1384">
      <c r="A1384" s="69"/>
      <c r="B1384" s="68"/>
      <c r="C1384" s="68"/>
      <c r="D1384" s="70"/>
      <c r="E1384" s="68"/>
      <c r="F1384" s="68"/>
      <c r="G1384" s="68"/>
      <c r="H1384" s="35" t="str">
        <f t="shared" si="6"/>
        <v/>
      </c>
      <c r="I1384" s="25" t="s">
        <v>927</v>
      </c>
    </row>
    <row r="1385">
      <c r="A1385" s="69"/>
      <c r="B1385" s="68"/>
      <c r="C1385" s="68"/>
      <c r="D1385" s="70"/>
      <c r="E1385" s="68"/>
      <c r="F1385" s="68"/>
      <c r="G1385" s="68"/>
      <c r="H1385" s="35" t="str">
        <f t="shared" si="6"/>
        <v/>
      </c>
      <c r="I1385" s="25" t="s">
        <v>927</v>
      </c>
    </row>
    <row r="1386">
      <c r="A1386" s="69"/>
      <c r="B1386" s="68"/>
      <c r="C1386" s="68"/>
      <c r="D1386" s="70"/>
      <c r="E1386" s="68"/>
      <c r="F1386" s="68"/>
      <c r="G1386" s="68"/>
      <c r="H1386" s="35" t="str">
        <f t="shared" si="6"/>
        <v/>
      </c>
      <c r="I1386" s="25" t="s">
        <v>927</v>
      </c>
    </row>
    <row r="1387">
      <c r="A1387" s="69"/>
      <c r="B1387" s="68"/>
      <c r="C1387" s="68"/>
      <c r="D1387" s="70"/>
      <c r="E1387" s="68"/>
      <c r="F1387" s="68"/>
      <c r="G1387" s="68"/>
      <c r="H1387" s="35" t="str">
        <f t="shared" si="6"/>
        <v/>
      </c>
      <c r="I1387" s="25" t="s">
        <v>927</v>
      </c>
    </row>
    <row r="1388">
      <c r="A1388" s="69"/>
      <c r="B1388" s="68"/>
      <c r="C1388" s="68"/>
      <c r="D1388" s="70"/>
      <c r="E1388" s="68"/>
      <c r="F1388" s="68"/>
      <c r="G1388" s="68"/>
      <c r="H1388" s="35" t="str">
        <f t="shared" si="6"/>
        <v/>
      </c>
      <c r="I1388" s="25" t="s">
        <v>927</v>
      </c>
    </row>
    <row r="1389">
      <c r="A1389" s="69"/>
      <c r="B1389" s="68"/>
      <c r="C1389" s="68"/>
      <c r="D1389" s="70"/>
      <c r="E1389" s="68"/>
      <c r="F1389" s="68"/>
      <c r="G1389" s="68"/>
      <c r="H1389" s="35" t="str">
        <f t="shared" si="6"/>
        <v/>
      </c>
      <c r="I1389" s="25" t="s">
        <v>927</v>
      </c>
    </row>
    <row r="1390">
      <c r="A1390" s="69"/>
      <c r="B1390" s="68"/>
      <c r="C1390" s="68"/>
      <c r="D1390" s="70"/>
      <c r="E1390" s="68"/>
      <c r="F1390" s="68"/>
      <c r="G1390" s="68"/>
      <c r="H1390" s="35" t="str">
        <f t="shared" si="6"/>
        <v/>
      </c>
      <c r="I1390" s="25" t="s">
        <v>927</v>
      </c>
    </row>
    <row r="1391">
      <c r="A1391" s="69"/>
      <c r="B1391" s="68"/>
      <c r="C1391" s="68"/>
      <c r="D1391" s="70"/>
      <c r="E1391" s="68"/>
      <c r="F1391" s="68"/>
      <c r="G1391" s="68"/>
      <c r="H1391" s="35" t="str">
        <f t="shared" si="6"/>
        <v/>
      </c>
      <c r="I1391" s="25" t="s">
        <v>927</v>
      </c>
    </row>
    <row r="1392">
      <c r="A1392" s="69"/>
      <c r="B1392" s="68"/>
      <c r="C1392" s="68"/>
      <c r="D1392" s="70"/>
      <c r="E1392" s="68"/>
      <c r="F1392" s="68"/>
      <c r="G1392" s="68"/>
      <c r="H1392" s="35" t="str">
        <f t="shared" si="6"/>
        <v/>
      </c>
      <c r="I1392" s="25" t="s">
        <v>927</v>
      </c>
    </row>
    <row r="1393">
      <c r="A1393" s="69"/>
      <c r="B1393" s="68"/>
      <c r="C1393" s="68"/>
      <c r="D1393" s="70"/>
      <c r="E1393" s="68"/>
      <c r="F1393" s="68"/>
      <c r="G1393" s="68"/>
      <c r="H1393" s="35" t="str">
        <f t="shared" si="6"/>
        <v/>
      </c>
      <c r="I1393" s="25" t="s">
        <v>927</v>
      </c>
    </row>
    <row r="1394">
      <c r="A1394" s="69"/>
      <c r="B1394" s="68"/>
      <c r="C1394" s="68"/>
      <c r="D1394" s="70"/>
      <c r="E1394" s="68"/>
      <c r="F1394" s="68"/>
      <c r="G1394" s="68"/>
      <c r="H1394" s="35" t="str">
        <f t="shared" si="6"/>
        <v/>
      </c>
      <c r="I1394" s="25" t="s">
        <v>927</v>
      </c>
    </row>
    <row r="1395">
      <c r="A1395" s="69"/>
      <c r="B1395" s="68"/>
      <c r="C1395" s="68"/>
      <c r="D1395" s="70"/>
      <c r="E1395" s="68"/>
      <c r="F1395" s="68"/>
      <c r="G1395" s="68"/>
      <c r="H1395" s="35" t="str">
        <f t="shared" si="6"/>
        <v/>
      </c>
      <c r="I1395" s="25" t="s">
        <v>927</v>
      </c>
    </row>
    <row r="1396">
      <c r="A1396" s="69"/>
      <c r="B1396" s="68"/>
      <c r="C1396" s="68"/>
      <c r="D1396" s="70"/>
      <c r="E1396" s="68"/>
      <c r="F1396" s="68"/>
      <c r="G1396" s="68"/>
      <c r="H1396" s="35" t="str">
        <f t="shared" si="6"/>
        <v/>
      </c>
      <c r="I1396" s="25" t="s">
        <v>927</v>
      </c>
    </row>
    <row r="1397">
      <c r="A1397" s="69"/>
      <c r="B1397" s="68"/>
      <c r="C1397" s="68"/>
      <c r="D1397" s="70"/>
      <c r="E1397" s="68"/>
      <c r="F1397" s="68"/>
      <c r="G1397" s="68"/>
      <c r="H1397" s="35" t="str">
        <f t="shared" si="6"/>
        <v/>
      </c>
      <c r="I1397" s="25" t="s">
        <v>927</v>
      </c>
    </row>
    <row r="1398">
      <c r="A1398" s="69"/>
      <c r="B1398" s="68"/>
      <c r="C1398" s="68"/>
      <c r="D1398" s="70"/>
      <c r="E1398" s="68"/>
      <c r="F1398" s="68"/>
      <c r="G1398" s="68"/>
      <c r="H1398" s="35" t="str">
        <f t="shared" si="6"/>
        <v/>
      </c>
      <c r="I1398" s="25" t="s">
        <v>927</v>
      </c>
    </row>
    <row r="1399">
      <c r="A1399" s="69"/>
      <c r="B1399" s="68"/>
      <c r="C1399" s="68"/>
      <c r="D1399" s="70"/>
      <c r="E1399" s="68"/>
      <c r="F1399" s="68"/>
      <c r="G1399" s="68"/>
      <c r="H1399" s="35" t="str">
        <f t="shared" si="6"/>
        <v/>
      </c>
      <c r="I1399" s="25" t="s">
        <v>927</v>
      </c>
    </row>
    <row r="1400">
      <c r="A1400" s="69"/>
      <c r="B1400" s="68"/>
      <c r="C1400" s="68"/>
      <c r="D1400" s="70"/>
      <c r="E1400" s="68"/>
      <c r="F1400" s="68"/>
      <c r="G1400" s="68"/>
      <c r="H1400" s="35" t="str">
        <f t="shared" si="6"/>
        <v/>
      </c>
      <c r="I1400" s="25" t="s">
        <v>927</v>
      </c>
    </row>
    <row r="1401">
      <c r="A1401" s="69"/>
      <c r="B1401" s="68"/>
      <c r="C1401" s="68"/>
      <c r="D1401" s="70"/>
      <c r="E1401" s="68"/>
      <c r="F1401" s="68"/>
      <c r="G1401" s="68"/>
      <c r="H1401" s="35" t="str">
        <f t="shared" si="6"/>
        <v/>
      </c>
      <c r="I1401" s="25" t="s">
        <v>927</v>
      </c>
    </row>
    <row r="1402">
      <c r="A1402" s="69"/>
      <c r="B1402" s="68"/>
      <c r="C1402" s="68"/>
      <c r="D1402" s="70"/>
      <c r="E1402" s="68"/>
      <c r="F1402" s="68"/>
      <c r="G1402" s="68"/>
      <c r="H1402" s="35" t="str">
        <f t="shared" si="6"/>
        <v/>
      </c>
      <c r="I1402" s="25" t="s">
        <v>927</v>
      </c>
    </row>
    <row r="1403">
      <c r="A1403" s="69"/>
      <c r="B1403" s="68"/>
      <c r="C1403" s="68"/>
      <c r="D1403" s="70"/>
      <c r="E1403" s="68"/>
      <c r="F1403" s="68"/>
      <c r="G1403" s="68"/>
      <c r="H1403" s="35" t="str">
        <f t="shared" si="6"/>
        <v/>
      </c>
      <c r="I1403" s="25" t="s">
        <v>927</v>
      </c>
    </row>
    <row r="1404">
      <c r="A1404" s="69"/>
      <c r="B1404" s="68"/>
      <c r="C1404" s="68"/>
      <c r="D1404" s="70"/>
      <c r="E1404" s="68"/>
      <c r="F1404" s="68"/>
      <c r="G1404" s="68"/>
      <c r="H1404" s="35" t="str">
        <f t="shared" si="6"/>
        <v/>
      </c>
      <c r="I1404" s="25" t="s">
        <v>927</v>
      </c>
    </row>
    <row r="1405">
      <c r="A1405" s="69"/>
      <c r="B1405" s="68"/>
      <c r="C1405" s="68"/>
      <c r="D1405" s="70"/>
      <c r="E1405" s="68"/>
      <c r="F1405" s="68"/>
      <c r="G1405" s="68"/>
      <c r="H1405" s="35" t="str">
        <f t="shared" si="6"/>
        <v/>
      </c>
      <c r="I1405" s="25" t="s">
        <v>927</v>
      </c>
    </row>
    <row r="1406">
      <c r="A1406" s="69"/>
      <c r="B1406" s="68"/>
      <c r="C1406" s="68"/>
      <c r="D1406" s="70"/>
      <c r="E1406" s="68"/>
      <c r="F1406" s="68"/>
      <c r="G1406" s="68"/>
      <c r="H1406" s="35" t="str">
        <f t="shared" si="6"/>
        <v/>
      </c>
      <c r="I1406" s="25" t="s">
        <v>927</v>
      </c>
    </row>
    <row r="1407">
      <c r="A1407" s="69"/>
      <c r="B1407" s="68"/>
      <c r="C1407" s="68"/>
      <c r="D1407" s="70"/>
      <c r="E1407" s="68"/>
      <c r="F1407" s="68"/>
      <c r="G1407" s="68"/>
      <c r="H1407" s="35" t="str">
        <f t="shared" si="6"/>
        <v/>
      </c>
      <c r="I1407" s="25" t="s">
        <v>927</v>
      </c>
    </row>
    <row r="1408">
      <c r="A1408" s="69"/>
      <c r="B1408" s="68"/>
      <c r="C1408" s="68"/>
      <c r="D1408" s="70"/>
      <c r="E1408" s="68"/>
      <c r="F1408" s="68"/>
      <c r="G1408" s="68"/>
      <c r="H1408" s="35" t="str">
        <f t="shared" si="6"/>
        <v/>
      </c>
      <c r="I1408" s="25" t="s">
        <v>927</v>
      </c>
    </row>
    <row r="1409">
      <c r="A1409" s="69"/>
      <c r="B1409" s="68"/>
      <c r="C1409" s="68"/>
      <c r="D1409" s="70"/>
      <c r="E1409" s="68"/>
      <c r="F1409" s="68"/>
      <c r="G1409" s="68"/>
      <c r="H1409" s="35" t="str">
        <f t="shared" si="6"/>
        <v/>
      </c>
      <c r="I1409" s="25" t="s">
        <v>927</v>
      </c>
    </row>
    <row r="1410">
      <c r="A1410" s="69"/>
      <c r="B1410" s="68"/>
      <c r="C1410" s="68"/>
      <c r="D1410" s="70"/>
      <c r="E1410" s="68"/>
      <c r="F1410" s="68"/>
      <c r="G1410" s="68"/>
      <c r="H1410" s="35" t="str">
        <f t="shared" si="6"/>
        <v/>
      </c>
      <c r="I1410" s="25" t="s">
        <v>927</v>
      </c>
    </row>
    <row r="1411">
      <c r="A1411" s="69"/>
      <c r="B1411" s="68"/>
      <c r="C1411" s="68"/>
      <c r="D1411" s="70"/>
      <c r="E1411" s="68"/>
      <c r="F1411" s="68"/>
      <c r="G1411" s="68"/>
      <c r="H1411" s="35" t="str">
        <f t="shared" si="6"/>
        <v/>
      </c>
      <c r="I1411" s="25" t="s">
        <v>927</v>
      </c>
    </row>
    <row r="1412">
      <c r="A1412" s="69"/>
      <c r="B1412" s="68"/>
      <c r="C1412" s="68"/>
      <c r="D1412" s="70"/>
      <c r="E1412" s="68"/>
      <c r="F1412" s="68"/>
      <c r="G1412" s="68"/>
      <c r="H1412" s="35" t="str">
        <f t="shared" si="6"/>
        <v/>
      </c>
      <c r="I1412" s="25" t="s">
        <v>927</v>
      </c>
    </row>
    <row r="1413">
      <c r="A1413" s="69"/>
      <c r="B1413" s="68"/>
      <c r="C1413" s="68"/>
      <c r="D1413" s="70"/>
      <c r="E1413" s="68"/>
      <c r="F1413" s="68"/>
      <c r="G1413" s="68"/>
      <c r="H1413" s="35" t="str">
        <f t="shared" si="6"/>
        <v/>
      </c>
      <c r="I1413" s="25" t="s">
        <v>927</v>
      </c>
    </row>
    <row r="1414">
      <c r="A1414" s="69"/>
      <c r="B1414" s="68"/>
      <c r="C1414" s="68"/>
      <c r="D1414" s="70"/>
      <c r="E1414" s="68"/>
      <c r="F1414" s="68"/>
      <c r="G1414" s="68"/>
      <c r="H1414" s="35" t="str">
        <f t="shared" si="6"/>
        <v/>
      </c>
      <c r="I1414" s="25" t="s">
        <v>927</v>
      </c>
    </row>
    <row r="1415">
      <c r="A1415" s="69"/>
      <c r="B1415" s="68"/>
      <c r="C1415" s="68"/>
      <c r="D1415" s="70"/>
      <c r="E1415" s="68"/>
      <c r="F1415" s="68"/>
      <c r="G1415" s="68"/>
      <c r="H1415" s="35" t="str">
        <f t="shared" si="6"/>
        <v/>
      </c>
      <c r="I1415" s="25" t="s">
        <v>927</v>
      </c>
    </row>
    <row r="1416">
      <c r="A1416" s="69"/>
      <c r="B1416" s="68"/>
      <c r="C1416" s="68"/>
      <c r="D1416" s="70"/>
      <c r="E1416" s="68"/>
      <c r="F1416" s="68"/>
      <c r="G1416" s="68"/>
      <c r="H1416" s="35" t="str">
        <f t="shared" si="6"/>
        <v/>
      </c>
      <c r="I1416" s="25" t="s">
        <v>927</v>
      </c>
    </row>
    <row r="1417">
      <c r="A1417" s="69"/>
      <c r="B1417" s="68"/>
      <c r="C1417" s="68"/>
      <c r="D1417" s="70"/>
      <c r="E1417" s="68"/>
      <c r="F1417" s="68"/>
      <c r="G1417" s="68"/>
      <c r="H1417" s="35" t="str">
        <f t="shared" si="6"/>
        <v/>
      </c>
      <c r="I1417" s="25" t="s">
        <v>927</v>
      </c>
    </row>
    <row r="1418">
      <c r="A1418" s="69"/>
      <c r="B1418" s="68"/>
      <c r="C1418" s="68"/>
      <c r="D1418" s="70"/>
      <c r="E1418" s="68"/>
      <c r="F1418" s="68"/>
      <c r="G1418" s="68"/>
      <c r="H1418" s="35" t="str">
        <f t="shared" si="6"/>
        <v/>
      </c>
      <c r="I1418" s="25" t="s">
        <v>927</v>
      </c>
    </row>
    <row r="1419">
      <c r="A1419" s="69"/>
      <c r="B1419" s="68"/>
      <c r="C1419" s="68"/>
      <c r="D1419" s="70"/>
      <c r="E1419" s="68"/>
      <c r="F1419" s="68"/>
      <c r="G1419" s="68"/>
      <c r="H1419" s="35" t="str">
        <f t="shared" si="6"/>
        <v/>
      </c>
      <c r="I1419" s="25" t="s">
        <v>927</v>
      </c>
    </row>
    <row r="1420">
      <c r="A1420" s="69"/>
      <c r="B1420" s="68"/>
      <c r="C1420" s="68"/>
      <c r="D1420" s="70"/>
      <c r="E1420" s="68"/>
      <c r="F1420" s="68"/>
      <c r="G1420" s="68"/>
      <c r="H1420" s="35" t="str">
        <f t="shared" si="6"/>
        <v/>
      </c>
      <c r="I1420" s="25" t="s">
        <v>927</v>
      </c>
    </row>
    <row r="1421">
      <c r="A1421" s="69"/>
      <c r="B1421" s="68"/>
      <c r="C1421" s="68"/>
      <c r="D1421" s="70"/>
      <c r="E1421" s="68"/>
      <c r="F1421" s="68"/>
      <c r="G1421" s="68"/>
      <c r="H1421" s="35" t="str">
        <f t="shared" si="6"/>
        <v/>
      </c>
      <c r="I1421" s="25" t="s">
        <v>927</v>
      </c>
    </row>
    <row r="1422">
      <c r="A1422" s="69"/>
      <c r="B1422" s="68"/>
      <c r="C1422" s="68"/>
      <c r="D1422" s="70"/>
      <c r="E1422" s="68"/>
      <c r="F1422" s="68"/>
      <c r="G1422" s="68"/>
      <c r="H1422" s="35" t="str">
        <f t="shared" si="6"/>
        <v/>
      </c>
      <c r="I1422" s="25" t="s">
        <v>927</v>
      </c>
    </row>
    <row r="1423">
      <c r="A1423" s="69"/>
      <c r="B1423" s="68"/>
      <c r="C1423" s="68"/>
      <c r="D1423" s="70"/>
      <c r="E1423" s="68"/>
      <c r="F1423" s="68"/>
      <c r="G1423" s="68"/>
      <c r="H1423" s="35" t="str">
        <f t="shared" si="6"/>
        <v/>
      </c>
      <c r="I1423" s="25" t="s">
        <v>927</v>
      </c>
    </row>
    <row r="1424">
      <c r="A1424" s="69"/>
      <c r="B1424" s="68"/>
      <c r="C1424" s="68"/>
      <c r="D1424" s="70"/>
      <c r="E1424" s="68"/>
      <c r="F1424" s="68"/>
      <c r="G1424" s="68"/>
      <c r="H1424" s="35" t="str">
        <f t="shared" si="6"/>
        <v/>
      </c>
      <c r="I1424" s="25" t="s">
        <v>927</v>
      </c>
    </row>
    <row r="1425">
      <c r="A1425" s="69"/>
      <c r="B1425" s="68"/>
      <c r="C1425" s="68"/>
      <c r="D1425" s="70"/>
      <c r="E1425" s="68"/>
      <c r="F1425" s="68"/>
      <c r="G1425" s="68"/>
      <c r="H1425" s="35" t="str">
        <f t="shared" si="6"/>
        <v/>
      </c>
      <c r="I1425" s="25" t="s">
        <v>927</v>
      </c>
    </row>
    <row r="1426">
      <c r="A1426" s="69"/>
      <c r="B1426" s="68"/>
      <c r="C1426" s="68"/>
      <c r="D1426" s="70"/>
      <c r="E1426" s="68"/>
      <c r="F1426" s="68"/>
      <c r="G1426" s="68"/>
      <c r="H1426" s="35" t="str">
        <f t="shared" si="6"/>
        <v/>
      </c>
      <c r="I1426" s="25" t="s">
        <v>927</v>
      </c>
    </row>
    <row r="1427">
      <c r="A1427" s="69"/>
      <c r="B1427" s="68"/>
      <c r="C1427" s="68"/>
      <c r="D1427" s="70"/>
      <c r="E1427" s="68"/>
      <c r="F1427" s="68"/>
      <c r="G1427" s="68"/>
      <c r="H1427" s="35" t="str">
        <f t="shared" si="6"/>
        <v/>
      </c>
      <c r="I1427" s="25" t="s">
        <v>927</v>
      </c>
    </row>
    <row r="1428">
      <c r="A1428" s="69"/>
      <c r="B1428" s="68"/>
      <c r="C1428" s="68"/>
      <c r="D1428" s="70"/>
      <c r="E1428" s="68"/>
      <c r="F1428" s="68"/>
      <c r="G1428" s="68"/>
      <c r="H1428" s="35" t="str">
        <f t="shared" si="6"/>
        <v/>
      </c>
      <c r="I1428" s="25" t="s">
        <v>927</v>
      </c>
    </row>
    <row r="1429">
      <c r="A1429" s="69"/>
      <c r="B1429" s="68"/>
      <c r="C1429" s="68"/>
      <c r="D1429" s="70"/>
      <c r="E1429" s="68"/>
      <c r="F1429" s="68"/>
      <c r="G1429" s="68"/>
      <c r="H1429" s="35" t="str">
        <f t="shared" si="6"/>
        <v/>
      </c>
      <c r="I1429" s="25" t="s">
        <v>927</v>
      </c>
    </row>
    <row r="1430">
      <c r="A1430" s="69"/>
      <c r="B1430" s="68"/>
      <c r="C1430" s="68"/>
      <c r="D1430" s="70"/>
      <c r="E1430" s="68"/>
      <c r="F1430" s="68"/>
      <c r="G1430" s="68"/>
      <c r="H1430" s="35" t="str">
        <f t="shared" si="6"/>
        <v/>
      </c>
      <c r="I1430" s="25" t="s">
        <v>927</v>
      </c>
    </row>
    <row r="1431">
      <c r="A1431" s="69"/>
      <c r="B1431" s="68"/>
      <c r="C1431" s="68"/>
      <c r="D1431" s="70"/>
      <c r="E1431" s="68"/>
      <c r="F1431" s="68"/>
      <c r="G1431" s="68"/>
      <c r="H1431" s="35" t="str">
        <f t="shared" si="6"/>
        <v/>
      </c>
      <c r="I1431" s="25" t="s">
        <v>927</v>
      </c>
    </row>
    <row r="1432">
      <c r="A1432" s="69"/>
      <c r="B1432" s="68"/>
      <c r="C1432" s="68"/>
      <c r="D1432" s="70"/>
      <c r="E1432" s="68"/>
      <c r="F1432" s="68"/>
      <c r="G1432" s="68"/>
      <c r="H1432" s="35" t="str">
        <f t="shared" si="6"/>
        <v/>
      </c>
      <c r="I1432" s="25" t="s">
        <v>927</v>
      </c>
    </row>
    <row r="1433">
      <c r="A1433" s="69"/>
      <c r="B1433" s="68"/>
      <c r="C1433" s="68"/>
      <c r="D1433" s="70"/>
      <c r="E1433" s="68"/>
      <c r="F1433" s="68"/>
      <c r="G1433" s="68"/>
      <c r="H1433" s="35" t="str">
        <f t="shared" si="6"/>
        <v/>
      </c>
      <c r="I1433" s="25" t="s">
        <v>927</v>
      </c>
    </row>
    <row r="1434">
      <c r="A1434" s="69"/>
      <c r="B1434" s="68"/>
      <c r="C1434" s="68"/>
      <c r="D1434" s="70"/>
      <c r="E1434" s="68"/>
      <c r="F1434" s="68"/>
      <c r="G1434" s="68"/>
      <c r="H1434" s="35" t="str">
        <f t="shared" si="6"/>
        <v/>
      </c>
      <c r="I1434" s="25" t="s">
        <v>927</v>
      </c>
    </row>
    <row r="1435">
      <c r="A1435" s="69"/>
      <c r="B1435" s="68"/>
      <c r="C1435" s="68"/>
      <c r="D1435" s="70"/>
      <c r="E1435" s="68"/>
      <c r="F1435" s="68"/>
      <c r="G1435" s="68"/>
      <c r="H1435" s="35" t="str">
        <f t="shared" si="6"/>
        <v/>
      </c>
      <c r="I1435" s="25" t="s">
        <v>927</v>
      </c>
    </row>
    <row r="1436">
      <c r="A1436" s="69"/>
      <c r="B1436" s="68"/>
      <c r="C1436" s="68"/>
      <c r="D1436" s="70"/>
      <c r="E1436" s="68"/>
      <c r="F1436" s="68"/>
      <c r="G1436" s="68"/>
      <c r="H1436" s="35" t="str">
        <f t="shared" si="6"/>
        <v/>
      </c>
      <c r="I1436" s="25" t="s">
        <v>927</v>
      </c>
    </row>
    <row r="1437">
      <c r="A1437" s="69"/>
      <c r="B1437" s="68"/>
      <c r="C1437" s="68"/>
      <c r="D1437" s="70"/>
      <c r="E1437" s="68"/>
      <c r="F1437" s="68"/>
      <c r="G1437" s="68"/>
      <c r="H1437" s="35" t="str">
        <f t="shared" si="6"/>
        <v/>
      </c>
      <c r="I1437" s="25" t="s">
        <v>927</v>
      </c>
    </row>
    <row r="1438">
      <c r="A1438" s="69"/>
      <c r="B1438" s="68"/>
      <c r="C1438" s="68"/>
      <c r="D1438" s="70"/>
      <c r="E1438" s="68"/>
      <c r="F1438" s="68"/>
      <c r="G1438" s="68"/>
      <c r="H1438" s="35" t="str">
        <f t="shared" si="6"/>
        <v/>
      </c>
      <c r="I1438" s="25" t="s">
        <v>927</v>
      </c>
    </row>
    <row r="1439">
      <c r="A1439" s="69"/>
      <c r="B1439" s="68"/>
      <c r="C1439" s="68"/>
      <c r="D1439" s="70"/>
      <c r="E1439" s="68"/>
      <c r="F1439" s="68"/>
      <c r="G1439" s="68"/>
      <c r="H1439" s="35" t="str">
        <f t="shared" si="6"/>
        <v/>
      </c>
      <c r="I1439" s="25" t="s">
        <v>927</v>
      </c>
    </row>
    <row r="1440">
      <c r="A1440" s="69"/>
      <c r="B1440" s="68"/>
      <c r="C1440" s="68"/>
      <c r="D1440" s="70"/>
      <c r="E1440" s="68"/>
      <c r="F1440" s="68"/>
      <c r="G1440" s="68"/>
      <c r="H1440" s="35" t="str">
        <f t="shared" si="6"/>
        <v/>
      </c>
      <c r="I1440" s="25" t="s">
        <v>927</v>
      </c>
    </row>
    <row r="1441">
      <c r="A1441" s="69"/>
      <c r="B1441" s="68"/>
      <c r="C1441" s="68"/>
      <c r="D1441" s="70"/>
      <c r="E1441" s="68"/>
      <c r="F1441" s="68"/>
      <c r="G1441" s="68"/>
      <c r="H1441" s="35" t="str">
        <f t="shared" si="6"/>
        <v/>
      </c>
      <c r="I1441" s="25" t="s">
        <v>927</v>
      </c>
    </row>
    <row r="1442">
      <c r="A1442" s="69"/>
      <c r="B1442" s="68"/>
      <c r="C1442" s="68"/>
      <c r="D1442" s="70"/>
      <c r="E1442" s="68"/>
      <c r="F1442" s="68"/>
      <c r="G1442" s="68"/>
      <c r="H1442" s="35" t="str">
        <f t="shared" si="6"/>
        <v/>
      </c>
      <c r="I1442" s="25" t="s">
        <v>927</v>
      </c>
    </row>
    <row r="1443">
      <c r="A1443" s="69"/>
      <c r="B1443" s="68"/>
      <c r="C1443" s="68"/>
      <c r="D1443" s="70"/>
      <c r="E1443" s="68"/>
      <c r="F1443" s="68"/>
      <c r="G1443" s="68"/>
      <c r="H1443" s="35" t="str">
        <f t="shared" si="6"/>
        <v/>
      </c>
      <c r="I1443" s="25" t="s">
        <v>927</v>
      </c>
    </row>
    <row r="1444">
      <c r="A1444" s="69"/>
      <c r="B1444" s="68"/>
      <c r="C1444" s="68"/>
      <c r="D1444" s="70"/>
      <c r="E1444" s="68"/>
      <c r="F1444" s="68"/>
      <c r="G1444" s="68"/>
      <c r="H1444" s="35" t="str">
        <f t="shared" si="6"/>
        <v/>
      </c>
      <c r="I1444" s="25" t="s">
        <v>927</v>
      </c>
    </row>
    <row r="1445">
      <c r="A1445" s="69"/>
      <c r="B1445" s="68"/>
      <c r="C1445" s="68"/>
      <c r="D1445" s="70"/>
      <c r="E1445" s="68"/>
      <c r="F1445" s="68"/>
      <c r="G1445" s="68"/>
      <c r="H1445" s="35" t="str">
        <f t="shared" si="6"/>
        <v/>
      </c>
      <c r="I1445" s="25" t="s">
        <v>927</v>
      </c>
    </row>
    <row r="1446">
      <c r="A1446" s="69"/>
      <c r="B1446" s="68"/>
      <c r="C1446" s="68"/>
      <c r="D1446" s="70"/>
      <c r="E1446" s="68"/>
      <c r="F1446" s="68"/>
      <c r="G1446" s="68"/>
      <c r="H1446" s="35" t="str">
        <f t="shared" si="6"/>
        <v/>
      </c>
      <c r="I1446" s="25" t="s">
        <v>927</v>
      </c>
    </row>
    <row r="1447">
      <c r="A1447" s="69"/>
      <c r="B1447" s="68"/>
      <c r="C1447" s="68"/>
      <c r="D1447" s="70"/>
      <c r="E1447" s="68"/>
      <c r="F1447" s="68"/>
      <c r="G1447" s="68"/>
      <c r="H1447" s="35" t="str">
        <f t="shared" si="6"/>
        <v/>
      </c>
      <c r="I1447" s="25" t="s">
        <v>927</v>
      </c>
    </row>
    <row r="1448">
      <c r="A1448" s="69"/>
      <c r="B1448" s="68"/>
      <c r="C1448" s="68"/>
      <c r="D1448" s="70"/>
      <c r="E1448" s="68"/>
      <c r="F1448" s="68"/>
      <c r="G1448" s="68"/>
      <c r="H1448" s="35" t="str">
        <f t="shared" si="6"/>
        <v/>
      </c>
      <c r="I1448" s="25" t="s">
        <v>927</v>
      </c>
    </row>
    <row r="1449">
      <c r="A1449" s="69"/>
      <c r="B1449" s="68"/>
      <c r="C1449" s="68"/>
      <c r="D1449" s="70"/>
      <c r="E1449" s="68"/>
      <c r="F1449" s="68"/>
      <c r="G1449" s="68"/>
      <c r="H1449" s="35" t="str">
        <f t="shared" si="6"/>
        <v/>
      </c>
      <c r="I1449" s="25" t="s">
        <v>927</v>
      </c>
    </row>
    <row r="1450">
      <c r="A1450" s="69"/>
      <c r="B1450" s="68"/>
      <c r="C1450" s="68"/>
      <c r="D1450" s="70"/>
      <c r="E1450" s="68"/>
      <c r="F1450" s="68"/>
      <c r="G1450" s="68"/>
      <c r="H1450" s="35" t="str">
        <f t="shared" si="6"/>
        <v/>
      </c>
      <c r="I1450" s="25" t="s">
        <v>927</v>
      </c>
    </row>
    <row r="1451">
      <c r="A1451" s="69"/>
      <c r="B1451" s="68"/>
      <c r="C1451" s="68"/>
      <c r="D1451" s="70"/>
      <c r="E1451" s="68"/>
      <c r="F1451" s="68"/>
      <c r="G1451" s="68"/>
      <c r="H1451" s="35" t="str">
        <f t="shared" si="6"/>
        <v/>
      </c>
      <c r="I1451" s="25" t="s">
        <v>927</v>
      </c>
    </row>
    <row r="1452">
      <c r="A1452" s="69"/>
      <c r="B1452" s="68"/>
      <c r="C1452" s="68"/>
      <c r="D1452" s="70"/>
      <c r="E1452" s="68"/>
      <c r="F1452" s="68"/>
      <c r="G1452" s="68"/>
      <c r="H1452" s="35" t="str">
        <f t="shared" si="6"/>
        <v/>
      </c>
      <c r="I1452" s="25" t="s">
        <v>927</v>
      </c>
    </row>
    <row r="1453">
      <c r="A1453" s="69"/>
      <c r="B1453" s="68"/>
      <c r="C1453" s="68"/>
      <c r="D1453" s="70"/>
      <c r="E1453" s="68"/>
      <c r="F1453" s="68"/>
      <c r="G1453" s="68"/>
      <c r="H1453" s="35" t="str">
        <f t="shared" si="6"/>
        <v/>
      </c>
      <c r="I1453" s="25" t="s">
        <v>927</v>
      </c>
    </row>
    <row r="1454">
      <c r="A1454" s="69"/>
      <c r="B1454" s="68"/>
      <c r="C1454" s="68"/>
      <c r="D1454" s="70"/>
      <c r="E1454" s="68"/>
      <c r="F1454" s="68"/>
      <c r="G1454" s="68"/>
      <c r="H1454" s="35" t="str">
        <f t="shared" si="6"/>
        <v/>
      </c>
      <c r="I1454" s="25" t="s">
        <v>927</v>
      </c>
    </row>
    <row r="1455">
      <c r="A1455" s="69"/>
      <c r="B1455" s="68"/>
      <c r="C1455" s="68"/>
      <c r="D1455" s="70"/>
      <c r="E1455" s="68"/>
      <c r="F1455" s="68"/>
      <c r="G1455" s="68"/>
      <c r="H1455" s="35" t="str">
        <f t="shared" si="6"/>
        <v/>
      </c>
      <c r="I1455" s="25" t="s">
        <v>927</v>
      </c>
    </row>
    <row r="1456">
      <c r="A1456" s="69"/>
      <c r="B1456" s="68"/>
      <c r="C1456" s="68"/>
      <c r="D1456" s="70"/>
      <c r="E1456" s="68"/>
      <c r="F1456" s="68"/>
      <c r="G1456" s="68"/>
      <c r="H1456" s="35" t="str">
        <f t="shared" si="6"/>
        <v/>
      </c>
      <c r="I1456" s="25" t="s">
        <v>927</v>
      </c>
    </row>
    <row r="1457">
      <c r="A1457" s="69"/>
      <c r="B1457" s="68"/>
      <c r="C1457" s="68"/>
      <c r="D1457" s="70"/>
      <c r="E1457" s="68"/>
      <c r="F1457" s="68"/>
      <c r="G1457" s="68"/>
      <c r="H1457" s="35" t="str">
        <f t="shared" si="6"/>
        <v/>
      </c>
      <c r="I1457" s="25" t="s">
        <v>927</v>
      </c>
    </row>
    <row r="1458">
      <c r="A1458" s="69"/>
      <c r="B1458" s="68"/>
      <c r="C1458" s="68"/>
      <c r="D1458" s="70"/>
      <c r="E1458" s="68"/>
      <c r="F1458" s="68"/>
      <c r="G1458" s="68"/>
      <c r="H1458" s="35" t="str">
        <f t="shared" si="6"/>
        <v/>
      </c>
      <c r="I1458" s="25" t="s">
        <v>927</v>
      </c>
    </row>
    <row r="1459">
      <c r="A1459" s="69"/>
      <c r="B1459" s="68"/>
      <c r="C1459" s="68"/>
      <c r="D1459" s="70"/>
      <c r="E1459" s="68"/>
      <c r="F1459" s="68"/>
      <c r="G1459" s="68"/>
      <c r="H1459" s="35" t="str">
        <f t="shared" si="6"/>
        <v/>
      </c>
      <c r="I1459" s="25" t="s">
        <v>927</v>
      </c>
    </row>
    <row r="1460">
      <c r="A1460" s="69"/>
      <c r="B1460" s="68"/>
      <c r="C1460" s="68"/>
      <c r="D1460" s="70"/>
      <c r="E1460" s="68"/>
      <c r="F1460" s="68"/>
      <c r="G1460" s="68"/>
      <c r="H1460" s="35" t="str">
        <f t="shared" si="6"/>
        <v/>
      </c>
      <c r="I1460" s="25" t="s">
        <v>927</v>
      </c>
    </row>
    <row r="1461">
      <c r="A1461" s="69"/>
      <c r="B1461" s="68"/>
      <c r="C1461" s="68"/>
      <c r="D1461" s="70"/>
      <c r="E1461" s="68"/>
      <c r="F1461" s="68"/>
      <c r="G1461" s="68"/>
      <c r="H1461" s="35" t="str">
        <f t="shared" si="6"/>
        <v/>
      </c>
      <c r="I1461" s="25" t="s">
        <v>927</v>
      </c>
    </row>
    <row r="1462">
      <c r="A1462" s="69"/>
      <c r="B1462" s="68"/>
      <c r="C1462" s="68"/>
      <c r="D1462" s="70"/>
      <c r="E1462" s="68"/>
      <c r="F1462" s="68"/>
      <c r="G1462" s="68"/>
      <c r="H1462" s="35" t="str">
        <f t="shared" si="6"/>
        <v/>
      </c>
      <c r="I1462" s="25" t="s">
        <v>927</v>
      </c>
    </row>
    <row r="1463">
      <c r="A1463" s="69"/>
      <c r="B1463" s="68"/>
      <c r="C1463" s="68"/>
      <c r="D1463" s="70"/>
      <c r="E1463" s="68"/>
      <c r="F1463" s="68"/>
      <c r="G1463" s="68"/>
      <c r="H1463" s="35" t="str">
        <f t="shared" si="6"/>
        <v/>
      </c>
      <c r="I1463" s="25" t="s">
        <v>927</v>
      </c>
    </row>
    <row r="1464">
      <c r="A1464" s="69"/>
      <c r="B1464" s="68"/>
      <c r="C1464" s="68"/>
      <c r="D1464" s="70"/>
      <c r="E1464" s="68"/>
      <c r="F1464" s="68"/>
      <c r="G1464" s="68"/>
      <c r="H1464" s="35" t="str">
        <f t="shared" si="6"/>
        <v/>
      </c>
      <c r="I1464" s="25" t="s">
        <v>927</v>
      </c>
    </row>
    <row r="1465">
      <c r="A1465" s="69"/>
      <c r="B1465" s="68"/>
      <c r="C1465" s="68"/>
      <c r="D1465" s="70"/>
      <c r="E1465" s="68"/>
      <c r="F1465" s="68"/>
      <c r="G1465" s="68"/>
      <c r="H1465" s="35" t="str">
        <f t="shared" si="6"/>
        <v/>
      </c>
      <c r="I1465" s="25" t="s">
        <v>927</v>
      </c>
    </row>
    <row r="1466">
      <c r="A1466" s="69"/>
      <c r="B1466" s="68"/>
      <c r="C1466" s="68"/>
      <c r="D1466" s="70"/>
      <c r="E1466" s="68"/>
      <c r="F1466" s="68"/>
      <c r="G1466" s="68"/>
      <c r="H1466" s="35" t="str">
        <f t="shared" si="6"/>
        <v/>
      </c>
      <c r="I1466" s="25" t="s">
        <v>927</v>
      </c>
    </row>
    <row r="1467">
      <c r="A1467" s="69"/>
      <c r="B1467" s="68"/>
      <c r="C1467" s="68"/>
      <c r="D1467" s="70"/>
      <c r="E1467" s="68"/>
      <c r="F1467" s="68"/>
      <c r="G1467" s="68"/>
      <c r="H1467" s="35" t="str">
        <f t="shared" si="6"/>
        <v/>
      </c>
      <c r="I1467" s="25" t="s">
        <v>927</v>
      </c>
    </row>
    <row r="1468">
      <c r="A1468" s="69"/>
      <c r="B1468" s="68"/>
      <c r="C1468" s="68"/>
      <c r="D1468" s="70"/>
      <c r="E1468" s="68"/>
      <c r="F1468" s="68"/>
      <c r="G1468" s="68"/>
      <c r="H1468" s="35" t="str">
        <f t="shared" si="6"/>
        <v/>
      </c>
      <c r="I1468" s="25" t="s">
        <v>927</v>
      </c>
    </row>
    <row r="1469">
      <c r="A1469" s="69"/>
      <c r="B1469" s="68"/>
      <c r="C1469" s="68"/>
      <c r="D1469" s="70"/>
      <c r="E1469" s="68"/>
      <c r="F1469" s="68"/>
      <c r="G1469" s="68"/>
      <c r="H1469" s="35" t="str">
        <f t="shared" si="6"/>
        <v/>
      </c>
      <c r="I1469" s="25" t="s">
        <v>927</v>
      </c>
    </row>
    <row r="1470">
      <c r="A1470" s="69"/>
      <c r="B1470" s="68"/>
      <c r="C1470" s="68"/>
      <c r="D1470" s="70"/>
      <c r="E1470" s="68"/>
      <c r="F1470" s="68"/>
      <c r="G1470" s="68"/>
      <c r="H1470" s="35" t="str">
        <f t="shared" si="6"/>
        <v/>
      </c>
      <c r="I1470" s="25" t="s">
        <v>927</v>
      </c>
    </row>
    <row r="1471">
      <c r="A1471" s="69"/>
      <c r="B1471" s="68"/>
      <c r="C1471" s="68"/>
      <c r="D1471" s="70"/>
      <c r="E1471" s="68"/>
      <c r="F1471" s="68"/>
      <c r="G1471" s="68"/>
      <c r="H1471" s="35" t="str">
        <f t="shared" si="6"/>
        <v/>
      </c>
      <c r="I1471" s="25" t="s">
        <v>927</v>
      </c>
    </row>
    <row r="1472">
      <c r="A1472" s="69"/>
      <c r="B1472" s="68"/>
      <c r="C1472" s="68"/>
      <c r="D1472" s="70"/>
      <c r="E1472" s="68"/>
      <c r="F1472" s="68"/>
      <c r="G1472" s="68"/>
      <c r="H1472" s="35" t="str">
        <f t="shared" si="6"/>
        <v/>
      </c>
      <c r="I1472" s="25" t="s">
        <v>927</v>
      </c>
    </row>
    <row r="1473">
      <c r="A1473" s="69"/>
      <c r="B1473" s="68"/>
      <c r="C1473" s="68"/>
      <c r="D1473" s="70"/>
      <c r="E1473" s="68"/>
      <c r="F1473" s="68"/>
      <c r="G1473" s="68"/>
      <c r="H1473" s="35" t="str">
        <f t="shared" si="6"/>
        <v/>
      </c>
      <c r="I1473" s="25" t="s">
        <v>927</v>
      </c>
    </row>
    <row r="1474">
      <c r="A1474" s="69"/>
      <c r="B1474" s="68"/>
      <c r="C1474" s="68"/>
      <c r="D1474" s="70"/>
      <c r="E1474" s="68"/>
      <c r="F1474" s="68"/>
      <c r="G1474" s="68"/>
      <c r="H1474" s="35" t="str">
        <f t="shared" si="6"/>
        <v/>
      </c>
      <c r="I1474" s="25" t="s">
        <v>927</v>
      </c>
    </row>
    <row r="1475">
      <c r="A1475" s="69"/>
      <c r="B1475" s="68"/>
      <c r="C1475" s="68"/>
      <c r="D1475" s="70"/>
      <c r="E1475" s="68"/>
      <c r="F1475" s="68"/>
      <c r="G1475" s="68"/>
      <c r="H1475" s="35" t="str">
        <f t="shared" si="6"/>
        <v/>
      </c>
      <c r="I1475" s="25" t="s">
        <v>927</v>
      </c>
    </row>
    <row r="1476">
      <c r="A1476" s="69"/>
      <c r="B1476" s="68"/>
      <c r="C1476" s="68"/>
      <c r="D1476" s="70"/>
      <c r="E1476" s="68"/>
      <c r="F1476" s="68"/>
      <c r="G1476" s="68"/>
      <c r="H1476" s="35" t="str">
        <f t="shared" si="6"/>
        <v/>
      </c>
      <c r="I1476" s="25" t="s">
        <v>927</v>
      </c>
    </row>
    <row r="1477">
      <c r="A1477" s="69"/>
      <c r="B1477" s="68"/>
      <c r="C1477" s="68"/>
      <c r="D1477" s="70"/>
      <c r="E1477" s="68"/>
      <c r="F1477" s="68"/>
      <c r="G1477" s="68"/>
      <c r="H1477" s="35" t="str">
        <f t="shared" si="6"/>
        <v/>
      </c>
      <c r="I1477" s="25" t="s">
        <v>927</v>
      </c>
    </row>
    <row r="1478">
      <c r="A1478" s="69"/>
      <c r="B1478" s="68"/>
      <c r="C1478" s="68"/>
      <c r="D1478" s="70"/>
      <c r="E1478" s="68"/>
      <c r="F1478" s="68"/>
      <c r="G1478" s="68"/>
      <c r="H1478" s="35" t="str">
        <f t="shared" si="6"/>
        <v/>
      </c>
      <c r="I1478" s="25" t="s">
        <v>927</v>
      </c>
    </row>
    <row r="1479">
      <c r="A1479" s="69"/>
      <c r="B1479" s="68"/>
      <c r="C1479" s="68"/>
      <c r="D1479" s="70"/>
      <c r="E1479" s="68"/>
      <c r="F1479" s="68"/>
      <c r="G1479" s="68"/>
      <c r="H1479" s="35" t="str">
        <f t="shared" si="6"/>
        <v/>
      </c>
      <c r="I1479" s="25" t="s">
        <v>927</v>
      </c>
    </row>
    <row r="1480">
      <c r="A1480" s="69"/>
      <c r="B1480" s="68"/>
      <c r="C1480" s="68"/>
      <c r="D1480" s="70"/>
      <c r="E1480" s="68"/>
      <c r="F1480" s="68"/>
      <c r="G1480" s="68"/>
      <c r="H1480" s="35" t="str">
        <f t="shared" si="6"/>
        <v/>
      </c>
      <c r="I1480" s="25" t="s">
        <v>927</v>
      </c>
    </row>
    <row r="1481">
      <c r="A1481" s="69"/>
      <c r="B1481" s="68"/>
      <c r="C1481" s="68"/>
      <c r="D1481" s="70"/>
      <c r="E1481" s="68"/>
      <c r="F1481" s="68"/>
      <c r="G1481" s="68"/>
      <c r="H1481" s="35" t="str">
        <f t="shared" si="6"/>
        <v/>
      </c>
      <c r="I1481" s="25" t="s">
        <v>927</v>
      </c>
    </row>
    <row r="1482">
      <c r="A1482" s="69"/>
      <c r="B1482" s="68"/>
      <c r="C1482" s="68"/>
      <c r="D1482" s="70"/>
      <c r="E1482" s="68"/>
      <c r="F1482" s="68"/>
      <c r="G1482" s="68"/>
      <c r="H1482" s="35" t="str">
        <f t="shared" si="6"/>
        <v/>
      </c>
      <c r="I1482" s="25" t="s">
        <v>927</v>
      </c>
    </row>
    <row r="1483">
      <c r="A1483" s="69"/>
      <c r="B1483" s="68"/>
      <c r="C1483" s="68"/>
      <c r="D1483" s="70"/>
      <c r="E1483" s="68"/>
      <c r="F1483" s="68"/>
      <c r="G1483" s="68"/>
      <c r="H1483" s="35" t="str">
        <f t="shared" si="6"/>
        <v/>
      </c>
      <c r="I1483" s="25" t="s">
        <v>927</v>
      </c>
    </row>
    <row r="1484">
      <c r="A1484" s="69"/>
      <c r="B1484" s="68"/>
      <c r="C1484" s="68"/>
      <c r="D1484" s="70"/>
      <c r="E1484" s="68"/>
      <c r="F1484" s="68"/>
      <c r="G1484" s="68"/>
      <c r="H1484" s="35" t="str">
        <f t="shared" si="6"/>
        <v/>
      </c>
      <c r="I1484" s="25" t="s">
        <v>927</v>
      </c>
    </row>
    <row r="1485">
      <c r="A1485" s="69"/>
      <c r="B1485" s="68"/>
      <c r="C1485" s="68"/>
      <c r="D1485" s="70"/>
      <c r="E1485" s="68"/>
      <c r="F1485" s="68"/>
      <c r="G1485" s="68"/>
      <c r="H1485" s="35" t="str">
        <f t="shared" si="6"/>
        <v/>
      </c>
      <c r="I1485" s="25" t="s">
        <v>927</v>
      </c>
    </row>
    <row r="1486">
      <c r="A1486" s="69"/>
      <c r="B1486" s="68"/>
      <c r="C1486" s="68"/>
      <c r="D1486" s="70"/>
      <c r="E1486" s="68"/>
      <c r="F1486" s="68"/>
      <c r="G1486" s="68"/>
      <c r="H1486" s="35" t="str">
        <f t="shared" si="6"/>
        <v/>
      </c>
      <c r="I1486" s="25" t="s">
        <v>927</v>
      </c>
    </row>
    <row r="1487">
      <c r="A1487" s="69"/>
      <c r="B1487" s="68"/>
      <c r="C1487" s="68"/>
      <c r="D1487" s="70"/>
      <c r="E1487" s="68"/>
      <c r="F1487" s="68"/>
      <c r="G1487" s="68"/>
      <c r="H1487" s="35" t="str">
        <f t="shared" si="6"/>
        <v/>
      </c>
      <c r="I1487" s="25" t="s">
        <v>927</v>
      </c>
    </row>
    <row r="1488">
      <c r="A1488" s="69"/>
      <c r="B1488" s="68"/>
      <c r="C1488" s="68"/>
      <c r="D1488" s="70"/>
      <c r="E1488" s="68"/>
      <c r="F1488" s="68"/>
      <c r="G1488" s="68"/>
      <c r="H1488" s="35" t="str">
        <f t="shared" si="6"/>
        <v/>
      </c>
      <c r="I1488" s="25" t="s">
        <v>927</v>
      </c>
    </row>
    <row r="1489">
      <c r="A1489" s="69"/>
      <c r="B1489" s="68"/>
      <c r="C1489" s="68"/>
      <c r="D1489" s="70"/>
      <c r="E1489" s="68"/>
      <c r="F1489" s="68"/>
      <c r="G1489" s="68"/>
      <c r="H1489" s="35" t="str">
        <f t="shared" si="6"/>
        <v/>
      </c>
      <c r="I1489" s="25" t="s">
        <v>927</v>
      </c>
    </row>
    <row r="1490">
      <c r="A1490" s="69"/>
      <c r="B1490" s="68"/>
      <c r="C1490" s="68"/>
      <c r="D1490" s="70"/>
      <c r="E1490" s="68"/>
      <c r="F1490" s="68"/>
      <c r="G1490" s="68"/>
      <c r="H1490" s="35" t="str">
        <f t="shared" si="6"/>
        <v/>
      </c>
      <c r="I1490" s="25" t="s">
        <v>927</v>
      </c>
    </row>
    <row r="1491">
      <c r="A1491" s="69"/>
      <c r="B1491" s="68"/>
      <c r="C1491" s="68"/>
      <c r="D1491" s="70"/>
      <c r="E1491" s="68"/>
      <c r="F1491" s="68"/>
      <c r="G1491" s="68"/>
      <c r="H1491" s="35" t="str">
        <f t="shared" si="6"/>
        <v/>
      </c>
      <c r="I1491" s="25" t="s">
        <v>927</v>
      </c>
    </row>
    <row r="1492">
      <c r="A1492" s="69"/>
      <c r="B1492" s="68"/>
      <c r="C1492" s="68"/>
      <c r="D1492" s="70"/>
      <c r="E1492" s="68"/>
      <c r="F1492" s="68"/>
      <c r="G1492" s="68"/>
      <c r="H1492" s="35" t="str">
        <f t="shared" si="6"/>
        <v/>
      </c>
      <c r="I1492" s="25" t="s">
        <v>927</v>
      </c>
    </row>
    <row r="1493">
      <c r="A1493" s="69"/>
      <c r="B1493" s="68"/>
      <c r="C1493" s="68"/>
      <c r="D1493" s="70"/>
      <c r="E1493" s="68"/>
      <c r="F1493" s="68"/>
      <c r="G1493" s="68"/>
      <c r="H1493" s="35" t="str">
        <f t="shared" si="6"/>
        <v/>
      </c>
      <c r="I1493" s="25" t="s">
        <v>927</v>
      </c>
    </row>
    <row r="1494">
      <c r="A1494" s="69"/>
      <c r="B1494" s="68"/>
      <c r="C1494" s="68"/>
      <c r="D1494" s="70"/>
      <c r="E1494" s="68"/>
      <c r="F1494" s="68"/>
      <c r="G1494" s="68"/>
      <c r="H1494" s="35" t="str">
        <f t="shared" si="6"/>
        <v/>
      </c>
      <c r="I1494" s="25" t="s">
        <v>927</v>
      </c>
    </row>
    <row r="1495">
      <c r="A1495" s="69"/>
      <c r="B1495" s="68"/>
      <c r="C1495" s="68"/>
      <c r="D1495" s="70"/>
      <c r="E1495" s="68"/>
      <c r="F1495" s="68"/>
      <c r="G1495" s="68"/>
      <c r="H1495" s="35" t="str">
        <f t="shared" si="6"/>
        <v/>
      </c>
      <c r="I1495" s="25" t="s">
        <v>927</v>
      </c>
    </row>
    <row r="1496">
      <c r="A1496" s="69"/>
      <c r="B1496" s="68"/>
      <c r="C1496" s="68"/>
      <c r="D1496" s="70"/>
      <c r="E1496" s="68"/>
      <c r="F1496" s="68"/>
      <c r="G1496" s="68"/>
      <c r="H1496" s="35" t="str">
        <f t="shared" si="6"/>
        <v/>
      </c>
      <c r="I1496" s="25" t="s">
        <v>927</v>
      </c>
    </row>
    <row r="1497">
      <c r="A1497" s="69"/>
      <c r="B1497" s="68"/>
      <c r="C1497" s="68"/>
      <c r="D1497" s="70"/>
      <c r="E1497" s="68"/>
      <c r="F1497" s="68"/>
      <c r="G1497" s="68"/>
      <c r="H1497" s="35" t="str">
        <f t="shared" si="6"/>
        <v/>
      </c>
      <c r="I1497" s="25" t="s">
        <v>927</v>
      </c>
    </row>
    <row r="1498">
      <c r="A1498" s="69"/>
      <c r="B1498" s="68"/>
      <c r="C1498" s="68"/>
      <c r="D1498" s="70"/>
      <c r="E1498" s="68"/>
      <c r="F1498" s="68"/>
      <c r="G1498" s="68"/>
      <c r="H1498" s="35" t="str">
        <f t="shared" si="6"/>
        <v/>
      </c>
      <c r="I1498" s="25" t="s">
        <v>927</v>
      </c>
    </row>
    <row r="1499">
      <c r="A1499" s="69"/>
      <c r="B1499" s="68"/>
      <c r="C1499" s="68"/>
      <c r="D1499" s="70"/>
      <c r="E1499" s="68"/>
      <c r="F1499" s="68"/>
      <c r="G1499" s="68"/>
      <c r="H1499" s="35" t="str">
        <f t="shared" si="6"/>
        <v/>
      </c>
      <c r="I1499" s="25" t="s">
        <v>927</v>
      </c>
    </row>
    <row r="1500">
      <c r="A1500" s="69"/>
      <c r="B1500" s="68"/>
      <c r="C1500" s="68"/>
      <c r="D1500" s="70"/>
      <c r="E1500" s="68"/>
      <c r="F1500" s="68"/>
      <c r="G1500" s="68"/>
      <c r="H1500" s="35" t="str">
        <f t="shared" si="6"/>
        <v/>
      </c>
      <c r="I1500" s="25" t="s">
        <v>927</v>
      </c>
    </row>
    <row r="1501">
      <c r="A1501" s="69"/>
      <c r="B1501" s="68"/>
      <c r="C1501" s="68"/>
      <c r="D1501" s="70"/>
      <c r="E1501" s="68"/>
      <c r="F1501" s="68"/>
      <c r="G1501" s="68"/>
      <c r="H1501" s="35" t="str">
        <f t="shared" si="6"/>
        <v/>
      </c>
      <c r="I1501" s="25" t="s">
        <v>927</v>
      </c>
    </row>
    <row r="1502">
      <c r="A1502" s="69"/>
      <c r="B1502" s="68"/>
      <c r="C1502" s="68"/>
      <c r="D1502" s="70"/>
      <c r="E1502" s="68"/>
      <c r="F1502" s="68"/>
      <c r="G1502" s="68"/>
      <c r="H1502" s="35" t="str">
        <f t="shared" si="6"/>
        <v/>
      </c>
      <c r="I1502" s="25" t="s">
        <v>927</v>
      </c>
    </row>
    <row r="1503">
      <c r="A1503" s="69"/>
      <c r="B1503" s="68"/>
      <c r="C1503" s="68"/>
      <c r="D1503" s="70"/>
      <c r="E1503" s="68"/>
      <c r="F1503" s="68"/>
      <c r="G1503" s="68"/>
      <c r="H1503" s="35" t="str">
        <f t="shared" si="6"/>
        <v/>
      </c>
      <c r="I1503" s="25" t="s">
        <v>927</v>
      </c>
    </row>
    <row r="1504">
      <c r="A1504" s="69"/>
      <c r="B1504" s="68"/>
      <c r="C1504" s="68"/>
      <c r="D1504" s="70"/>
      <c r="E1504" s="68"/>
      <c r="F1504" s="68"/>
      <c r="G1504" s="68"/>
      <c r="H1504" s="35" t="str">
        <f t="shared" si="6"/>
        <v/>
      </c>
      <c r="I1504" s="25" t="s">
        <v>927</v>
      </c>
    </row>
    <row r="1505">
      <c r="A1505" s="69"/>
      <c r="B1505" s="68"/>
      <c r="C1505" s="68"/>
      <c r="D1505" s="70"/>
      <c r="E1505" s="68"/>
      <c r="F1505" s="68"/>
      <c r="G1505" s="68"/>
      <c r="H1505" s="35" t="str">
        <f t="shared" si="6"/>
        <v/>
      </c>
      <c r="I1505" s="25" t="s">
        <v>927</v>
      </c>
    </row>
    <row r="1506">
      <c r="A1506" s="69"/>
      <c r="B1506" s="68"/>
      <c r="C1506" s="68"/>
      <c r="D1506" s="70"/>
      <c r="E1506" s="68"/>
      <c r="F1506" s="68"/>
      <c r="G1506" s="68"/>
      <c r="H1506" s="35" t="str">
        <f t="shared" si="6"/>
        <v/>
      </c>
      <c r="I1506" s="25" t="s">
        <v>927</v>
      </c>
    </row>
    <row r="1507">
      <c r="A1507" s="69"/>
      <c r="B1507" s="68"/>
      <c r="C1507" s="68"/>
      <c r="D1507" s="70"/>
      <c r="E1507" s="68"/>
      <c r="F1507" s="68"/>
      <c r="G1507" s="68"/>
      <c r="H1507" s="35" t="str">
        <f t="shared" si="6"/>
        <v/>
      </c>
      <c r="I1507" s="25" t="s">
        <v>927</v>
      </c>
    </row>
    <row r="1508">
      <c r="A1508" s="69"/>
      <c r="B1508" s="68"/>
      <c r="C1508" s="68"/>
      <c r="D1508" s="70"/>
      <c r="E1508" s="68"/>
      <c r="F1508" s="68"/>
      <c r="G1508" s="68"/>
      <c r="H1508" s="35" t="str">
        <f t="shared" si="6"/>
        <v/>
      </c>
      <c r="I1508" s="25" t="s">
        <v>927</v>
      </c>
    </row>
    <row r="1509">
      <c r="A1509" s="69"/>
      <c r="B1509" s="68"/>
      <c r="C1509" s="68"/>
      <c r="D1509" s="70"/>
      <c r="E1509" s="68"/>
      <c r="F1509" s="68"/>
      <c r="G1509" s="68"/>
      <c r="H1509" s="35" t="str">
        <f t="shared" si="6"/>
        <v/>
      </c>
      <c r="I1509" s="25" t="s">
        <v>927</v>
      </c>
    </row>
    <row r="1510">
      <c r="A1510" s="69"/>
      <c r="B1510" s="68"/>
      <c r="C1510" s="68"/>
      <c r="D1510" s="70"/>
      <c r="E1510" s="68"/>
      <c r="F1510" s="68"/>
      <c r="G1510" s="68"/>
      <c r="H1510" s="35" t="str">
        <f t="shared" si="6"/>
        <v/>
      </c>
      <c r="I1510" s="25" t="s">
        <v>927</v>
      </c>
    </row>
    <row r="1511">
      <c r="A1511" s="69"/>
      <c r="B1511" s="68"/>
      <c r="C1511" s="68"/>
      <c r="D1511" s="70"/>
      <c r="E1511" s="68"/>
      <c r="F1511" s="68"/>
      <c r="G1511" s="68"/>
      <c r="H1511" s="35" t="str">
        <f t="shared" si="6"/>
        <v/>
      </c>
      <c r="I1511" s="25" t="s">
        <v>927</v>
      </c>
    </row>
    <row r="1512">
      <c r="A1512" s="69"/>
      <c r="B1512" s="68"/>
      <c r="C1512" s="68"/>
      <c r="D1512" s="70"/>
      <c r="E1512" s="68"/>
      <c r="F1512" s="68"/>
      <c r="G1512" s="68"/>
      <c r="H1512" s="35" t="str">
        <f t="shared" si="6"/>
        <v/>
      </c>
      <c r="I1512" s="25" t="s">
        <v>927</v>
      </c>
    </row>
    <row r="1513">
      <c r="A1513" s="69"/>
      <c r="B1513" s="68"/>
      <c r="C1513" s="68"/>
      <c r="D1513" s="70"/>
      <c r="E1513" s="68"/>
      <c r="F1513" s="68"/>
      <c r="G1513" s="68"/>
      <c r="H1513" s="35" t="str">
        <f t="shared" si="6"/>
        <v/>
      </c>
      <c r="I1513" s="25" t="s">
        <v>927</v>
      </c>
    </row>
    <row r="1514">
      <c r="A1514" s="69"/>
      <c r="B1514" s="68"/>
      <c r="C1514" s="68"/>
      <c r="D1514" s="70"/>
      <c r="E1514" s="68"/>
      <c r="F1514" s="68"/>
      <c r="G1514" s="68"/>
      <c r="H1514" s="35" t="str">
        <f t="shared" si="6"/>
        <v/>
      </c>
      <c r="I1514" s="25" t="s">
        <v>927</v>
      </c>
    </row>
    <row r="1515">
      <c r="A1515" s="69"/>
      <c r="B1515" s="68"/>
      <c r="C1515" s="68"/>
      <c r="D1515" s="70"/>
      <c r="E1515" s="68"/>
      <c r="F1515" s="68"/>
      <c r="G1515" s="68"/>
      <c r="H1515" s="35" t="str">
        <f t="shared" si="6"/>
        <v/>
      </c>
      <c r="I1515" s="25" t="s">
        <v>927</v>
      </c>
    </row>
    <row r="1516">
      <c r="A1516" s="69"/>
      <c r="B1516" s="68"/>
      <c r="C1516" s="68"/>
      <c r="D1516" s="70"/>
      <c r="E1516" s="68"/>
      <c r="F1516" s="68"/>
      <c r="G1516" s="68"/>
      <c r="H1516" s="35" t="str">
        <f t="shared" si="6"/>
        <v/>
      </c>
      <c r="I1516" s="25" t="s">
        <v>927</v>
      </c>
    </row>
    <row r="1517">
      <c r="A1517" s="69"/>
      <c r="B1517" s="68"/>
      <c r="C1517" s="68"/>
      <c r="D1517" s="70"/>
      <c r="E1517" s="68"/>
      <c r="F1517" s="68"/>
      <c r="G1517" s="68"/>
      <c r="H1517" s="35" t="str">
        <f t="shared" si="6"/>
        <v/>
      </c>
      <c r="I1517" s="25" t="s">
        <v>927</v>
      </c>
    </row>
    <row r="1518">
      <c r="A1518" s="69"/>
      <c r="B1518" s="68"/>
      <c r="C1518" s="68"/>
      <c r="D1518" s="70"/>
      <c r="E1518" s="68"/>
      <c r="F1518" s="68"/>
      <c r="G1518" s="68"/>
      <c r="H1518" s="35" t="str">
        <f t="shared" si="6"/>
        <v/>
      </c>
      <c r="I1518" s="25" t="s">
        <v>927</v>
      </c>
    </row>
    <row r="1519">
      <c r="A1519" s="69"/>
      <c r="B1519" s="68"/>
      <c r="C1519" s="68"/>
      <c r="D1519" s="70"/>
      <c r="E1519" s="68"/>
      <c r="F1519" s="68"/>
      <c r="G1519" s="68"/>
      <c r="H1519" s="35" t="str">
        <f t="shared" si="6"/>
        <v/>
      </c>
      <c r="I1519" s="25" t="s">
        <v>927</v>
      </c>
    </row>
    <row r="1520">
      <c r="A1520" s="69"/>
      <c r="B1520" s="68"/>
      <c r="C1520" s="68"/>
      <c r="D1520" s="70"/>
      <c r="E1520" s="68"/>
      <c r="F1520" s="68"/>
      <c r="G1520" s="68"/>
      <c r="H1520" s="35" t="str">
        <f t="shared" si="6"/>
        <v/>
      </c>
      <c r="I1520" s="25" t="s">
        <v>927</v>
      </c>
    </row>
    <row r="1521">
      <c r="A1521" s="69"/>
      <c r="B1521" s="68"/>
      <c r="C1521" s="68"/>
      <c r="D1521" s="70"/>
      <c r="E1521" s="68"/>
      <c r="F1521" s="68"/>
      <c r="G1521" s="68"/>
      <c r="H1521" s="35" t="str">
        <f t="shared" si="6"/>
        <v/>
      </c>
      <c r="I1521" s="25" t="s">
        <v>927</v>
      </c>
    </row>
    <row r="1522">
      <c r="A1522" s="69"/>
      <c r="B1522" s="68"/>
      <c r="C1522" s="68"/>
      <c r="D1522" s="70"/>
      <c r="E1522" s="68"/>
      <c r="F1522" s="68"/>
      <c r="G1522" s="68"/>
      <c r="H1522" s="35" t="str">
        <f t="shared" si="6"/>
        <v/>
      </c>
      <c r="I1522" s="25" t="s">
        <v>927</v>
      </c>
    </row>
    <row r="1523">
      <c r="A1523" s="69"/>
      <c r="B1523" s="68"/>
      <c r="C1523" s="68"/>
      <c r="D1523" s="70"/>
      <c r="E1523" s="68"/>
      <c r="F1523" s="68"/>
      <c r="G1523" s="68"/>
      <c r="H1523" s="35" t="str">
        <f t="shared" si="6"/>
        <v/>
      </c>
      <c r="I1523" s="25" t="s">
        <v>927</v>
      </c>
    </row>
    <row r="1524">
      <c r="A1524" s="69"/>
      <c r="B1524" s="68"/>
      <c r="C1524" s="68"/>
      <c r="D1524" s="70"/>
      <c r="E1524" s="68"/>
      <c r="F1524" s="68"/>
      <c r="G1524" s="68"/>
      <c r="H1524" s="35" t="str">
        <f t="shared" si="6"/>
        <v/>
      </c>
      <c r="I1524" s="25" t="s">
        <v>927</v>
      </c>
    </row>
    <row r="1525">
      <c r="A1525" s="69"/>
      <c r="B1525" s="68"/>
      <c r="C1525" s="68"/>
      <c r="D1525" s="70"/>
      <c r="E1525" s="68"/>
      <c r="F1525" s="68"/>
      <c r="G1525" s="68"/>
      <c r="H1525" s="35" t="str">
        <f t="shared" si="6"/>
        <v/>
      </c>
      <c r="I1525" s="25" t="s">
        <v>927</v>
      </c>
    </row>
    <row r="1526">
      <c r="A1526" s="69"/>
      <c r="B1526" s="68"/>
      <c r="C1526" s="68"/>
      <c r="D1526" s="70"/>
      <c r="E1526" s="68"/>
      <c r="F1526" s="68"/>
      <c r="G1526" s="68"/>
      <c r="H1526" s="35" t="str">
        <f t="shared" si="6"/>
        <v/>
      </c>
      <c r="I1526" s="25" t="s">
        <v>927</v>
      </c>
    </row>
    <row r="1527">
      <c r="A1527" s="69"/>
      <c r="B1527" s="68"/>
      <c r="C1527" s="68"/>
      <c r="D1527" s="70"/>
      <c r="E1527" s="68"/>
      <c r="F1527" s="68"/>
      <c r="G1527" s="68"/>
      <c r="H1527" s="35" t="str">
        <f t="shared" si="6"/>
        <v/>
      </c>
      <c r="I1527" s="25" t="s">
        <v>927</v>
      </c>
    </row>
    <row r="1528">
      <c r="A1528" s="69"/>
      <c r="B1528" s="68"/>
      <c r="C1528" s="68"/>
      <c r="D1528" s="70"/>
      <c r="E1528" s="68"/>
      <c r="F1528" s="68"/>
      <c r="G1528" s="68"/>
      <c r="H1528" s="35" t="str">
        <f t="shared" si="6"/>
        <v/>
      </c>
      <c r="I1528" s="25" t="s">
        <v>927</v>
      </c>
    </row>
    <row r="1529">
      <c r="A1529" s="69"/>
      <c r="B1529" s="68"/>
      <c r="C1529" s="68"/>
      <c r="D1529" s="70"/>
      <c r="E1529" s="68"/>
      <c r="F1529" s="68"/>
      <c r="G1529" s="68"/>
      <c r="H1529" s="35" t="str">
        <f t="shared" si="6"/>
        <v/>
      </c>
      <c r="I1529" s="25" t="s">
        <v>927</v>
      </c>
    </row>
    <row r="1530">
      <c r="A1530" s="69"/>
      <c r="B1530" s="68"/>
      <c r="C1530" s="68"/>
      <c r="D1530" s="70"/>
      <c r="E1530" s="68"/>
      <c r="F1530" s="68"/>
      <c r="G1530" s="68"/>
      <c r="H1530" s="35" t="str">
        <f t="shared" si="6"/>
        <v/>
      </c>
      <c r="I1530" s="25" t="s">
        <v>927</v>
      </c>
    </row>
    <row r="1531">
      <c r="A1531" s="69"/>
      <c r="B1531" s="68"/>
      <c r="C1531" s="68"/>
      <c r="D1531" s="70"/>
      <c r="E1531" s="68"/>
      <c r="F1531" s="68"/>
      <c r="G1531" s="68"/>
      <c r="H1531" s="35" t="str">
        <f t="shared" si="6"/>
        <v/>
      </c>
      <c r="I1531" s="25" t="s">
        <v>927</v>
      </c>
    </row>
    <row r="1532">
      <c r="A1532" s="69"/>
      <c r="B1532" s="68"/>
      <c r="C1532" s="68"/>
      <c r="D1532" s="70"/>
      <c r="E1532" s="68"/>
      <c r="F1532" s="68"/>
      <c r="G1532" s="68"/>
      <c r="H1532" s="35" t="str">
        <f t="shared" si="6"/>
        <v/>
      </c>
      <c r="I1532" s="25" t="s">
        <v>927</v>
      </c>
    </row>
    <row r="1533">
      <c r="A1533" s="69"/>
      <c r="B1533" s="68"/>
      <c r="C1533" s="68"/>
      <c r="D1533" s="70"/>
      <c r="E1533" s="68"/>
      <c r="F1533" s="68"/>
      <c r="G1533" s="68"/>
      <c r="H1533" s="35" t="str">
        <f t="shared" si="6"/>
        <v/>
      </c>
      <c r="I1533" s="25" t="s">
        <v>927</v>
      </c>
    </row>
    <row r="1534">
      <c r="A1534" s="69"/>
      <c r="B1534" s="68"/>
      <c r="C1534" s="68"/>
      <c r="D1534" s="70"/>
      <c r="E1534" s="68"/>
      <c r="F1534" s="68"/>
      <c r="G1534" s="68"/>
      <c r="H1534" s="35" t="str">
        <f t="shared" si="6"/>
        <v/>
      </c>
      <c r="I1534" s="25" t="s">
        <v>927</v>
      </c>
    </row>
    <row r="1535">
      <c r="A1535" s="69"/>
      <c r="B1535" s="68"/>
      <c r="C1535" s="68"/>
      <c r="D1535" s="70"/>
      <c r="E1535" s="68"/>
      <c r="F1535" s="68"/>
      <c r="G1535" s="68"/>
      <c r="H1535" s="35" t="str">
        <f t="shared" si="6"/>
        <v/>
      </c>
      <c r="I1535" s="25" t="s">
        <v>927</v>
      </c>
    </row>
    <row r="1536">
      <c r="A1536" s="69"/>
      <c r="B1536" s="68"/>
      <c r="C1536" s="68"/>
      <c r="D1536" s="70"/>
      <c r="E1536" s="68"/>
      <c r="F1536" s="68"/>
      <c r="G1536" s="68"/>
      <c r="H1536" s="35" t="str">
        <f t="shared" si="6"/>
        <v/>
      </c>
      <c r="I1536" s="25" t="s">
        <v>927</v>
      </c>
    </row>
    <row r="1537">
      <c r="A1537" s="69"/>
      <c r="B1537" s="68"/>
      <c r="C1537" s="68"/>
      <c r="D1537" s="70"/>
      <c r="E1537" s="68"/>
      <c r="F1537" s="68"/>
      <c r="G1537" s="68"/>
      <c r="H1537" s="35" t="str">
        <f t="shared" si="6"/>
        <v/>
      </c>
      <c r="I1537" s="25" t="s">
        <v>927</v>
      </c>
    </row>
    <row r="1538">
      <c r="A1538" s="69"/>
      <c r="B1538" s="68"/>
      <c r="C1538" s="68"/>
      <c r="D1538" s="70"/>
      <c r="E1538" s="68"/>
      <c r="F1538" s="68"/>
      <c r="G1538" s="68"/>
      <c r="H1538" s="35" t="str">
        <f t="shared" si="6"/>
        <v/>
      </c>
      <c r="I1538" s="25" t="s">
        <v>927</v>
      </c>
    </row>
    <row r="1539">
      <c r="A1539" s="69"/>
      <c r="B1539" s="68"/>
      <c r="C1539" s="68"/>
      <c r="D1539" s="70"/>
      <c r="E1539" s="68"/>
      <c r="F1539" s="68"/>
      <c r="G1539" s="68"/>
      <c r="H1539" s="35" t="str">
        <f t="shared" si="6"/>
        <v/>
      </c>
      <c r="I1539" s="25" t="s">
        <v>927</v>
      </c>
    </row>
    <row r="1540">
      <c r="A1540" s="69"/>
      <c r="B1540" s="68"/>
      <c r="C1540" s="68"/>
      <c r="D1540" s="70"/>
      <c r="E1540" s="68"/>
      <c r="F1540" s="68"/>
      <c r="G1540" s="68"/>
      <c r="H1540" s="35" t="str">
        <f t="shared" si="6"/>
        <v/>
      </c>
      <c r="I1540" s="25" t="s">
        <v>927</v>
      </c>
    </row>
    <row r="1541">
      <c r="A1541" s="69"/>
      <c r="B1541" s="68"/>
      <c r="C1541" s="68"/>
      <c r="D1541" s="70"/>
      <c r="E1541" s="68"/>
      <c r="F1541" s="68"/>
      <c r="G1541" s="68"/>
      <c r="H1541" s="35" t="str">
        <f t="shared" si="6"/>
        <v/>
      </c>
      <c r="I1541" s="25" t="s">
        <v>927</v>
      </c>
    </row>
    <row r="1542">
      <c r="A1542" s="69"/>
      <c r="B1542" s="68"/>
      <c r="C1542" s="68"/>
      <c r="D1542" s="70"/>
      <c r="E1542" s="68"/>
      <c r="F1542" s="68"/>
      <c r="G1542" s="68"/>
      <c r="H1542" s="35" t="str">
        <f t="shared" si="6"/>
        <v/>
      </c>
      <c r="I1542" s="25" t="s">
        <v>927</v>
      </c>
    </row>
    <row r="1543">
      <c r="A1543" s="69"/>
      <c r="B1543" s="68"/>
      <c r="C1543" s="68"/>
      <c r="D1543" s="70"/>
      <c r="E1543" s="68"/>
      <c r="F1543" s="68"/>
      <c r="G1543" s="68"/>
      <c r="H1543" s="35" t="str">
        <f t="shared" si="6"/>
        <v/>
      </c>
      <c r="I1543" s="25" t="s">
        <v>927</v>
      </c>
    </row>
    <row r="1544">
      <c r="A1544" s="69"/>
      <c r="B1544" s="68"/>
      <c r="C1544" s="68"/>
      <c r="D1544" s="70"/>
      <c r="E1544" s="68"/>
      <c r="F1544" s="68"/>
      <c r="G1544" s="68"/>
      <c r="H1544" s="35" t="str">
        <f t="shared" si="6"/>
        <v/>
      </c>
      <c r="I1544" s="25" t="s">
        <v>927</v>
      </c>
    </row>
    <row r="1545">
      <c r="A1545" s="69"/>
      <c r="B1545" s="68"/>
      <c r="C1545" s="68"/>
      <c r="D1545" s="70"/>
      <c r="E1545" s="68"/>
      <c r="F1545" s="68"/>
      <c r="G1545" s="68"/>
      <c r="H1545" s="35" t="str">
        <f t="shared" si="6"/>
        <v/>
      </c>
      <c r="I1545" s="25" t="s">
        <v>927</v>
      </c>
    </row>
    <row r="1546">
      <c r="A1546" s="69"/>
      <c r="B1546" s="68"/>
      <c r="C1546" s="68"/>
      <c r="D1546" s="70"/>
      <c r="E1546" s="68"/>
      <c r="F1546" s="68"/>
      <c r="G1546" s="68"/>
      <c r="H1546" s="35" t="str">
        <f t="shared" si="6"/>
        <v/>
      </c>
      <c r="I1546" s="25" t="s">
        <v>927</v>
      </c>
    </row>
    <row r="1547">
      <c r="A1547" s="69"/>
      <c r="B1547" s="68"/>
      <c r="C1547" s="68"/>
      <c r="D1547" s="70"/>
      <c r="E1547" s="68"/>
      <c r="F1547" s="68"/>
      <c r="G1547" s="68"/>
      <c r="H1547" s="35" t="str">
        <f t="shared" si="6"/>
        <v/>
      </c>
      <c r="I1547" s="25" t="s">
        <v>927</v>
      </c>
    </row>
    <row r="1548">
      <c r="A1548" s="69"/>
      <c r="B1548" s="68"/>
      <c r="C1548" s="68"/>
      <c r="D1548" s="70"/>
      <c r="E1548" s="68"/>
      <c r="F1548" s="68"/>
      <c r="G1548" s="68"/>
      <c r="H1548" s="35" t="str">
        <f t="shared" si="6"/>
        <v/>
      </c>
      <c r="I1548" s="25" t="s">
        <v>927</v>
      </c>
    </row>
    <row r="1549">
      <c r="A1549" s="69"/>
      <c r="B1549" s="68"/>
      <c r="C1549" s="68"/>
      <c r="D1549" s="70"/>
      <c r="E1549" s="68"/>
      <c r="F1549" s="68"/>
      <c r="G1549" s="68"/>
      <c r="H1549" s="35" t="str">
        <f t="shared" si="6"/>
        <v/>
      </c>
      <c r="I1549" s="25" t="s">
        <v>927</v>
      </c>
    </row>
    <row r="1550">
      <c r="A1550" s="69"/>
      <c r="B1550" s="68"/>
      <c r="C1550" s="68"/>
      <c r="D1550" s="70"/>
      <c r="E1550" s="68"/>
      <c r="F1550" s="68"/>
      <c r="G1550" s="68"/>
      <c r="H1550" s="35" t="str">
        <f t="shared" si="6"/>
        <v/>
      </c>
      <c r="I1550" s="25" t="s">
        <v>927</v>
      </c>
    </row>
    <row r="1551">
      <c r="A1551" s="69"/>
      <c r="B1551" s="68"/>
      <c r="C1551" s="68"/>
      <c r="D1551" s="70"/>
      <c r="E1551" s="68"/>
      <c r="F1551" s="68"/>
      <c r="G1551" s="68"/>
      <c r="H1551" s="35" t="str">
        <f t="shared" si="6"/>
        <v/>
      </c>
      <c r="I1551" s="25" t="s">
        <v>927</v>
      </c>
    </row>
    <row r="1552">
      <c r="A1552" s="69"/>
      <c r="B1552" s="68"/>
      <c r="C1552" s="68"/>
      <c r="D1552" s="70"/>
      <c r="E1552" s="68"/>
      <c r="F1552" s="68"/>
      <c r="G1552" s="68"/>
      <c r="H1552" s="35" t="str">
        <f t="shared" si="6"/>
        <v/>
      </c>
      <c r="I1552" s="25" t="s">
        <v>927</v>
      </c>
    </row>
    <row r="1553">
      <c r="A1553" s="69"/>
      <c r="B1553" s="68"/>
      <c r="C1553" s="68"/>
      <c r="D1553" s="70"/>
      <c r="E1553" s="68"/>
      <c r="F1553" s="68"/>
      <c r="G1553" s="68"/>
      <c r="H1553" s="35" t="str">
        <f t="shared" si="6"/>
        <v/>
      </c>
      <c r="I1553" s="25" t="s">
        <v>927</v>
      </c>
    </row>
    <row r="1554">
      <c r="A1554" s="69"/>
      <c r="B1554" s="68"/>
      <c r="C1554" s="68"/>
      <c r="D1554" s="70"/>
      <c r="E1554" s="68"/>
      <c r="F1554" s="68"/>
      <c r="G1554" s="68"/>
      <c r="H1554" s="35" t="str">
        <f t="shared" si="6"/>
        <v/>
      </c>
      <c r="I1554" s="25" t="s">
        <v>927</v>
      </c>
    </row>
    <row r="1555">
      <c r="A1555" s="69"/>
      <c r="B1555" s="68"/>
      <c r="C1555" s="68"/>
      <c r="D1555" s="70"/>
      <c r="E1555" s="68"/>
      <c r="F1555" s="68"/>
      <c r="G1555" s="68"/>
      <c r="H1555" s="35" t="str">
        <f t="shared" si="6"/>
        <v/>
      </c>
      <c r="I1555" s="25" t="s">
        <v>927</v>
      </c>
    </row>
    <row r="1556">
      <c r="A1556" s="69"/>
      <c r="B1556" s="68"/>
      <c r="C1556" s="68"/>
      <c r="D1556" s="70"/>
      <c r="E1556" s="68"/>
      <c r="F1556" s="68"/>
      <c r="G1556" s="68"/>
      <c r="H1556" s="35" t="str">
        <f t="shared" si="6"/>
        <v/>
      </c>
      <c r="I1556" s="25" t="s">
        <v>927</v>
      </c>
    </row>
    <row r="1557">
      <c r="A1557" s="69"/>
      <c r="B1557" s="68"/>
      <c r="C1557" s="68"/>
      <c r="D1557" s="70"/>
      <c r="E1557" s="68"/>
      <c r="F1557" s="68"/>
      <c r="G1557" s="68"/>
      <c r="H1557" s="35" t="str">
        <f t="shared" si="6"/>
        <v/>
      </c>
      <c r="I1557" s="25" t="s">
        <v>927</v>
      </c>
    </row>
    <row r="1558">
      <c r="A1558" s="69"/>
      <c r="B1558" s="68"/>
      <c r="C1558" s="68"/>
      <c r="D1558" s="70"/>
      <c r="E1558" s="68"/>
      <c r="F1558" s="68"/>
      <c r="G1558" s="68"/>
      <c r="H1558" s="35" t="str">
        <f t="shared" si="6"/>
        <v/>
      </c>
      <c r="I1558" s="25" t="s">
        <v>927</v>
      </c>
    </row>
    <row r="1559">
      <c r="A1559" s="69"/>
      <c r="B1559" s="68"/>
      <c r="C1559" s="68"/>
      <c r="D1559" s="70"/>
      <c r="E1559" s="68"/>
      <c r="F1559" s="68"/>
      <c r="G1559" s="68"/>
      <c r="H1559" s="35" t="str">
        <f t="shared" si="6"/>
        <v/>
      </c>
      <c r="I1559" s="25" t="s">
        <v>927</v>
      </c>
    </row>
    <row r="1560">
      <c r="A1560" s="69"/>
      <c r="B1560" s="68"/>
      <c r="C1560" s="68"/>
      <c r="D1560" s="70"/>
      <c r="E1560" s="68"/>
      <c r="F1560" s="68"/>
      <c r="G1560" s="68"/>
      <c r="H1560" s="35" t="str">
        <f t="shared" si="6"/>
        <v/>
      </c>
      <c r="I1560" s="25" t="s">
        <v>927</v>
      </c>
    </row>
    <row r="1561">
      <c r="A1561" s="69"/>
      <c r="B1561" s="68"/>
      <c r="C1561" s="68"/>
      <c r="D1561" s="70"/>
      <c r="E1561" s="68"/>
      <c r="F1561" s="68"/>
      <c r="G1561" s="68"/>
      <c r="H1561" s="35" t="str">
        <f t="shared" si="6"/>
        <v/>
      </c>
      <c r="I1561" s="25" t="s">
        <v>927</v>
      </c>
    </row>
    <row r="1562">
      <c r="A1562" s="69"/>
      <c r="B1562" s="68"/>
      <c r="C1562" s="68"/>
      <c r="D1562" s="70"/>
      <c r="E1562" s="68"/>
      <c r="F1562" s="68"/>
      <c r="G1562" s="68"/>
      <c r="H1562" s="35" t="str">
        <f t="shared" si="6"/>
        <v/>
      </c>
      <c r="I1562" s="25" t="s">
        <v>927</v>
      </c>
    </row>
    <row r="1563">
      <c r="A1563" s="69"/>
      <c r="B1563" s="68"/>
      <c r="C1563" s="68"/>
      <c r="D1563" s="70"/>
      <c r="E1563" s="68"/>
      <c r="F1563" s="68"/>
      <c r="G1563" s="68"/>
      <c r="H1563" s="35" t="str">
        <f t="shared" si="6"/>
        <v/>
      </c>
      <c r="I1563" s="25" t="s">
        <v>927</v>
      </c>
    </row>
    <row r="1564">
      <c r="A1564" s="69"/>
      <c r="B1564" s="68"/>
      <c r="C1564" s="68"/>
      <c r="D1564" s="70"/>
      <c r="E1564" s="68"/>
      <c r="F1564" s="68"/>
      <c r="G1564" s="68"/>
      <c r="H1564" s="35" t="str">
        <f t="shared" si="6"/>
        <v/>
      </c>
      <c r="I1564" s="25" t="s">
        <v>927</v>
      </c>
    </row>
    <row r="1565">
      <c r="A1565" s="69"/>
      <c r="B1565" s="68"/>
      <c r="C1565" s="68"/>
      <c r="D1565" s="70"/>
      <c r="E1565" s="68"/>
      <c r="F1565" s="68"/>
      <c r="G1565" s="68"/>
      <c r="H1565" s="35" t="str">
        <f t="shared" si="6"/>
        <v/>
      </c>
      <c r="I1565" s="25" t="s">
        <v>927</v>
      </c>
    </row>
    <row r="1566">
      <c r="A1566" s="69"/>
      <c r="B1566" s="68"/>
      <c r="C1566" s="68"/>
      <c r="D1566" s="70"/>
      <c r="E1566" s="68"/>
      <c r="F1566" s="68"/>
      <c r="G1566" s="68"/>
      <c r="H1566" s="35" t="str">
        <f t="shared" si="6"/>
        <v/>
      </c>
      <c r="I1566" s="25" t="s">
        <v>927</v>
      </c>
    </row>
    <row r="1567">
      <c r="A1567" s="69"/>
      <c r="B1567" s="68"/>
      <c r="C1567" s="68"/>
      <c r="D1567" s="70"/>
      <c r="E1567" s="68"/>
      <c r="F1567" s="68"/>
      <c r="G1567" s="68"/>
      <c r="H1567" s="35" t="str">
        <f t="shared" si="6"/>
        <v/>
      </c>
      <c r="I1567" s="25" t="s">
        <v>927</v>
      </c>
    </row>
    <row r="1568">
      <c r="A1568" s="69"/>
      <c r="B1568" s="68"/>
      <c r="C1568" s="68"/>
      <c r="D1568" s="70"/>
      <c r="E1568" s="68"/>
      <c r="F1568" s="68"/>
      <c r="G1568" s="68"/>
      <c r="H1568" s="35" t="str">
        <f t="shared" si="6"/>
        <v/>
      </c>
      <c r="I1568" s="25" t="s">
        <v>927</v>
      </c>
    </row>
    <row r="1569">
      <c r="A1569" s="69"/>
      <c r="B1569" s="68"/>
      <c r="C1569" s="68"/>
      <c r="D1569" s="70"/>
      <c r="E1569" s="68"/>
      <c r="F1569" s="68"/>
      <c r="G1569" s="68"/>
      <c r="H1569" s="35" t="str">
        <f t="shared" si="6"/>
        <v/>
      </c>
      <c r="I1569" s="25" t="s">
        <v>927</v>
      </c>
    </row>
    <row r="1570">
      <c r="A1570" s="69"/>
      <c r="B1570" s="68"/>
      <c r="C1570" s="68"/>
      <c r="D1570" s="70"/>
      <c r="E1570" s="68"/>
      <c r="F1570" s="68"/>
      <c r="G1570" s="68"/>
      <c r="H1570" s="35" t="str">
        <f t="shared" si="6"/>
        <v/>
      </c>
      <c r="I1570" s="25" t="s">
        <v>927</v>
      </c>
    </row>
    <row r="1571">
      <c r="A1571" s="69"/>
      <c r="B1571" s="68"/>
      <c r="C1571" s="68"/>
      <c r="D1571" s="70"/>
      <c r="E1571" s="68"/>
      <c r="F1571" s="68"/>
      <c r="G1571" s="68"/>
      <c r="H1571" s="35" t="str">
        <f t="shared" si="6"/>
        <v/>
      </c>
      <c r="I1571" s="25" t="s">
        <v>927</v>
      </c>
    </row>
    <row r="1572">
      <c r="A1572" s="69"/>
      <c r="B1572" s="68"/>
      <c r="C1572" s="68"/>
      <c r="D1572" s="70"/>
      <c r="E1572" s="68"/>
      <c r="F1572" s="68"/>
      <c r="G1572" s="68"/>
      <c r="H1572" s="35" t="str">
        <f t="shared" si="6"/>
        <v/>
      </c>
      <c r="I1572" s="25" t="s">
        <v>927</v>
      </c>
    </row>
    <row r="1573">
      <c r="A1573" s="69"/>
      <c r="B1573" s="68"/>
      <c r="C1573" s="68"/>
      <c r="D1573" s="70"/>
      <c r="E1573" s="68"/>
      <c r="F1573" s="68"/>
      <c r="G1573" s="68"/>
      <c r="H1573" s="35" t="str">
        <f t="shared" si="6"/>
        <v/>
      </c>
      <c r="I1573" s="25" t="s">
        <v>927</v>
      </c>
    </row>
    <row r="1574">
      <c r="A1574" s="69"/>
      <c r="B1574" s="68"/>
      <c r="C1574" s="68"/>
      <c r="D1574" s="70"/>
      <c r="E1574" s="68"/>
      <c r="F1574" s="68"/>
      <c r="G1574" s="68"/>
      <c r="H1574" s="35" t="str">
        <f t="shared" si="6"/>
        <v/>
      </c>
      <c r="I1574" s="25" t="s">
        <v>927</v>
      </c>
    </row>
    <row r="1575">
      <c r="A1575" s="69"/>
      <c r="B1575" s="68"/>
      <c r="C1575" s="68"/>
      <c r="D1575" s="70"/>
      <c r="E1575" s="68"/>
      <c r="F1575" s="68"/>
      <c r="G1575" s="68"/>
      <c r="H1575" s="35" t="str">
        <f t="shared" si="6"/>
        <v/>
      </c>
      <c r="I1575" s="25" t="s">
        <v>927</v>
      </c>
    </row>
    <row r="1576">
      <c r="A1576" s="69"/>
      <c r="B1576" s="68"/>
      <c r="C1576" s="68"/>
      <c r="D1576" s="70"/>
      <c r="E1576" s="68"/>
      <c r="F1576" s="68"/>
      <c r="G1576" s="68"/>
      <c r="H1576" s="35" t="str">
        <f t="shared" si="6"/>
        <v/>
      </c>
      <c r="I1576" s="25" t="s">
        <v>927</v>
      </c>
    </row>
    <row r="1577">
      <c r="A1577" s="69"/>
      <c r="B1577" s="68"/>
      <c r="C1577" s="68"/>
      <c r="D1577" s="70"/>
      <c r="E1577" s="68"/>
      <c r="F1577" s="68"/>
      <c r="G1577" s="68"/>
      <c r="H1577" s="35" t="str">
        <f t="shared" si="6"/>
        <v/>
      </c>
      <c r="I1577" s="25" t="s">
        <v>927</v>
      </c>
    </row>
    <row r="1578">
      <c r="A1578" s="69"/>
      <c r="B1578" s="68"/>
      <c r="C1578" s="68"/>
      <c r="D1578" s="70"/>
      <c r="E1578" s="68"/>
      <c r="F1578" s="68"/>
      <c r="G1578" s="68"/>
      <c r="H1578" s="35" t="str">
        <f t="shared" si="6"/>
        <v/>
      </c>
      <c r="I1578" s="25" t="s">
        <v>927</v>
      </c>
    </row>
    <row r="1579">
      <c r="A1579" s="69"/>
      <c r="B1579" s="68"/>
      <c r="C1579" s="68"/>
      <c r="D1579" s="70"/>
      <c r="E1579" s="68"/>
      <c r="F1579" s="68"/>
      <c r="G1579" s="68"/>
      <c r="H1579" s="35" t="str">
        <f t="shared" si="6"/>
        <v/>
      </c>
      <c r="I1579" s="25" t="s">
        <v>927</v>
      </c>
    </row>
    <row r="1580">
      <c r="A1580" s="69"/>
      <c r="B1580" s="68"/>
      <c r="C1580" s="68"/>
      <c r="D1580" s="70"/>
      <c r="E1580" s="68"/>
      <c r="F1580" s="68"/>
      <c r="G1580" s="68"/>
      <c r="H1580" s="35" t="str">
        <f t="shared" si="6"/>
        <v/>
      </c>
      <c r="I1580" s="25" t="s">
        <v>927</v>
      </c>
    </row>
    <row r="1581">
      <c r="A1581" s="69"/>
      <c r="B1581" s="68"/>
      <c r="C1581" s="68"/>
      <c r="D1581" s="70"/>
      <c r="E1581" s="68"/>
      <c r="F1581" s="68"/>
      <c r="G1581" s="68"/>
      <c r="H1581" s="35" t="str">
        <f t="shared" si="6"/>
        <v/>
      </c>
      <c r="I1581" s="25" t="s">
        <v>927</v>
      </c>
    </row>
    <row r="1582">
      <c r="A1582" s="69"/>
      <c r="B1582" s="68"/>
      <c r="C1582" s="68"/>
      <c r="D1582" s="70"/>
      <c r="E1582" s="68"/>
      <c r="F1582" s="68"/>
      <c r="G1582" s="68"/>
      <c r="H1582" s="35" t="str">
        <f t="shared" si="6"/>
        <v/>
      </c>
      <c r="I1582" s="25" t="s">
        <v>927</v>
      </c>
    </row>
    <row r="1583">
      <c r="A1583" s="69"/>
      <c r="B1583" s="68"/>
      <c r="C1583" s="68"/>
      <c r="D1583" s="70"/>
      <c r="E1583" s="68"/>
      <c r="F1583" s="68"/>
      <c r="G1583" s="68"/>
      <c r="H1583" s="35" t="str">
        <f t="shared" si="6"/>
        <v/>
      </c>
      <c r="I1583" s="25" t="s">
        <v>927</v>
      </c>
    </row>
    <row r="1584">
      <c r="A1584" s="69"/>
      <c r="B1584" s="68"/>
      <c r="C1584" s="68"/>
      <c r="D1584" s="70"/>
      <c r="E1584" s="68"/>
      <c r="F1584" s="68"/>
      <c r="G1584" s="68"/>
      <c r="H1584" s="35" t="str">
        <f t="shared" si="6"/>
        <v/>
      </c>
      <c r="I1584" s="25" t="s">
        <v>927</v>
      </c>
    </row>
    <row r="1585">
      <c r="A1585" s="69"/>
      <c r="B1585" s="68"/>
      <c r="C1585" s="68"/>
      <c r="D1585" s="70"/>
      <c r="E1585" s="68"/>
      <c r="F1585" s="68"/>
      <c r="G1585" s="68"/>
      <c r="H1585" s="35" t="str">
        <f t="shared" si="6"/>
        <v/>
      </c>
      <c r="I1585" s="25" t="s">
        <v>927</v>
      </c>
    </row>
    <row r="1586">
      <c r="A1586" s="69"/>
      <c r="B1586" s="68"/>
      <c r="C1586" s="68"/>
      <c r="D1586" s="70"/>
      <c r="E1586" s="68"/>
      <c r="F1586" s="68"/>
      <c r="G1586" s="68"/>
      <c r="H1586" s="35" t="str">
        <f t="shared" si="6"/>
        <v/>
      </c>
      <c r="I1586" s="25" t="s">
        <v>927</v>
      </c>
    </row>
    <row r="1587">
      <c r="A1587" s="69"/>
      <c r="B1587" s="68"/>
      <c r="C1587" s="68"/>
      <c r="D1587" s="70"/>
      <c r="E1587" s="68"/>
      <c r="F1587" s="68"/>
      <c r="G1587" s="68"/>
      <c r="H1587" s="35" t="str">
        <f t="shared" si="6"/>
        <v/>
      </c>
      <c r="I1587" s="25" t="s">
        <v>927</v>
      </c>
    </row>
    <row r="1588">
      <c r="A1588" s="69"/>
      <c r="B1588" s="68"/>
      <c r="C1588" s="68"/>
      <c r="D1588" s="70"/>
      <c r="E1588" s="68"/>
      <c r="F1588" s="68"/>
      <c r="G1588" s="68"/>
      <c r="H1588" s="35" t="str">
        <f t="shared" si="6"/>
        <v/>
      </c>
      <c r="I1588" s="25" t="s">
        <v>927</v>
      </c>
    </row>
    <row r="1589">
      <c r="A1589" s="69"/>
      <c r="B1589" s="68"/>
      <c r="C1589" s="68"/>
      <c r="D1589" s="70"/>
      <c r="E1589" s="68"/>
      <c r="F1589" s="68"/>
      <c r="G1589" s="68"/>
      <c r="H1589" s="35" t="str">
        <f t="shared" si="6"/>
        <v/>
      </c>
      <c r="I1589" s="25" t="s">
        <v>927</v>
      </c>
    </row>
    <row r="1590">
      <c r="A1590" s="69"/>
      <c r="B1590" s="68"/>
      <c r="C1590" s="68"/>
      <c r="D1590" s="70"/>
      <c r="E1590" s="68"/>
      <c r="F1590" s="68"/>
      <c r="G1590" s="68"/>
      <c r="H1590" s="35" t="str">
        <f t="shared" si="6"/>
        <v/>
      </c>
      <c r="I1590" s="25" t="s">
        <v>927</v>
      </c>
    </row>
    <row r="1591">
      <c r="A1591" s="69"/>
      <c r="B1591" s="68"/>
      <c r="C1591" s="68"/>
      <c r="D1591" s="70"/>
      <c r="E1591" s="68"/>
      <c r="F1591" s="68"/>
      <c r="G1591" s="68"/>
      <c r="H1591" s="35" t="str">
        <f t="shared" si="6"/>
        <v/>
      </c>
      <c r="I1591" s="25" t="s">
        <v>927</v>
      </c>
    </row>
    <row r="1592">
      <c r="A1592" s="69"/>
      <c r="B1592" s="68"/>
      <c r="C1592" s="68"/>
      <c r="D1592" s="70"/>
      <c r="E1592" s="68"/>
      <c r="F1592" s="68"/>
      <c r="G1592" s="68"/>
      <c r="H1592" s="35" t="str">
        <f t="shared" si="6"/>
        <v/>
      </c>
      <c r="I1592" s="25" t="s">
        <v>927</v>
      </c>
    </row>
    <row r="1593">
      <c r="A1593" s="69"/>
      <c r="B1593" s="68"/>
      <c r="C1593" s="68"/>
      <c r="D1593" s="70"/>
      <c r="E1593" s="68"/>
      <c r="F1593" s="68"/>
      <c r="G1593" s="68"/>
      <c r="H1593" s="35" t="str">
        <f t="shared" si="6"/>
        <v/>
      </c>
      <c r="I1593" s="25" t="s">
        <v>927</v>
      </c>
    </row>
    <row r="1594">
      <c r="A1594" s="69"/>
      <c r="B1594" s="68"/>
      <c r="C1594" s="68"/>
      <c r="D1594" s="70"/>
      <c r="E1594" s="68"/>
      <c r="F1594" s="68"/>
      <c r="G1594" s="68"/>
      <c r="H1594" s="35" t="str">
        <f t="shared" si="6"/>
        <v/>
      </c>
      <c r="I1594" s="25" t="s">
        <v>927</v>
      </c>
    </row>
    <row r="1595">
      <c r="A1595" s="69"/>
      <c r="B1595" s="68"/>
      <c r="C1595" s="68"/>
      <c r="D1595" s="70"/>
      <c r="E1595" s="68"/>
      <c r="F1595" s="68"/>
      <c r="G1595" s="68"/>
      <c r="H1595" s="35" t="str">
        <f t="shared" si="6"/>
        <v/>
      </c>
      <c r="I1595" s="25" t="s">
        <v>927</v>
      </c>
    </row>
    <row r="1596">
      <c r="A1596" s="69"/>
      <c r="B1596" s="68"/>
      <c r="C1596" s="68"/>
      <c r="D1596" s="70"/>
      <c r="E1596" s="68"/>
      <c r="F1596" s="68"/>
      <c r="G1596" s="68"/>
      <c r="H1596" s="35" t="str">
        <f t="shared" si="6"/>
        <v/>
      </c>
      <c r="I1596" s="25" t="s">
        <v>927</v>
      </c>
    </row>
    <row r="1597">
      <c r="A1597" s="69"/>
      <c r="B1597" s="68"/>
      <c r="C1597" s="68"/>
      <c r="D1597" s="70"/>
      <c r="E1597" s="68"/>
      <c r="F1597" s="68"/>
      <c r="G1597" s="68"/>
      <c r="H1597" s="35" t="str">
        <f t="shared" si="6"/>
        <v/>
      </c>
      <c r="I1597" s="25" t="s">
        <v>927</v>
      </c>
    </row>
    <row r="1598">
      <c r="A1598" s="69"/>
      <c r="B1598" s="68"/>
      <c r="C1598" s="68"/>
      <c r="D1598" s="70"/>
      <c r="E1598" s="68"/>
      <c r="F1598" s="68"/>
      <c r="G1598" s="68"/>
      <c r="H1598" s="35" t="str">
        <f t="shared" si="6"/>
        <v/>
      </c>
      <c r="I1598" s="25" t="s">
        <v>927</v>
      </c>
    </row>
    <row r="1599">
      <c r="A1599" s="69"/>
      <c r="B1599" s="68"/>
      <c r="C1599" s="68"/>
      <c r="D1599" s="70"/>
      <c r="E1599" s="68"/>
      <c r="F1599" s="68"/>
      <c r="G1599" s="68"/>
      <c r="H1599" s="35" t="str">
        <f t="shared" si="6"/>
        <v/>
      </c>
      <c r="I1599" s="25" t="s">
        <v>927</v>
      </c>
    </row>
    <row r="1600">
      <c r="A1600" s="69"/>
      <c r="B1600" s="68"/>
      <c r="C1600" s="68"/>
      <c r="D1600" s="70"/>
      <c r="E1600" s="68"/>
      <c r="F1600" s="68"/>
      <c r="G1600" s="68"/>
      <c r="H1600" s="35" t="str">
        <f t="shared" si="6"/>
        <v/>
      </c>
      <c r="I1600" s="25" t="s">
        <v>927</v>
      </c>
    </row>
    <row r="1601">
      <c r="A1601" s="69"/>
      <c r="B1601" s="68"/>
      <c r="C1601" s="68"/>
      <c r="D1601" s="70"/>
      <c r="E1601" s="68"/>
      <c r="F1601" s="68"/>
      <c r="G1601" s="68"/>
      <c r="H1601" s="35" t="str">
        <f t="shared" si="6"/>
        <v/>
      </c>
      <c r="I1601" s="25" t="s">
        <v>927</v>
      </c>
    </row>
    <row r="1602">
      <c r="A1602" s="69"/>
      <c r="B1602" s="68"/>
      <c r="C1602" s="68"/>
      <c r="D1602" s="70"/>
      <c r="E1602" s="68"/>
      <c r="F1602" s="68"/>
      <c r="G1602" s="68"/>
      <c r="H1602" s="35" t="str">
        <f t="shared" si="6"/>
        <v/>
      </c>
      <c r="I1602" s="25" t="s">
        <v>927</v>
      </c>
    </row>
    <row r="1603">
      <c r="A1603" s="69"/>
      <c r="B1603" s="68"/>
      <c r="C1603" s="68"/>
      <c r="D1603" s="70"/>
      <c r="E1603" s="68"/>
      <c r="F1603" s="68"/>
      <c r="G1603" s="68"/>
      <c r="H1603" s="35" t="str">
        <f t="shared" si="6"/>
        <v/>
      </c>
      <c r="I1603" s="25" t="s">
        <v>927</v>
      </c>
    </row>
    <row r="1604">
      <c r="A1604" s="69"/>
      <c r="B1604" s="68"/>
      <c r="C1604" s="68"/>
      <c r="D1604" s="70"/>
      <c r="E1604" s="68"/>
      <c r="F1604" s="68"/>
      <c r="G1604" s="68"/>
      <c r="H1604" s="35" t="str">
        <f t="shared" si="6"/>
        <v/>
      </c>
      <c r="I1604" s="25" t="s">
        <v>927</v>
      </c>
    </row>
    <row r="1605">
      <c r="A1605" s="69"/>
      <c r="B1605" s="68"/>
      <c r="C1605" s="68"/>
      <c r="D1605" s="70"/>
      <c r="E1605" s="68"/>
      <c r="F1605" s="68"/>
      <c r="G1605" s="68"/>
      <c r="H1605" s="35" t="str">
        <f t="shared" si="6"/>
        <v/>
      </c>
      <c r="I1605" s="25" t="s">
        <v>927</v>
      </c>
    </row>
    <row r="1606">
      <c r="A1606" s="69"/>
      <c r="B1606" s="68"/>
      <c r="C1606" s="68"/>
      <c r="D1606" s="70"/>
      <c r="E1606" s="68"/>
      <c r="F1606" s="68"/>
      <c r="G1606" s="68"/>
      <c r="H1606" s="35" t="str">
        <f t="shared" si="6"/>
        <v/>
      </c>
      <c r="I1606" s="25" t="s">
        <v>927</v>
      </c>
    </row>
    <row r="1607">
      <c r="A1607" s="69"/>
      <c r="B1607" s="68"/>
      <c r="C1607" s="68"/>
      <c r="D1607" s="70"/>
      <c r="E1607" s="68"/>
      <c r="F1607" s="68"/>
      <c r="G1607" s="68"/>
      <c r="H1607" s="35" t="str">
        <f t="shared" si="6"/>
        <v/>
      </c>
      <c r="I1607" s="25" t="s">
        <v>927</v>
      </c>
    </row>
    <row r="1608">
      <c r="A1608" s="69"/>
      <c r="B1608" s="68"/>
      <c r="C1608" s="68"/>
      <c r="D1608" s="70"/>
      <c r="E1608" s="68"/>
      <c r="F1608" s="68"/>
      <c r="G1608" s="68"/>
      <c r="H1608" s="35" t="str">
        <f t="shared" si="6"/>
        <v/>
      </c>
      <c r="I1608" s="25" t="s">
        <v>927</v>
      </c>
    </row>
    <row r="1609">
      <c r="A1609" s="69"/>
      <c r="B1609" s="68"/>
      <c r="C1609" s="68"/>
      <c r="D1609" s="70"/>
      <c r="E1609" s="68"/>
      <c r="F1609" s="68"/>
      <c r="G1609" s="68"/>
      <c r="H1609" s="35" t="str">
        <f t="shared" si="6"/>
        <v/>
      </c>
      <c r="I1609" s="25" t="s">
        <v>927</v>
      </c>
    </row>
    <row r="1610">
      <c r="A1610" s="69"/>
      <c r="B1610" s="68"/>
      <c r="C1610" s="68"/>
      <c r="D1610" s="70"/>
      <c r="E1610" s="68"/>
      <c r="F1610" s="68"/>
      <c r="G1610" s="68"/>
      <c r="H1610" s="35" t="str">
        <f t="shared" si="6"/>
        <v/>
      </c>
      <c r="I1610" s="25" t="s">
        <v>927</v>
      </c>
    </row>
    <row r="1611">
      <c r="A1611" s="69"/>
      <c r="B1611" s="68"/>
      <c r="C1611" s="68"/>
      <c r="D1611" s="70"/>
      <c r="E1611" s="68"/>
      <c r="F1611" s="68"/>
      <c r="G1611" s="68"/>
      <c r="H1611" s="35" t="str">
        <f t="shared" si="6"/>
        <v/>
      </c>
      <c r="I1611" s="25" t="s">
        <v>927</v>
      </c>
    </row>
    <row r="1612">
      <c r="A1612" s="69"/>
      <c r="B1612" s="68"/>
      <c r="C1612" s="68"/>
      <c r="D1612" s="70"/>
      <c r="E1612" s="68"/>
      <c r="F1612" s="68"/>
      <c r="G1612" s="68"/>
      <c r="H1612" s="35" t="str">
        <f t="shared" si="6"/>
        <v/>
      </c>
      <c r="I1612" s="25" t="s">
        <v>927</v>
      </c>
    </row>
    <row r="1613">
      <c r="A1613" s="69"/>
      <c r="B1613" s="68"/>
      <c r="C1613" s="68"/>
      <c r="D1613" s="70"/>
      <c r="E1613" s="68"/>
      <c r="F1613" s="68"/>
      <c r="G1613" s="68"/>
      <c r="H1613" s="35" t="str">
        <f t="shared" si="6"/>
        <v/>
      </c>
      <c r="I1613" s="25" t="s">
        <v>927</v>
      </c>
    </row>
    <row r="1614">
      <c r="A1614" s="69"/>
      <c r="B1614" s="68"/>
      <c r="C1614" s="68"/>
      <c r="D1614" s="70"/>
      <c r="E1614" s="68"/>
      <c r="F1614" s="68"/>
      <c r="G1614" s="68"/>
      <c r="H1614" s="35" t="str">
        <f t="shared" si="6"/>
        <v/>
      </c>
      <c r="I1614" s="25" t="s">
        <v>927</v>
      </c>
    </row>
    <row r="1615">
      <c r="A1615" s="69"/>
      <c r="B1615" s="68"/>
      <c r="C1615" s="68"/>
      <c r="D1615" s="70"/>
      <c r="E1615" s="68"/>
      <c r="F1615" s="68"/>
      <c r="G1615" s="68"/>
      <c r="H1615" s="35" t="str">
        <f t="shared" si="6"/>
        <v/>
      </c>
      <c r="I1615" s="25" t="s">
        <v>927</v>
      </c>
    </row>
    <row r="1616">
      <c r="A1616" s="69"/>
      <c r="B1616" s="68"/>
      <c r="C1616" s="68"/>
      <c r="D1616" s="70"/>
      <c r="E1616" s="68"/>
      <c r="F1616" s="68"/>
      <c r="G1616" s="68"/>
      <c r="H1616" s="35" t="str">
        <f t="shared" si="6"/>
        <v/>
      </c>
      <c r="I1616" s="25" t="s">
        <v>927</v>
      </c>
    </row>
    <row r="1617">
      <c r="A1617" s="69"/>
      <c r="B1617" s="68"/>
      <c r="C1617" s="68"/>
      <c r="D1617" s="70"/>
      <c r="E1617" s="68"/>
      <c r="F1617" s="68"/>
      <c r="G1617" s="68"/>
      <c r="H1617" s="35" t="str">
        <f t="shared" si="6"/>
        <v/>
      </c>
      <c r="I1617" s="25" t="s">
        <v>927</v>
      </c>
    </row>
    <row r="1618">
      <c r="A1618" s="69"/>
      <c r="B1618" s="68"/>
      <c r="C1618" s="68"/>
      <c r="D1618" s="70"/>
      <c r="E1618" s="68"/>
      <c r="F1618" s="68"/>
      <c r="G1618" s="68"/>
      <c r="H1618" s="35" t="str">
        <f t="shared" si="6"/>
        <v/>
      </c>
      <c r="I1618" s="25" t="s">
        <v>927</v>
      </c>
    </row>
    <row r="1619">
      <c r="A1619" s="69"/>
      <c r="B1619" s="68"/>
      <c r="C1619" s="68"/>
      <c r="D1619" s="70"/>
      <c r="E1619" s="68"/>
      <c r="F1619" s="68"/>
      <c r="G1619" s="68"/>
      <c r="H1619" s="35" t="str">
        <f t="shared" si="6"/>
        <v/>
      </c>
      <c r="I1619" s="25" t="s">
        <v>927</v>
      </c>
    </row>
    <row r="1620">
      <c r="A1620" s="69"/>
      <c r="B1620" s="68"/>
      <c r="C1620" s="68"/>
      <c r="D1620" s="70"/>
      <c r="E1620" s="68"/>
      <c r="F1620" s="68"/>
      <c r="G1620" s="68"/>
      <c r="H1620" s="35" t="str">
        <f t="shared" si="6"/>
        <v/>
      </c>
      <c r="I1620" s="25" t="s">
        <v>927</v>
      </c>
    </row>
    <row r="1621">
      <c r="A1621" s="69"/>
      <c r="B1621" s="68"/>
      <c r="C1621" s="68"/>
      <c r="D1621" s="70"/>
      <c r="E1621" s="68"/>
      <c r="F1621" s="68"/>
      <c r="G1621" s="68"/>
      <c r="H1621" s="35" t="str">
        <f t="shared" si="6"/>
        <v/>
      </c>
      <c r="I1621" s="25" t="s">
        <v>927</v>
      </c>
    </row>
    <row r="1622">
      <c r="A1622" s="69"/>
      <c r="B1622" s="68"/>
      <c r="C1622" s="68"/>
      <c r="D1622" s="70"/>
      <c r="E1622" s="68"/>
      <c r="F1622" s="68"/>
      <c r="G1622" s="68"/>
      <c r="H1622" s="35" t="str">
        <f t="shared" si="6"/>
        <v/>
      </c>
      <c r="I1622" s="25" t="s">
        <v>927</v>
      </c>
    </row>
    <row r="1623">
      <c r="A1623" s="69"/>
      <c r="B1623" s="68"/>
      <c r="C1623" s="68"/>
      <c r="D1623" s="70"/>
      <c r="E1623" s="68"/>
      <c r="F1623" s="68"/>
      <c r="G1623" s="68"/>
      <c r="H1623" s="35" t="str">
        <f t="shared" si="6"/>
        <v/>
      </c>
      <c r="I1623" s="25" t="s">
        <v>927</v>
      </c>
    </row>
    <row r="1624">
      <c r="A1624" s="69"/>
      <c r="B1624" s="68"/>
      <c r="C1624" s="68"/>
      <c r="D1624" s="70"/>
      <c r="E1624" s="68"/>
      <c r="F1624" s="68"/>
      <c r="G1624" s="68"/>
      <c r="H1624" s="35" t="str">
        <f t="shared" si="6"/>
        <v/>
      </c>
      <c r="I1624" s="25" t="s">
        <v>927</v>
      </c>
    </row>
    <row r="1625">
      <c r="A1625" s="69"/>
      <c r="B1625" s="68"/>
      <c r="C1625" s="68"/>
      <c r="D1625" s="70"/>
      <c r="E1625" s="68"/>
      <c r="F1625" s="68"/>
      <c r="G1625" s="68"/>
      <c r="H1625" s="35" t="str">
        <f t="shared" si="6"/>
        <v/>
      </c>
      <c r="I1625" s="25" t="s">
        <v>927</v>
      </c>
    </row>
    <row r="1626">
      <c r="A1626" s="69"/>
      <c r="B1626" s="68"/>
      <c r="C1626" s="68"/>
      <c r="D1626" s="70"/>
      <c r="E1626" s="68"/>
      <c r="F1626" s="68"/>
      <c r="G1626" s="68"/>
      <c r="H1626" s="35" t="str">
        <f t="shared" si="6"/>
        <v/>
      </c>
      <c r="I1626" s="25" t="s">
        <v>927</v>
      </c>
    </row>
    <row r="1627">
      <c r="A1627" s="69"/>
      <c r="B1627" s="68"/>
      <c r="C1627" s="68"/>
      <c r="D1627" s="70"/>
      <c r="E1627" s="68"/>
      <c r="F1627" s="68"/>
      <c r="G1627" s="68"/>
      <c r="H1627" s="35" t="str">
        <f t="shared" si="6"/>
        <v/>
      </c>
      <c r="I1627" s="25" t="s">
        <v>927</v>
      </c>
    </row>
    <row r="1628">
      <c r="A1628" s="69"/>
      <c r="B1628" s="68"/>
      <c r="C1628" s="68"/>
      <c r="D1628" s="70"/>
      <c r="E1628" s="68"/>
      <c r="F1628" s="68"/>
      <c r="G1628" s="68"/>
      <c r="H1628" s="35" t="str">
        <f t="shared" si="6"/>
        <v/>
      </c>
      <c r="I1628" s="25" t="s">
        <v>927</v>
      </c>
    </row>
    <row r="1629">
      <c r="A1629" s="69"/>
      <c r="B1629" s="68"/>
      <c r="C1629" s="68"/>
      <c r="D1629" s="70"/>
      <c r="E1629" s="68"/>
      <c r="F1629" s="68"/>
      <c r="G1629" s="68"/>
      <c r="H1629" s="35" t="str">
        <f t="shared" si="6"/>
        <v/>
      </c>
      <c r="I1629" s="25" t="s">
        <v>927</v>
      </c>
    </row>
    <row r="1630">
      <c r="A1630" s="69"/>
      <c r="B1630" s="68"/>
      <c r="C1630" s="68"/>
      <c r="D1630" s="70"/>
      <c r="E1630" s="68"/>
      <c r="F1630" s="68"/>
      <c r="G1630" s="68"/>
      <c r="H1630" s="35" t="str">
        <f t="shared" si="6"/>
        <v/>
      </c>
      <c r="I1630" s="25" t="s">
        <v>927</v>
      </c>
    </row>
    <row r="1631">
      <c r="A1631" s="69"/>
      <c r="B1631" s="68"/>
      <c r="C1631" s="68"/>
      <c r="D1631" s="70"/>
      <c r="E1631" s="68"/>
      <c r="F1631" s="68"/>
      <c r="G1631" s="68"/>
      <c r="H1631" s="35" t="str">
        <f t="shared" si="6"/>
        <v/>
      </c>
      <c r="I1631" s="25" t="s">
        <v>927</v>
      </c>
    </row>
    <row r="1632">
      <c r="A1632" s="69"/>
      <c r="B1632" s="68"/>
      <c r="C1632" s="68"/>
      <c r="D1632" s="70"/>
      <c r="E1632" s="68"/>
      <c r="F1632" s="68"/>
      <c r="G1632" s="68"/>
      <c r="H1632" s="35" t="str">
        <f t="shared" si="6"/>
        <v/>
      </c>
      <c r="I1632" s="25" t="s">
        <v>927</v>
      </c>
    </row>
    <row r="1633">
      <c r="A1633" s="69"/>
      <c r="B1633" s="68"/>
      <c r="C1633" s="68"/>
      <c r="D1633" s="70"/>
      <c r="E1633" s="68"/>
      <c r="F1633" s="68"/>
      <c r="G1633" s="68"/>
      <c r="H1633" s="35" t="str">
        <f t="shared" si="6"/>
        <v/>
      </c>
      <c r="I1633" s="25" t="s">
        <v>927</v>
      </c>
    </row>
    <row r="1634">
      <c r="A1634" s="69"/>
      <c r="B1634" s="68"/>
      <c r="C1634" s="68"/>
      <c r="D1634" s="70"/>
      <c r="E1634" s="68"/>
      <c r="F1634" s="68"/>
      <c r="G1634" s="68"/>
      <c r="H1634" s="35" t="str">
        <f t="shared" si="6"/>
        <v/>
      </c>
      <c r="I1634" s="25" t="s">
        <v>927</v>
      </c>
    </row>
    <row r="1635">
      <c r="A1635" s="69"/>
      <c r="B1635" s="68"/>
      <c r="C1635" s="68"/>
      <c r="D1635" s="70"/>
      <c r="E1635" s="68"/>
      <c r="F1635" s="68"/>
      <c r="G1635" s="68"/>
      <c r="H1635" s="35" t="str">
        <f t="shared" si="6"/>
        <v/>
      </c>
      <c r="I1635" s="25" t="s">
        <v>927</v>
      </c>
    </row>
    <row r="1636">
      <c r="A1636" s="69"/>
      <c r="B1636" s="68"/>
      <c r="C1636" s="68"/>
      <c r="D1636" s="70"/>
      <c r="E1636" s="68"/>
      <c r="F1636" s="68"/>
      <c r="G1636" s="68"/>
      <c r="H1636" s="35" t="str">
        <f t="shared" si="6"/>
        <v/>
      </c>
      <c r="I1636" s="25" t="s">
        <v>927</v>
      </c>
    </row>
    <row r="1637">
      <c r="A1637" s="69"/>
      <c r="B1637" s="68"/>
      <c r="C1637" s="68"/>
      <c r="D1637" s="70"/>
      <c r="E1637" s="68"/>
      <c r="F1637" s="68"/>
      <c r="G1637" s="68"/>
      <c r="H1637" s="35" t="str">
        <f t="shared" si="6"/>
        <v/>
      </c>
      <c r="I1637" s="25" t="s">
        <v>927</v>
      </c>
    </row>
    <row r="1638">
      <c r="A1638" s="69"/>
      <c r="B1638" s="68"/>
      <c r="C1638" s="68"/>
      <c r="D1638" s="70"/>
      <c r="E1638" s="68"/>
      <c r="F1638" s="68"/>
      <c r="G1638" s="68"/>
      <c r="H1638" s="35" t="str">
        <f t="shared" si="6"/>
        <v/>
      </c>
      <c r="I1638" s="25" t="s">
        <v>927</v>
      </c>
    </row>
    <row r="1639">
      <c r="A1639" s="69"/>
      <c r="B1639" s="68"/>
      <c r="C1639" s="68"/>
      <c r="D1639" s="70"/>
      <c r="E1639" s="68"/>
      <c r="F1639" s="68"/>
      <c r="G1639" s="68"/>
      <c r="H1639" s="35" t="str">
        <f t="shared" si="6"/>
        <v/>
      </c>
      <c r="I1639" s="25" t="s">
        <v>927</v>
      </c>
    </row>
    <row r="1640">
      <c r="A1640" s="69"/>
      <c r="B1640" s="68"/>
      <c r="C1640" s="68"/>
      <c r="D1640" s="70"/>
      <c r="E1640" s="68"/>
      <c r="F1640" s="68"/>
      <c r="G1640" s="68"/>
      <c r="H1640" s="35" t="str">
        <f t="shared" si="6"/>
        <v/>
      </c>
      <c r="I1640" s="25" t="s">
        <v>927</v>
      </c>
    </row>
    <row r="1641">
      <c r="A1641" s="69"/>
      <c r="B1641" s="68"/>
      <c r="C1641" s="68"/>
      <c r="D1641" s="70"/>
      <c r="E1641" s="68"/>
      <c r="F1641" s="68"/>
      <c r="G1641" s="68"/>
      <c r="H1641" s="35" t="str">
        <f t="shared" si="6"/>
        <v/>
      </c>
      <c r="I1641" s="25" t="s">
        <v>927</v>
      </c>
    </row>
    <row r="1642">
      <c r="A1642" s="69"/>
      <c r="B1642" s="68"/>
      <c r="C1642" s="68"/>
      <c r="D1642" s="70"/>
      <c r="E1642" s="68"/>
      <c r="F1642" s="68"/>
      <c r="G1642" s="68"/>
      <c r="H1642" s="35" t="str">
        <f t="shared" si="6"/>
        <v/>
      </c>
      <c r="I1642" s="25" t="s">
        <v>927</v>
      </c>
    </row>
    <row r="1643">
      <c r="A1643" s="69"/>
      <c r="B1643" s="68"/>
      <c r="C1643" s="68"/>
      <c r="D1643" s="70"/>
      <c r="E1643" s="68"/>
      <c r="F1643" s="68"/>
      <c r="G1643" s="68"/>
      <c r="H1643" s="35" t="str">
        <f t="shared" si="6"/>
        <v/>
      </c>
      <c r="I1643" s="25" t="s">
        <v>927</v>
      </c>
    </row>
    <row r="1644">
      <c r="A1644" s="69"/>
      <c r="B1644" s="68"/>
      <c r="C1644" s="68"/>
      <c r="D1644" s="70"/>
      <c r="E1644" s="68"/>
      <c r="F1644" s="68"/>
      <c r="G1644" s="68"/>
      <c r="H1644" s="35" t="str">
        <f t="shared" si="6"/>
        <v/>
      </c>
      <c r="I1644" s="25" t="s">
        <v>927</v>
      </c>
    </row>
    <row r="1645">
      <c r="A1645" s="69"/>
      <c r="B1645" s="68"/>
      <c r="C1645" s="68"/>
      <c r="D1645" s="70"/>
      <c r="E1645" s="68"/>
      <c r="F1645" s="68"/>
      <c r="G1645" s="68"/>
      <c r="H1645" s="35" t="str">
        <f t="shared" si="6"/>
        <v/>
      </c>
      <c r="I1645" s="25" t="s">
        <v>927</v>
      </c>
    </row>
    <row r="1646">
      <c r="A1646" s="69"/>
      <c r="B1646" s="68"/>
      <c r="C1646" s="68"/>
      <c r="D1646" s="70"/>
      <c r="E1646" s="68"/>
      <c r="F1646" s="68"/>
      <c r="G1646" s="68"/>
      <c r="H1646" s="35" t="str">
        <f t="shared" si="6"/>
        <v/>
      </c>
      <c r="I1646" s="25" t="s">
        <v>927</v>
      </c>
    </row>
    <row r="1647">
      <c r="A1647" s="69"/>
      <c r="B1647" s="68"/>
      <c r="C1647" s="68"/>
      <c r="D1647" s="70"/>
      <c r="E1647" s="68"/>
      <c r="F1647" s="68"/>
      <c r="G1647" s="68"/>
      <c r="H1647" s="35" t="str">
        <f t="shared" si="6"/>
        <v/>
      </c>
      <c r="I1647" s="25" t="s">
        <v>927</v>
      </c>
    </row>
    <row r="1648">
      <c r="A1648" s="69"/>
      <c r="B1648" s="68"/>
      <c r="C1648" s="68"/>
      <c r="D1648" s="70"/>
      <c r="E1648" s="68"/>
      <c r="F1648" s="68"/>
      <c r="G1648" s="68"/>
      <c r="H1648" s="35" t="str">
        <f t="shared" si="6"/>
        <v/>
      </c>
      <c r="I1648" s="25" t="s">
        <v>927</v>
      </c>
    </row>
    <row r="1649">
      <c r="A1649" s="69"/>
      <c r="B1649" s="68"/>
      <c r="C1649" s="68"/>
      <c r="D1649" s="70"/>
      <c r="E1649" s="68"/>
      <c r="F1649" s="68"/>
      <c r="G1649" s="68"/>
      <c r="H1649" s="35" t="str">
        <f t="shared" si="6"/>
        <v/>
      </c>
      <c r="I1649" s="25" t="s">
        <v>927</v>
      </c>
    </row>
    <row r="1650">
      <c r="A1650" s="69"/>
      <c r="B1650" s="68"/>
      <c r="C1650" s="68"/>
      <c r="D1650" s="70"/>
      <c r="E1650" s="68"/>
      <c r="F1650" s="68"/>
      <c r="G1650" s="68"/>
      <c r="H1650" s="35" t="str">
        <f t="shared" si="6"/>
        <v/>
      </c>
      <c r="I1650" s="25" t="s">
        <v>927</v>
      </c>
    </row>
    <row r="1651">
      <c r="A1651" s="69"/>
      <c r="B1651" s="68"/>
      <c r="C1651" s="68"/>
      <c r="D1651" s="70"/>
      <c r="E1651" s="68"/>
      <c r="F1651" s="68"/>
      <c r="G1651" s="68"/>
      <c r="H1651" s="35" t="str">
        <f t="shared" si="6"/>
        <v/>
      </c>
      <c r="I1651" s="25" t="s">
        <v>927</v>
      </c>
    </row>
    <row r="1652">
      <c r="A1652" s="69"/>
      <c r="B1652" s="68"/>
      <c r="C1652" s="68"/>
      <c r="D1652" s="70"/>
      <c r="E1652" s="68"/>
      <c r="F1652" s="68"/>
      <c r="G1652" s="68"/>
      <c r="H1652" s="35" t="str">
        <f t="shared" si="6"/>
        <v/>
      </c>
      <c r="I1652" s="25" t="s">
        <v>927</v>
      </c>
    </row>
    <row r="1653">
      <c r="A1653" s="69"/>
      <c r="B1653" s="68"/>
      <c r="C1653" s="68"/>
      <c r="D1653" s="70"/>
      <c r="E1653" s="68"/>
      <c r="F1653" s="68"/>
      <c r="G1653" s="68"/>
      <c r="H1653" s="35" t="str">
        <f t="shared" si="6"/>
        <v/>
      </c>
      <c r="I1653" s="25" t="s">
        <v>927</v>
      </c>
    </row>
    <row r="1654">
      <c r="A1654" s="69"/>
      <c r="B1654" s="68"/>
      <c r="C1654" s="68"/>
      <c r="D1654" s="70"/>
      <c r="E1654" s="68"/>
      <c r="F1654" s="68"/>
      <c r="G1654" s="68"/>
      <c r="H1654" s="35" t="str">
        <f t="shared" si="6"/>
        <v/>
      </c>
      <c r="I1654" s="25" t="s">
        <v>927</v>
      </c>
    </row>
    <row r="1655">
      <c r="A1655" s="69"/>
      <c r="B1655" s="68"/>
      <c r="C1655" s="68"/>
      <c r="D1655" s="70"/>
      <c r="E1655" s="68"/>
      <c r="F1655" s="68"/>
      <c r="G1655" s="68"/>
      <c r="H1655" s="35" t="str">
        <f t="shared" si="6"/>
        <v/>
      </c>
      <c r="I1655" s="25" t="s">
        <v>927</v>
      </c>
    </row>
    <row r="1656">
      <c r="A1656" s="69"/>
      <c r="B1656" s="68"/>
      <c r="C1656" s="68"/>
      <c r="D1656" s="70"/>
      <c r="E1656" s="68"/>
      <c r="F1656" s="68"/>
      <c r="G1656" s="68"/>
      <c r="H1656" s="35" t="str">
        <f t="shared" si="6"/>
        <v/>
      </c>
      <c r="I1656" s="25" t="s">
        <v>927</v>
      </c>
    </row>
    <row r="1657">
      <c r="A1657" s="69"/>
      <c r="B1657" s="68"/>
      <c r="C1657" s="68"/>
      <c r="D1657" s="70"/>
      <c r="E1657" s="68"/>
      <c r="F1657" s="68"/>
      <c r="G1657" s="68"/>
      <c r="H1657" s="35" t="str">
        <f t="shared" si="6"/>
        <v/>
      </c>
      <c r="I1657" s="25" t="s">
        <v>927</v>
      </c>
    </row>
    <row r="1658">
      <c r="A1658" s="69"/>
      <c r="B1658" s="68"/>
      <c r="C1658" s="68"/>
      <c r="D1658" s="70"/>
      <c r="E1658" s="68"/>
      <c r="F1658" s="68"/>
      <c r="G1658" s="68"/>
      <c r="H1658" s="35" t="str">
        <f t="shared" si="6"/>
        <v/>
      </c>
      <c r="I1658" s="25" t="s">
        <v>927</v>
      </c>
    </row>
    <row r="1659">
      <c r="A1659" s="69"/>
      <c r="B1659" s="68"/>
      <c r="C1659" s="68"/>
      <c r="D1659" s="70"/>
      <c r="E1659" s="68"/>
      <c r="F1659" s="68"/>
      <c r="G1659" s="68"/>
      <c r="H1659" s="35" t="str">
        <f t="shared" si="6"/>
        <v/>
      </c>
      <c r="I1659" s="25" t="s">
        <v>927</v>
      </c>
    </row>
    <row r="1660">
      <c r="A1660" s="69"/>
      <c r="B1660" s="68"/>
      <c r="C1660" s="68"/>
      <c r="D1660" s="70"/>
      <c r="E1660" s="68"/>
      <c r="F1660" s="68"/>
      <c r="G1660" s="68"/>
      <c r="H1660" s="35" t="str">
        <f t="shared" si="6"/>
        <v/>
      </c>
      <c r="I1660" s="25" t="s">
        <v>927</v>
      </c>
    </row>
    <row r="1661">
      <c r="A1661" s="69"/>
      <c r="B1661" s="68"/>
      <c r="C1661" s="68"/>
      <c r="D1661" s="70"/>
      <c r="E1661" s="68"/>
      <c r="F1661" s="68"/>
      <c r="G1661" s="68"/>
      <c r="H1661" s="35" t="str">
        <f t="shared" si="6"/>
        <v/>
      </c>
      <c r="I1661" s="25" t="s">
        <v>927</v>
      </c>
    </row>
    <row r="1662">
      <c r="A1662" s="69"/>
      <c r="B1662" s="68"/>
      <c r="C1662" s="68"/>
      <c r="D1662" s="70"/>
      <c r="E1662" s="68"/>
      <c r="F1662" s="68"/>
      <c r="G1662" s="68"/>
      <c r="H1662" s="35" t="str">
        <f t="shared" si="6"/>
        <v/>
      </c>
      <c r="I1662" s="25" t="s">
        <v>927</v>
      </c>
    </row>
    <row r="1663">
      <c r="A1663" s="69"/>
      <c r="B1663" s="68"/>
      <c r="C1663" s="68"/>
      <c r="D1663" s="70"/>
      <c r="E1663" s="68"/>
      <c r="F1663" s="68"/>
      <c r="G1663" s="68"/>
      <c r="H1663" s="35" t="str">
        <f t="shared" si="6"/>
        <v/>
      </c>
      <c r="I1663" s="25" t="s">
        <v>927</v>
      </c>
    </row>
    <row r="1664">
      <c r="A1664" s="69"/>
      <c r="B1664" s="68"/>
      <c r="C1664" s="68"/>
      <c r="D1664" s="70"/>
      <c r="E1664" s="68"/>
      <c r="F1664" s="68"/>
      <c r="G1664" s="68"/>
      <c r="H1664" s="35" t="str">
        <f t="shared" si="6"/>
        <v/>
      </c>
      <c r="I1664" s="25" t="s">
        <v>927</v>
      </c>
    </row>
    <row r="1665">
      <c r="A1665" s="69"/>
      <c r="B1665" s="68"/>
      <c r="C1665" s="68"/>
      <c r="D1665" s="70"/>
      <c r="E1665" s="68"/>
      <c r="F1665" s="68"/>
      <c r="G1665" s="68"/>
      <c r="H1665" s="35" t="str">
        <f t="shared" si="6"/>
        <v/>
      </c>
      <c r="I1665" s="25" t="s">
        <v>927</v>
      </c>
    </row>
    <row r="1666">
      <c r="A1666" s="69"/>
      <c r="B1666" s="68"/>
      <c r="C1666" s="68"/>
      <c r="D1666" s="70"/>
      <c r="E1666" s="68"/>
      <c r="F1666" s="68"/>
      <c r="G1666" s="68"/>
      <c r="H1666" s="35" t="str">
        <f t="shared" si="6"/>
        <v/>
      </c>
      <c r="I1666" s="25" t="s">
        <v>927</v>
      </c>
    </row>
    <row r="1667">
      <c r="A1667" s="69"/>
      <c r="B1667" s="68"/>
      <c r="C1667" s="68"/>
      <c r="D1667" s="70"/>
      <c r="E1667" s="68"/>
      <c r="F1667" s="68"/>
      <c r="G1667" s="68"/>
      <c r="H1667" s="35" t="str">
        <f t="shared" si="6"/>
        <v/>
      </c>
      <c r="I1667" s="25" t="s">
        <v>927</v>
      </c>
    </row>
    <row r="1668">
      <c r="A1668" s="69"/>
      <c r="B1668" s="68"/>
      <c r="C1668" s="68"/>
      <c r="D1668" s="70"/>
      <c r="E1668" s="68"/>
      <c r="F1668" s="68"/>
      <c r="G1668" s="68"/>
      <c r="H1668" s="35" t="str">
        <f t="shared" si="6"/>
        <v/>
      </c>
      <c r="I1668" s="25" t="s">
        <v>927</v>
      </c>
    </row>
    <row r="1669">
      <c r="A1669" s="69"/>
      <c r="B1669" s="68"/>
      <c r="C1669" s="68"/>
      <c r="D1669" s="70"/>
      <c r="E1669" s="68"/>
      <c r="F1669" s="68"/>
      <c r="G1669" s="68"/>
      <c r="H1669" s="35" t="str">
        <f t="shared" si="6"/>
        <v/>
      </c>
      <c r="I1669" s="25" t="s">
        <v>927</v>
      </c>
    </row>
    <row r="1670">
      <c r="A1670" s="69"/>
      <c r="B1670" s="68"/>
      <c r="C1670" s="68"/>
      <c r="D1670" s="70"/>
      <c r="E1670" s="68"/>
      <c r="F1670" s="68"/>
      <c r="G1670" s="68"/>
      <c r="H1670" s="35" t="str">
        <f t="shared" si="6"/>
        <v/>
      </c>
      <c r="I1670" s="25" t="s">
        <v>927</v>
      </c>
    </row>
    <row r="1671">
      <c r="A1671" s="69"/>
      <c r="B1671" s="68"/>
      <c r="C1671" s="68"/>
      <c r="D1671" s="70"/>
      <c r="E1671" s="68"/>
      <c r="F1671" s="68"/>
      <c r="G1671" s="68"/>
      <c r="H1671" s="35" t="str">
        <f t="shared" si="6"/>
        <v/>
      </c>
      <c r="I1671" s="25" t="s">
        <v>927</v>
      </c>
    </row>
    <row r="1672">
      <c r="A1672" s="69"/>
      <c r="B1672" s="68"/>
      <c r="C1672" s="68"/>
      <c r="D1672" s="70"/>
      <c r="E1672" s="68"/>
      <c r="F1672" s="68"/>
      <c r="G1672" s="68"/>
      <c r="H1672" s="35" t="str">
        <f t="shared" si="6"/>
        <v/>
      </c>
      <c r="I1672" s="25" t="s">
        <v>927</v>
      </c>
    </row>
    <row r="1673">
      <c r="A1673" s="69"/>
      <c r="B1673" s="68"/>
      <c r="C1673" s="68"/>
      <c r="D1673" s="70"/>
      <c r="E1673" s="68"/>
      <c r="F1673" s="68"/>
      <c r="G1673" s="68"/>
      <c r="H1673" s="35" t="str">
        <f t="shared" si="6"/>
        <v/>
      </c>
      <c r="I1673" s="25" t="s">
        <v>927</v>
      </c>
    </row>
    <row r="1674">
      <c r="A1674" s="69"/>
      <c r="B1674" s="68"/>
      <c r="C1674" s="68"/>
      <c r="D1674" s="70"/>
      <c r="E1674" s="68"/>
      <c r="F1674" s="68"/>
      <c r="G1674" s="68"/>
      <c r="H1674" s="35" t="str">
        <f t="shared" si="6"/>
        <v/>
      </c>
      <c r="I1674" s="25" t="s">
        <v>927</v>
      </c>
    </row>
    <row r="1675">
      <c r="A1675" s="69"/>
      <c r="B1675" s="68"/>
      <c r="C1675" s="68"/>
      <c r="D1675" s="70"/>
      <c r="E1675" s="68"/>
      <c r="F1675" s="68"/>
      <c r="G1675" s="68"/>
      <c r="H1675" s="35" t="str">
        <f t="shared" si="6"/>
        <v/>
      </c>
      <c r="I1675" s="25" t="s">
        <v>927</v>
      </c>
    </row>
    <row r="1676">
      <c r="A1676" s="69"/>
      <c r="B1676" s="68"/>
      <c r="C1676" s="68"/>
      <c r="D1676" s="70"/>
      <c r="E1676" s="68"/>
      <c r="F1676" s="68"/>
      <c r="G1676" s="68"/>
      <c r="H1676" s="35" t="str">
        <f t="shared" si="6"/>
        <v/>
      </c>
      <c r="I1676" s="25" t="s">
        <v>927</v>
      </c>
    </row>
    <row r="1677">
      <c r="A1677" s="69"/>
      <c r="B1677" s="68"/>
      <c r="C1677" s="68"/>
      <c r="D1677" s="70"/>
      <c r="E1677" s="68"/>
      <c r="F1677" s="68"/>
      <c r="G1677" s="68"/>
      <c r="H1677" s="35" t="str">
        <f t="shared" si="6"/>
        <v/>
      </c>
      <c r="I1677" s="25" t="s">
        <v>927</v>
      </c>
    </row>
    <row r="1678">
      <c r="A1678" s="69"/>
      <c r="B1678" s="68"/>
      <c r="C1678" s="68"/>
      <c r="D1678" s="70"/>
      <c r="E1678" s="68"/>
      <c r="F1678" s="68"/>
      <c r="G1678" s="68"/>
      <c r="H1678" s="35" t="str">
        <f t="shared" si="6"/>
        <v/>
      </c>
      <c r="I1678" s="25" t="s">
        <v>927</v>
      </c>
    </row>
    <row r="1679">
      <c r="A1679" s="69"/>
      <c r="B1679" s="68"/>
      <c r="C1679" s="68"/>
      <c r="D1679" s="70"/>
      <c r="E1679" s="68"/>
      <c r="F1679" s="68"/>
      <c r="G1679" s="68"/>
      <c r="H1679" s="35" t="str">
        <f t="shared" si="6"/>
        <v/>
      </c>
      <c r="I1679" s="25" t="s">
        <v>927</v>
      </c>
    </row>
    <row r="1680">
      <c r="A1680" s="69"/>
      <c r="B1680" s="68"/>
      <c r="C1680" s="68"/>
      <c r="D1680" s="70"/>
      <c r="E1680" s="68"/>
      <c r="F1680" s="68"/>
      <c r="G1680" s="68"/>
      <c r="H1680" s="35" t="str">
        <f t="shared" si="6"/>
        <v/>
      </c>
      <c r="I1680" s="25" t="s">
        <v>927</v>
      </c>
    </row>
    <row r="1681">
      <c r="A1681" s="69"/>
      <c r="B1681" s="68"/>
      <c r="C1681" s="68"/>
      <c r="D1681" s="70"/>
      <c r="E1681" s="68"/>
      <c r="F1681" s="68"/>
      <c r="G1681" s="68"/>
      <c r="H1681" s="35" t="str">
        <f t="shared" si="6"/>
        <v/>
      </c>
      <c r="I1681" s="25" t="s">
        <v>927</v>
      </c>
    </row>
    <row r="1682">
      <c r="A1682" s="69"/>
      <c r="B1682" s="68"/>
      <c r="C1682" s="68"/>
      <c r="D1682" s="70"/>
      <c r="E1682" s="68"/>
      <c r="F1682" s="68"/>
      <c r="G1682" s="68"/>
      <c r="H1682" s="35" t="str">
        <f t="shared" si="6"/>
        <v/>
      </c>
      <c r="I1682" s="25" t="s">
        <v>927</v>
      </c>
    </row>
    <row r="1683">
      <c r="A1683" s="69"/>
      <c r="B1683" s="68"/>
      <c r="C1683" s="68"/>
      <c r="D1683" s="70"/>
      <c r="E1683" s="68"/>
      <c r="F1683" s="68"/>
      <c r="G1683" s="68"/>
      <c r="H1683" s="35" t="str">
        <f t="shared" si="6"/>
        <v/>
      </c>
      <c r="I1683" s="25" t="s">
        <v>927</v>
      </c>
    </row>
    <row r="1684">
      <c r="A1684" s="69"/>
      <c r="B1684" s="68"/>
      <c r="C1684" s="68"/>
      <c r="D1684" s="70"/>
      <c r="E1684" s="68"/>
      <c r="F1684" s="68"/>
      <c r="G1684" s="68"/>
      <c r="H1684" s="35" t="str">
        <f t="shared" si="6"/>
        <v/>
      </c>
      <c r="I1684" s="25" t="s">
        <v>927</v>
      </c>
    </row>
    <row r="1685">
      <c r="A1685" s="69"/>
      <c r="B1685" s="68"/>
      <c r="C1685" s="68"/>
      <c r="D1685" s="70"/>
      <c r="E1685" s="68"/>
      <c r="F1685" s="68"/>
      <c r="G1685" s="68"/>
      <c r="H1685" s="35" t="str">
        <f t="shared" si="6"/>
        <v/>
      </c>
      <c r="I1685" s="25" t="s">
        <v>927</v>
      </c>
    </row>
    <row r="1686">
      <c r="A1686" s="69"/>
      <c r="B1686" s="68"/>
      <c r="C1686" s="68"/>
      <c r="D1686" s="70"/>
      <c r="E1686" s="68"/>
      <c r="F1686" s="68"/>
      <c r="G1686" s="68"/>
      <c r="H1686" s="35" t="str">
        <f t="shared" si="6"/>
        <v/>
      </c>
      <c r="I1686" s="25" t="s">
        <v>927</v>
      </c>
    </row>
    <row r="1687">
      <c r="A1687" s="69"/>
      <c r="B1687" s="68"/>
      <c r="C1687" s="68"/>
      <c r="D1687" s="70"/>
      <c r="E1687" s="68"/>
      <c r="F1687" s="68"/>
      <c r="G1687" s="68"/>
      <c r="H1687" s="35" t="str">
        <f t="shared" si="6"/>
        <v/>
      </c>
      <c r="I1687" s="25" t="s">
        <v>927</v>
      </c>
    </row>
    <row r="1688">
      <c r="A1688" s="69"/>
      <c r="B1688" s="68"/>
      <c r="C1688" s="68"/>
      <c r="D1688" s="70"/>
      <c r="E1688" s="68"/>
      <c r="F1688" s="68"/>
      <c r="G1688" s="68"/>
      <c r="H1688" s="35" t="str">
        <f t="shared" si="6"/>
        <v/>
      </c>
      <c r="I1688" s="25" t="s">
        <v>927</v>
      </c>
    </row>
    <row r="1689">
      <c r="A1689" s="69"/>
      <c r="B1689" s="68"/>
      <c r="C1689" s="68"/>
      <c r="D1689" s="70"/>
      <c r="E1689" s="68"/>
      <c r="F1689" s="68"/>
      <c r="G1689" s="68"/>
      <c r="H1689" s="35" t="str">
        <f t="shared" si="6"/>
        <v/>
      </c>
      <c r="I1689" s="25" t="s">
        <v>927</v>
      </c>
    </row>
    <row r="1690">
      <c r="A1690" s="69"/>
      <c r="B1690" s="68"/>
      <c r="C1690" s="68"/>
      <c r="D1690" s="70"/>
      <c r="E1690" s="68"/>
      <c r="F1690" s="68"/>
      <c r="G1690" s="68"/>
      <c r="H1690" s="35" t="str">
        <f t="shared" si="6"/>
        <v/>
      </c>
      <c r="I1690" s="25" t="s">
        <v>927</v>
      </c>
    </row>
    <row r="1691">
      <c r="A1691" s="69"/>
      <c r="B1691" s="68"/>
      <c r="C1691" s="68"/>
      <c r="D1691" s="70"/>
      <c r="E1691" s="68"/>
      <c r="F1691" s="68"/>
      <c r="G1691" s="68"/>
      <c r="H1691" s="35" t="str">
        <f t="shared" si="6"/>
        <v/>
      </c>
      <c r="I1691" s="25" t="s">
        <v>927</v>
      </c>
    </row>
    <row r="1692">
      <c r="A1692" s="69"/>
      <c r="B1692" s="68"/>
      <c r="C1692" s="68"/>
      <c r="D1692" s="70"/>
      <c r="E1692" s="68"/>
      <c r="F1692" s="68"/>
      <c r="G1692" s="68"/>
      <c r="H1692" s="35" t="str">
        <f t="shared" si="6"/>
        <v/>
      </c>
      <c r="I1692" s="25" t="s">
        <v>927</v>
      </c>
    </row>
    <row r="1693">
      <c r="A1693" s="69"/>
      <c r="B1693" s="68"/>
      <c r="C1693" s="68"/>
      <c r="D1693" s="70"/>
      <c r="E1693" s="68"/>
      <c r="F1693" s="68"/>
      <c r="G1693" s="68"/>
      <c r="H1693" s="35" t="str">
        <f t="shared" si="6"/>
        <v/>
      </c>
      <c r="I1693" s="25" t="s">
        <v>927</v>
      </c>
    </row>
    <row r="1694">
      <c r="A1694" s="69"/>
      <c r="B1694" s="68"/>
      <c r="C1694" s="68"/>
      <c r="D1694" s="70"/>
      <c r="E1694" s="68"/>
      <c r="F1694" s="68"/>
      <c r="G1694" s="68"/>
      <c r="H1694" s="35" t="str">
        <f t="shared" si="6"/>
        <v/>
      </c>
      <c r="I1694" s="25" t="s">
        <v>927</v>
      </c>
    </row>
    <row r="1695">
      <c r="A1695" s="69"/>
      <c r="B1695" s="68"/>
      <c r="C1695" s="68"/>
      <c r="D1695" s="70"/>
      <c r="E1695" s="68"/>
      <c r="F1695" s="68"/>
      <c r="G1695" s="68"/>
      <c r="H1695" s="35" t="str">
        <f t="shared" si="6"/>
        <v/>
      </c>
      <c r="I1695" s="25" t="s">
        <v>927</v>
      </c>
    </row>
    <row r="1696">
      <c r="A1696" s="69"/>
      <c r="B1696" s="68"/>
      <c r="C1696" s="68"/>
      <c r="D1696" s="70"/>
      <c r="E1696" s="68"/>
      <c r="F1696" s="68"/>
      <c r="G1696" s="68"/>
      <c r="H1696" s="35" t="str">
        <f t="shared" si="6"/>
        <v/>
      </c>
      <c r="I1696" s="25" t="s">
        <v>927</v>
      </c>
    </row>
    <row r="1697">
      <c r="A1697" s="69"/>
      <c r="B1697" s="68"/>
      <c r="C1697" s="68"/>
      <c r="D1697" s="70"/>
      <c r="E1697" s="68"/>
      <c r="F1697" s="68"/>
      <c r="G1697" s="68"/>
      <c r="H1697" s="35" t="str">
        <f t="shared" si="6"/>
        <v/>
      </c>
      <c r="I1697" s="25" t="s">
        <v>927</v>
      </c>
    </row>
    <row r="1698">
      <c r="A1698" s="69"/>
      <c r="B1698" s="68"/>
      <c r="C1698" s="68"/>
      <c r="D1698" s="70"/>
      <c r="E1698" s="68"/>
      <c r="F1698" s="68"/>
      <c r="G1698" s="68"/>
      <c r="H1698" s="35" t="str">
        <f t="shared" si="6"/>
        <v/>
      </c>
      <c r="I1698" s="25" t="s">
        <v>927</v>
      </c>
    </row>
    <row r="1699">
      <c r="A1699" s="69"/>
      <c r="B1699" s="68"/>
      <c r="C1699" s="68"/>
      <c r="D1699" s="70"/>
      <c r="E1699" s="68"/>
      <c r="F1699" s="68"/>
      <c r="G1699" s="68"/>
      <c r="H1699" s="35" t="str">
        <f t="shared" si="6"/>
        <v/>
      </c>
      <c r="I1699" s="25" t="s">
        <v>927</v>
      </c>
    </row>
    <row r="1700">
      <c r="A1700" s="69"/>
      <c r="B1700" s="68"/>
      <c r="C1700" s="68"/>
      <c r="D1700" s="70"/>
      <c r="E1700" s="68"/>
      <c r="F1700" s="68"/>
      <c r="G1700" s="68"/>
      <c r="H1700" s="35" t="str">
        <f t="shared" si="6"/>
        <v/>
      </c>
      <c r="I1700" s="25" t="s">
        <v>927</v>
      </c>
    </row>
    <row r="1701">
      <c r="A1701" s="69"/>
      <c r="B1701" s="68"/>
      <c r="C1701" s="68"/>
      <c r="D1701" s="70"/>
      <c r="E1701" s="68"/>
      <c r="F1701" s="68"/>
      <c r="G1701" s="68"/>
      <c r="H1701" s="35" t="str">
        <f t="shared" si="6"/>
        <v/>
      </c>
      <c r="I1701" s="25" t="s">
        <v>927</v>
      </c>
    </row>
    <row r="1702">
      <c r="A1702" s="69"/>
      <c r="B1702" s="68"/>
      <c r="C1702" s="68"/>
      <c r="D1702" s="70"/>
      <c r="E1702" s="68"/>
      <c r="F1702" s="68"/>
      <c r="G1702" s="68"/>
      <c r="H1702" s="35" t="str">
        <f t="shared" si="6"/>
        <v/>
      </c>
      <c r="I1702" s="25" t="s">
        <v>927</v>
      </c>
    </row>
    <row r="1703">
      <c r="A1703" s="69"/>
      <c r="B1703" s="68"/>
      <c r="C1703" s="68"/>
      <c r="D1703" s="70"/>
      <c r="E1703" s="68"/>
      <c r="F1703" s="68"/>
      <c r="G1703" s="68"/>
      <c r="H1703" s="35" t="str">
        <f t="shared" si="6"/>
        <v/>
      </c>
      <c r="I1703" s="25" t="s">
        <v>927</v>
      </c>
    </row>
    <row r="1704">
      <c r="A1704" s="69"/>
      <c r="B1704" s="68"/>
      <c r="C1704" s="68"/>
      <c r="D1704" s="70"/>
      <c r="E1704" s="68"/>
      <c r="F1704" s="68"/>
      <c r="G1704" s="68"/>
      <c r="H1704" s="35" t="str">
        <f t="shared" si="6"/>
        <v/>
      </c>
      <c r="I1704" s="25" t="s">
        <v>927</v>
      </c>
    </row>
    <row r="1705">
      <c r="A1705" s="69"/>
      <c r="B1705" s="68"/>
      <c r="C1705" s="68"/>
      <c r="D1705" s="70"/>
      <c r="E1705" s="68"/>
      <c r="F1705" s="68"/>
      <c r="G1705" s="68"/>
      <c r="H1705" s="35" t="str">
        <f t="shared" si="6"/>
        <v/>
      </c>
      <c r="I1705" s="25" t="s">
        <v>927</v>
      </c>
    </row>
    <row r="1706">
      <c r="A1706" s="69"/>
      <c r="B1706" s="68"/>
      <c r="C1706" s="68"/>
      <c r="D1706" s="70"/>
      <c r="E1706" s="68"/>
      <c r="F1706" s="68"/>
      <c r="G1706" s="68"/>
      <c r="H1706" s="35" t="str">
        <f t="shared" si="6"/>
        <v/>
      </c>
      <c r="I1706" s="25" t="s">
        <v>927</v>
      </c>
    </row>
    <row r="1707">
      <c r="A1707" s="69"/>
      <c r="B1707" s="68"/>
      <c r="C1707" s="68"/>
      <c r="D1707" s="70"/>
      <c r="E1707" s="68"/>
      <c r="F1707" s="68"/>
      <c r="G1707" s="68"/>
      <c r="H1707" s="35" t="str">
        <f t="shared" si="6"/>
        <v/>
      </c>
      <c r="I1707" s="25" t="s">
        <v>927</v>
      </c>
    </row>
    <row r="1708">
      <c r="A1708" s="69"/>
      <c r="B1708" s="68"/>
      <c r="C1708" s="68"/>
      <c r="D1708" s="70"/>
      <c r="E1708" s="68"/>
      <c r="F1708" s="68"/>
      <c r="G1708" s="68"/>
      <c r="H1708" s="35" t="str">
        <f t="shared" si="6"/>
        <v/>
      </c>
      <c r="I1708" s="25" t="s">
        <v>927</v>
      </c>
    </row>
    <row r="1709">
      <c r="A1709" s="69"/>
      <c r="B1709" s="68"/>
      <c r="C1709" s="68"/>
      <c r="D1709" s="70"/>
      <c r="E1709" s="68"/>
      <c r="F1709" s="68"/>
      <c r="G1709" s="68"/>
      <c r="H1709" s="35" t="str">
        <f t="shared" si="6"/>
        <v/>
      </c>
      <c r="I1709" s="25" t="s">
        <v>927</v>
      </c>
    </row>
    <row r="1710">
      <c r="A1710" s="69"/>
      <c r="B1710" s="68"/>
      <c r="C1710" s="68"/>
      <c r="D1710" s="70"/>
      <c r="E1710" s="68"/>
      <c r="F1710" s="68"/>
      <c r="G1710" s="68"/>
      <c r="H1710" s="35" t="str">
        <f t="shared" si="6"/>
        <v/>
      </c>
      <c r="I1710" s="25" t="s">
        <v>927</v>
      </c>
    </row>
    <row r="1711">
      <c r="A1711" s="69"/>
      <c r="B1711" s="68"/>
      <c r="C1711" s="68"/>
      <c r="D1711" s="70"/>
      <c r="E1711" s="68"/>
      <c r="F1711" s="68"/>
      <c r="G1711" s="68"/>
      <c r="H1711" s="35" t="str">
        <f t="shared" si="6"/>
        <v/>
      </c>
      <c r="I1711" s="25" t="s">
        <v>927</v>
      </c>
    </row>
    <row r="1712">
      <c r="A1712" s="69"/>
      <c r="B1712" s="68"/>
      <c r="C1712" s="68"/>
      <c r="D1712" s="70"/>
      <c r="E1712" s="68"/>
      <c r="F1712" s="68"/>
      <c r="G1712" s="68"/>
      <c r="H1712" s="35" t="str">
        <f t="shared" si="6"/>
        <v/>
      </c>
      <c r="I1712" s="25" t="s">
        <v>927</v>
      </c>
    </row>
    <row r="1713">
      <c r="A1713" s="69"/>
      <c r="B1713" s="68"/>
      <c r="C1713" s="68"/>
      <c r="D1713" s="70"/>
      <c r="E1713" s="68"/>
      <c r="F1713" s="68"/>
      <c r="G1713" s="68"/>
      <c r="H1713" s="35" t="str">
        <f t="shared" si="6"/>
        <v/>
      </c>
      <c r="I1713" s="25" t="s">
        <v>927</v>
      </c>
    </row>
    <row r="1714">
      <c r="A1714" s="69"/>
      <c r="B1714" s="68"/>
      <c r="C1714" s="68"/>
      <c r="D1714" s="70"/>
      <c r="E1714" s="68"/>
      <c r="F1714" s="68"/>
      <c r="G1714" s="68"/>
      <c r="H1714" s="35" t="str">
        <f t="shared" si="6"/>
        <v/>
      </c>
      <c r="I1714" s="25" t="s">
        <v>927</v>
      </c>
    </row>
    <row r="1715">
      <c r="A1715" s="69"/>
      <c r="B1715" s="68"/>
      <c r="C1715" s="68"/>
      <c r="D1715" s="70"/>
      <c r="E1715" s="68"/>
      <c r="F1715" s="68"/>
      <c r="G1715" s="68"/>
      <c r="H1715" s="35" t="str">
        <f t="shared" si="6"/>
        <v/>
      </c>
      <c r="I1715" s="25" t="s">
        <v>927</v>
      </c>
    </row>
    <row r="1716">
      <c r="A1716" s="69"/>
      <c r="B1716" s="68"/>
      <c r="C1716" s="68"/>
      <c r="D1716" s="70"/>
      <c r="E1716" s="68"/>
      <c r="F1716" s="68"/>
      <c r="G1716" s="68"/>
      <c r="H1716" s="35" t="str">
        <f t="shared" si="6"/>
        <v/>
      </c>
      <c r="I1716" s="25" t="s">
        <v>927</v>
      </c>
    </row>
    <row r="1717">
      <c r="A1717" s="69"/>
      <c r="B1717" s="68"/>
      <c r="C1717" s="68"/>
      <c r="D1717" s="70"/>
      <c r="E1717" s="68"/>
      <c r="F1717" s="68"/>
      <c r="G1717" s="68"/>
      <c r="H1717" s="35" t="str">
        <f t="shared" si="6"/>
        <v/>
      </c>
      <c r="I1717" s="25" t="s">
        <v>927</v>
      </c>
    </row>
    <row r="1718">
      <c r="A1718" s="69"/>
      <c r="B1718" s="68"/>
      <c r="C1718" s="68"/>
      <c r="D1718" s="70"/>
      <c r="E1718" s="68"/>
      <c r="F1718" s="68"/>
      <c r="G1718" s="68"/>
      <c r="H1718" s="35" t="str">
        <f t="shared" si="6"/>
        <v/>
      </c>
      <c r="I1718" s="25" t="s">
        <v>927</v>
      </c>
    </row>
    <row r="1719">
      <c r="A1719" s="69"/>
      <c r="B1719" s="68"/>
      <c r="C1719" s="68"/>
      <c r="D1719" s="70"/>
      <c r="E1719" s="68"/>
      <c r="F1719" s="68"/>
      <c r="G1719" s="68"/>
      <c r="H1719" s="35" t="str">
        <f t="shared" si="6"/>
        <v/>
      </c>
      <c r="I1719" s="25" t="s">
        <v>927</v>
      </c>
    </row>
    <row r="1720">
      <c r="A1720" s="69"/>
      <c r="B1720" s="68"/>
      <c r="C1720" s="68"/>
      <c r="D1720" s="70"/>
      <c r="E1720" s="68"/>
      <c r="F1720" s="68"/>
      <c r="G1720" s="68"/>
      <c r="H1720" s="35" t="str">
        <f t="shared" si="6"/>
        <v/>
      </c>
      <c r="I1720" s="25" t="s">
        <v>927</v>
      </c>
    </row>
    <row r="1721">
      <c r="A1721" s="69"/>
      <c r="B1721" s="68"/>
      <c r="C1721" s="68"/>
      <c r="D1721" s="70"/>
      <c r="E1721" s="68"/>
      <c r="F1721" s="68"/>
      <c r="G1721" s="68"/>
      <c r="H1721" s="35" t="str">
        <f t="shared" si="6"/>
        <v/>
      </c>
      <c r="I1721" s="25" t="s">
        <v>927</v>
      </c>
    </row>
    <row r="1722">
      <c r="A1722" s="69"/>
      <c r="B1722" s="68"/>
      <c r="C1722" s="68"/>
      <c r="D1722" s="70"/>
      <c r="E1722" s="68"/>
      <c r="F1722" s="68"/>
      <c r="G1722" s="68"/>
      <c r="H1722" s="35" t="str">
        <f t="shared" si="6"/>
        <v/>
      </c>
      <c r="I1722" s="25" t="s">
        <v>927</v>
      </c>
    </row>
    <row r="1723">
      <c r="A1723" s="69"/>
      <c r="B1723" s="68"/>
      <c r="C1723" s="68"/>
      <c r="D1723" s="70"/>
      <c r="E1723" s="68"/>
      <c r="F1723" s="68"/>
      <c r="G1723" s="68"/>
      <c r="H1723" s="35" t="str">
        <f t="shared" si="6"/>
        <v/>
      </c>
      <c r="I1723" s="25" t="s">
        <v>927</v>
      </c>
    </row>
    <row r="1724">
      <c r="A1724" s="69"/>
      <c r="B1724" s="68"/>
      <c r="C1724" s="68"/>
      <c r="D1724" s="70"/>
      <c r="E1724" s="68"/>
      <c r="F1724" s="68"/>
      <c r="G1724" s="68"/>
      <c r="H1724" s="35" t="str">
        <f t="shared" si="6"/>
        <v/>
      </c>
      <c r="I1724" s="25" t="s">
        <v>927</v>
      </c>
    </row>
    <row r="1725">
      <c r="A1725" s="69"/>
      <c r="B1725" s="68"/>
      <c r="C1725" s="68"/>
      <c r="D1725" s="70"/>
      <c r="E1725" s="68"/>
      <c r="F1725" s="68"/>
      <c r="G1725" s="68"/>
      <c r="H1725" s="35" t="str">
        <f t="shared" si="6"/>
        <v/>
      </c>
      <c r="I1725" s="25" t="s">
        <v>927</v>
      </c>
    </row>
    <row r="1726">
      <c r="A1726" s="69"/>
      <c r="B1726" s="68"/>
      <c r="C1726" s="68"/>
      <c r="D1726" s="70"/>
      <c r="E1726" s="68"/>
      <c r="F1726" s="68"/>
      <c r="G1726" s="68"/>
      <c r="H1726" s="35" t="str">
        <f t="shared" si="6"/>
        <v/>
      </c>
      <c r="I1726" s="25" t="s">
        <v>927</v>
      </c>
    </row>
    <row r="1727">
      <c r="A1727" s="69"/>
      <c r="B1727" s="68"/>
      <c r="C1727" s="68"/>
      <c r="D1727" s="70"/>
      <c r="E1727" s="68"/>
      <c r="F1727" s="68"/>
      <c r="G1727" s="68"/>
      <c r="H1727" s="35" t="str">
        <f t="shared" si="6"/>
        <v/>
      </c>
      <c r="I1727" s="25" t="s">
        <v>927</v>
      </c>
    </row>
    <row r="1728">
      <c r="A1728" s="69"/>
      <c r="B1728" s="68"/>
      <c r="C1728" s="68"/>
      <c r="D1728" s="70"/>
      <c r="E1728" s="68"/>
      <c r="F1728" s="68"/>
      <c r="G1728" s="68"/>
      <c r="H1728" s="35" t="str">
        <f t="shared" si="6"/>
        <v/>
      </c>
      <c r="I1728" s="25" t="s">
        <v>927</v>
      </c>
    </row>
    <row r="1729">
      <c r="A1729" s="69"/>
      <c r="B1729" s="68"/>
      <c r="C1729" s="68"/>
      <c r="D1729" s="70"/>
      <c r="E1729" s="68"/>
      <c r="F1729" s="68"/>
      <c r="G1729" s="68"/>
      <c r="H1729" s="35" t="str">
        <f t="shared" si="6"/>
        <v/>
      </c>
      <c r="I1729" s="25" t="s">
        <v>927</v>
      </c>
    </row>
    <row r="1730">
      <c r="A1730" s="69"/>
      <c r="B1730" s="68"/>
      <c r="C1730" s="68"/>
      <c r="D1730" s="70"/>
      <c r="E1730" s="68"/>
      <c r="F1730" s="68"/>
      <c r="G1730" s="68"/>
      <c r="H1730" s="35" t="str">
        <f t="shared" si="6"/>
        <v/>
      </c>
      <c r="I1730" s="25" t="s">
        <v>927</v>
      </c>
    </row>
    <row r="1731">
      <c r="A1731" s="69"/>
      <c r="B1731" s="68"/>
      <c r="C1731" s="68"/>
      <c r="D1731" s="70"/>
      <c r="E1731" s="68"/>
      <c r="F1731" s="68"/>
      <c r="G1731" s="68"/>
      <c r="H1731" s="35" t="str">
        <f t="shared" si="6"/>
        <v/>
      </c>
      <c r="I1731" s="25" t="s">
        <v>927</v>
      </c>
    </row>
    <row r="1732">
      <c r="A1732" s="69"/>
      <c r="B1732" s="68"/>
      <c r="C1732" s="68"/>
      <c r="D1732" s="70"/>
      <c r="E1732" s="68"/>
      <c r="F1732" s="68"/>
      <c r="G1732" s="68"/>
      <c r="H1732" s="35" t="str">
        <f t="shared" si="6"/>
        <v/>
      </c>
      <c r="I1732" s="25" t="s">
        <v>927</v>
      </c>
    </row>
    <row r="1733">
      <c r="A1733" s="69"/>
      <c r="B1733" s="68"/>
      <c r="C1733" s="68"/>
      <c r="D1733" s="70"/>
      <c r="E1733" s="68"/>
      <c r="F1733" s="68"/>
      <c r="G1733" s="68"/>
      <c r="H1733" s="35" t="str">
        <f t="shared" si="6"/>
        <v/>
      </c>
      <c r="I1733" s="25" t="s">
        <v>927</v>
      </c>
    </row>
    <row r="1734">
      <c r="A1734" s="69"/>
      <c r="B1734" s="68"/>
      <c r="C1734" s="68"/>
      <c r="D1734" s="70"/>
      <c r="E1734" s="68"/>
      <c r="F1734" s="68"/>
      <c r="G1734" s="68"/>
      <c r="H1734" s="35" t="str">
        <f t="shared" si="6"/>
        <v/>
      </c>
      <c r="I1734" s="25" t="s">
        <v>927</v>
      </c>
    </row>
    <row r="1735">
      <c r="A1735" s="69"/>
      <c r="B1735" s="68"/>
      <c r="C1735" s="68"/>
      <c r="D1735" s="70"/>
      <c r="E1735" s="68"/>
      <c r="F1735" s="68"/>
      <c r="G1735" s="68"/>
      <c r="H1735" s="35" t="str">
        <f t="shared" si="6"/>
        <v/>
      </c>
      <c r="I1735" s="25" t="s">
        <v>927</v>
      </c>
    </row>
    <row r="1736">
      <c r="A1736" s="69"/>
      <c r="B1736" s="68"/>
      <c r="C1736" s="68"/>
      <c r="D1736" s="70"/>
      <c r="E1736" s="68"/>
      <c r="F1736" s="68"/>
      <c r="G1736" s="68"/>
      <c r="H1736" s="35" t="str">
        <f t="shared" si="6"/>
        <v/>
      </c>
      <c r="I1736" s="25" t="s">
        <v>927</v>
      </c>
    </row>
    <row r="1737">
      <c r="A1737" s="69"/>
      <c r="B1737" s="68"/>
      <c r="C1737" s="68"/>
      <c r="D1737" s="70"/>
      <c r="E1737" s="68"/>
      <c r="F1737" s="68"/>
      <c r="G1737" s="68"/>
      <c r="H1737" s="35" t="str">
        <f t="shared" si="6"/>
        <v/>
      </c>
      <c r="I1737" s="25" t="s">
        <v>927</v>
      </c>
    </row>
    <row r="1738">
      <c r="A1738" s="69"/>
      <c r="B1738" s="68"/>
      <c r="C1738" s="68"/>
      <c r="D1738" s="70"/>
      <c r="E1738" s="68"/>
      <c r="F1738" s="68"/>
      <c r="G1738" s="68"/>
      <c r="H1738" s="35" t="str">
        <f t="shared" si="6"/>
        <v/>
      </c>
      <c r="I1738" s="25" t="s">
        <v>927</v>
      </c>
    </row>
    <row r="1739">
      <c r="A1739" s="69"/>
      <c r="B1739" s="68"/>
      <c r="C1739" s="68"/>
      <c r="D1739" s="70"/>
      <c r="E1739" s="68"/>
      <c r="F1739" s="68"/>
      <c r="G1739" s="68"/>
      <c r="H1739" s="35" t="str">
        <f t="shared" si="6"/>
        <v/>
      </c>
      <c r="I1739" s="25" t="s">
        <v>927</v>
      </c>
    </row>
    <row r="1740">
      <c r="A1740" s="69"/>
      <c r="B1740" s="68"/>
      <c r="C1740" s="68"/>
      <c r="D1740" s="70"/>
      <c r="E1740" s="68"/>
      <c r="F1740" s="68"/>
      <c r="G1740" s="68"/>
      <c r="H1740" s="35" t="str">
        <f t="shared" si="6"/>
        <v/>
      </c>
      <c r="I1740" s="25" t="s">
        <v>927</v>
      </c>
    </row>
    <row r="1741">
      <c r="A1741" s="69"/>
      <c r="B1741" s="68"/>
      <c r="C1741" s="68"/>
      <c r="D1741" s="70"/>
      <c r="E1741" s="68"/>
      <c r="F1741" s="68"/>
      <c r="G1741" s="68"/>
      <c r="H1741" s="35" t="str">
        <f t="shared" si="6"/>
        <v/>
      </c>
      <c r="I1741" s="25" t="s">
        <v>927</v>
      </c>
    </row>
    <row r="1742">
      <c r="A1742" s="69"/>
      <c r="B1742" s="68"/>
      <c r="C1742" s="68"/>
      <c r="D1742" s="70"/>
      <c r="E1742" s="68"/>
      <c r="F1742" s="68"/>
      <c r="G1742" s="68"/>
      <c r="H1742" s="35" t="str">
        <f t="shared" si="6"/>
        <v/>
      </c>
      <c r="I1742" s="25" t="s">
        <v>927</v>
      </c>
    </row>
    <row r="1743">
      <c r="A1743" s="69"/>
      <c r="B1743" s="68"/>
      <c r="C1743" s="68"/>
      <c r="D1743" s="70"/>
      <c r="E1743" s="68"/>
      <c r="F1743" s="68"/>
      <c r="G1743" s="68"/>
      <c r="H1743" s="35" t="str">
        <f t="shared" si="6"/>
        <v/>
      </c>
      <c r="I1743" s="25" t="s">
        <v>927</v>
      </c>
    </row>
    <row r="1744">
      <c r="A1744" s="69"/>
      <c r="B1744" s="68"/>
      <c r="C1744" s="68"/>
      <c r="D1744" s="70"/>
      <c r="E1744" s="68"/>
      <c r="F1744" s="68"/>
      <c r="G1744" s="68"/>
      <c r="H1744" s="35" t="str">
        <f t="shared" si="6"/>
        <v/>
      </c>
      <c r="I1744" s="25" t="s">
        <v>927</v>
      </c>
    </row>
    <row r="1745">
      <c r="A1745" s="69"/>
      <c r="B1745" s="68"/>
      <c r="C1745" s="68"/>
      <c r="D1745" s="70"/>
      <c r="E1745" s="68"/>
      <c r="F1745" s="68"/>
      <c r="G1745" s="68"/>
      <c r="H1745" s="35" t="str">
        <f t="shared" si="6"/>
        <v/>
      </c>
      <c r="I1745" s="25" t="s">
        <v>927</v>
      </c>
    </row>
    <row r="1746">
      <c r="A1746" s="69"/>
      <c r="B1746" s="68"/>
      <c r="C1746" s="68"/>
      <c r="D1746" s="70"/>
      <c r="E1746" s="68"/>
      <c r="F1746" s="68"/>
      <c r="G1746" s="68"/>
      <c r="H1746" s="35" t="str">
        <f t="shared" si="6"/>
        <v/>
      </c>
      <c r="I1746" s="25" t="s">
        <v>927</v>
      </c>
    </row>
    <row r="1747">
      <c r="A1747" s="69"/>
      <c r="B1747" s="68"/>
      <c r="C1747" s="68"/>
      <c r="D1747" s="70"/>
      <c r="E1747" s="68"/>
      <c r="F1747" s="68"/>
      <c r="G1747" s="68"/>
      <c r="H1747" s="35" t="str">
        <f t="shared" si="6"/>
        <v/>
      </c>
      <c r="I1747" s="25" t="s">
        <v>927</v>
      </c>
    </row>
    <row r="1748">
      <c r="A1748" s="69"/>
      <c r="B1748" s="68"/>
      <c r="C1748" s="68"/>
      <c r="D1748" s="70"/>
      <c r="E1748" s="68"/>
      <c r="F1748" s="68"/>
      <c r="G1748" s="68"/>
      <c r="H1748" s="35" t="str">
        <f t="shared" si="6"/>
        <v/>
      </c>
      <c r="I1748" s="25" t="s">
        <v>927</v>
      </c>
    </row>
    <row r="1749">
      <c r="A1749" s="69"/>
      <c r="B1749" s="68"/>
      <c r="C1749" s="68"/>
      <c r="D1749" s="70"/>
      <c r="E1749" s="68"/>
      <c r="F1749" s="68"/>
      <c r="G1749" s="68"/>
      <c r="H1749" s="35" t="str">
        <f t="shared" si="6"/>
        <v/>
      </c>
      <c r="I1749" s="25" t="s">
        <v>927</v>
      </c>
    </row>
    <row r="1750">
      <c r="A1750" s="69"/>
      <c r="B1750" s="68"/>
      <c r="C1750" s="68"/>
      <c r="D1750" s="70"/>
      <c r="E1750" s="68"/>
      <c r="F1750" s="68"/>
      <c r="G1750" s="68"/>
      <c r="H1750" s="35" t="str">
        <f t="shared" si="6"/>
        <v/>
      </c>
      <c r="I1750" s="25" t="s">
        <v>927</v>
      </c>
    </row>
    <row r="1751">
      <c r="A1751" s="69"/>
      <c r="B1751" s="68"/>
      <c r="C1751" s="68"/>
      <c r="D1751" s="70"/>
      <c r="E1751" s="68"/>
      <c r="F1751" s="68"/>
      <c r="G1751" s="68"/>
      <c r="H1751" s="35" t="str">
        <f t="shared" si="6"/>
        <v/>
      </c>
      <c r="I1751" s="25" t="s">
        <v>927</v>
      </c>
    </row>
    <row r="1752">
      <c r="A1752" s="69"/>
      <c r="B1752" s="68"/>
      <c r="C1752" s="68"/>
      <c r="D1752" s="70"/>
      <c r="E1752" s="68"/>
      <c r="F1752" s="68"/>
      <c r="G1752" s="68"/>
      <c r="H1752" s="35" t="str">
        <f t="shared" si="6"/>
        <v/>
      </c>
      <c r="I1752" s="25" t="s">
        <v>927</v>
      </c>
    </row>
    <row r="1753">
      <c r="A1753" s="69"/>
      <c r="B1753" s="68"/>
      <c r="C1753" s="68"/>
      <c r="D1753" s="70"/>
      <c r="E1753" s="68"/>
      <c r="F1753" s="68"/>
      <c r="G1753" s="68"/>
      <c r="H1753" s="35" t="str">
        <f t="shared" si="6"/>
        <v/>
      </c>
      <c r="I1753" s="25" t="s">
        <v>927</v>
      </c>
    </row>
    <row r="1754">
      <c r="A1754" s="69"/>
      <c r="B1754" s="68"/>
      <c r="C1754" s="68"/>
      <c r="D1754" s="70"/>
      <c r="E1754" s="68"/>
      <c r="F1754" s="68"/>
      <c r="G1754" s="68"/>
      <c r="H1754" s="35" t="str">
        <f t="shared" si="6"/>
        <v/>
      </c>
      <c r="I1754" s="25" t="s">
        <v>927</v>
      </c>
    </row>
    <row r="1755">
      <c r="A1755" s="69"/>
      <c r="B1755" s="68"/>
      <c r="C1755" s="68"/>
      <c r="D1755" s="70"/>
      <c r="E1755" s="68"/>
      <c r="F1755" s="68"/>
      <c r="G1755" s="68"/>
      <c r="H1755" s="35" t="str">
        <f t="shared" si="6"/>
        <v/>
      </c>
      <c r="I1755" s="25" t="s">
        <v>927</v>
      </c>
    </row>
    <row r="1756">
      <c r="A1756" s="69"/>
      <c r="B1756" s="68"/>
      <c r="C1756" s="68"/>
      <c r="D1756" s="70"/>
      <c r="E1756" s="68"/>
      <c r="F1756" s="68"/>
      <c r="G1756" s="68"/>
      <c r="H1756" s="35" t="str">
        <f t="shared" si="6"/>
        <v/>
      </c>
      <c r="I1756" s="25" t="s">
        <v>927</v>
      </c>
    </row>
    <row r="1757">
      <c r="A1757" s="69"/>
      <c r="B1757" s="68"/>
      <c r="C1757" s="68"/>
      <c r="D1757" s="70"/>
      <c r="E1757" s="68"/>
      <c r="F1757" s="68"/>
      <c r="G1757" s="68"/>
      <c r="H1757" s="35" t="str">
        <f t="shared" si="6"/>
        <v/>
      </c>
      <c r="I1757" s="25" t="s">
        <v>927</v>
      </c>
    </row>
    <row r="1758">
      <c r="A1758" s="69"/>
      <c r="B1758" s="68"/>
      <c r="C1758" s="68"/>
      <c r="D1758" s="70"/>
      <c r="E1758" s="68"/>
      <c r="F1758" s="68"/>
      <c r="G1758" s="68"/>
      <c r="H1758" s="35" t="str">
        <f t="shared" si="6"/>
        <v/>
      </c>
      <c r="I1758" s="25" t="s">
        <v>927</v>
      </c>
    </row>
    <row r="1759">
      <c r="A1759" s="69"/>
      <c r="B1759" s="68"/>
      <c r="C1759" s="68"/>
      <c r="D1759" s="70"/>
      <c r="E1759" s="68"/>
      <c r="F1759" s="68"/>
      <c r="G1759" s="68"/>
      <c r="H1759" s="35" t="str">
        <f t="shared" si="6"/>
        <v/>
      </c>
      <c r="I1759" s="25" t="s">
        <v>927</v>
      </c>
    </row>
    <row r="1760">
      <c r="A1760" s="69"/>
      <c r="B1760" s="68"/>
      <c r="C1760" s="68"/>
      <c r="D1760" s="70"/>
      <c r="E1760" s="68"/>
      <c r="F1760" s="68"/>
      <c r="G1760" s="68"/>
      <c r="H1760" s="35" t="str">
        <f t="shared" si="6"/>
        <v/>
      </c>
      <c r="I1760" s="25" t="s">
        <v>927</v>
      </c>
    </row>
    <row r="1761">
      <c r="A1761" s="69"/>
      <c r="B1761" s="68"/>
      <c r="C1761" s="68"/>
      <c r="D1761" s="70"/>
      <c r="E1761" s="68"/>
      <c r="F1761" s="68"/>
      <c r="G1761" s="68"/>
      <c r="H1761" s="35" t="str">
        <f t="shared" si="6"/>
        <v/>
      </c>
      <c r="I1761" s="25" t="s">
        <v>927</v>
      </c>
    </row>
    <row r="1762">
      <c r="A1762" s="69"/>
      <c r="B1762" s="68"/>
      <c r="C1762" s="68"/>
      <c r="D1762" s="70"/>
      <c r="E1762" s="68"/>
      <c r="F1762" s="68"/>
      <c r="G1762" s="68"/>
      <c r="H1762" s="35" t="str">
        <f t="shared" si="6"/>
        <v/>
      </c>
      <c r="I1762" s="25" t="s">
        <v>927</v>
      </c>
    </row>
    <row r="1763">
      <c r="A1763" s="69"/>
      <c r="B1763" s="68"/>
      <c r="C1763" s="68"/>
      <c r="D1763" s="70"/>
      <c r="E1763" s="68"/>
      <c r="F1763" s="68"/>
      <c r="G1763" s="68"/>
      <c r="H1763" s="35" t="str">
        <f t="shared" si="6"/>
        <v/>
      </c>
      <c r="I1763" s="25" t="s">
        <v>927</v>
      </c>
    </row>
    <row r="1764">
      <c r="A1764" s="69"/>
      <c r="B1764" s="68"/>
      <c r="C1764" s="68"/>
      <c r="D1764" s="70"/>
      <c r="E1764" s="68"/>
      <c r="F1764" s="68"/>
      <c r="G1764" s="68"/>
      <c r="H1764" s="35" t="str">
        <f t="shared" si="6"/>
        <v/>
      </c>
      <c r="I1764" s="25" t="s">
        <v>927</v>
      </c>
    </row>
    <row r="1765">
      <c r="A1765" s="69"/>
      <c r="B1765" s="68"/>
      <c r="C1765" s="68"/>
      <c r="D1765" s="70"/>
      <c r="E1765" s="68"/>
      <c r="F1765" s="68"/>
      <c r="G1765" s="68"/>
      <c r="H1765" s="35" t="str">
        <f t="shared" si="6"/>
        <v/>
      </c>
      <c r="I1765" s="25" t="s">
        <v>927</v>
      </c>
    </row>
    <row r="1766">
      <c r="A1766" s="69"/>
      <c r="B1766" s="68"/>
      <c r="C1766" s="68"/>
      <c r="D1766" s="70"/>
      <c r="E1766" s="68"/>
      <c r="F1766" s="68"/>
      <c r="G1766" s="68"/>
      <c r="H1766" s="35" t="str">
        <f t="shared" si="6"/>
        <v/>
      </c>
      <c r="I1766" s="25" t="s">
        <v>927</v>
      </c>
    </row>
    <row r="1767">
      <c r="A1767" s="69"/>
      <c r="B1767" s="68"/>
      <c r="C1767" s="68"/>
      <c r="D1767" s="70"/>
      <c r="E1767" s="68"/>
      <c r="F1767" s="68"/>
      <c r="G1767" s="68"/>
      <c r="H1767" s="35" t="str">
        <f t="shared" si="6"/>
        <v/>
      </c>
      <c r="I1767" s="25" t="s">
        <v>927</v>
      </c>
    </row>
    <row r="1768">
      <c r="A1768" s="69"/>
      <c r="B1768" s="68"/>
      <c r="C1768" s="68"/>
      <c r="D1768" s="70"/>
      <c r="E1768" s="68"/>
      <c r="F1768" s="68"/>
      <c r="G1768" s="68"/>
      <c r="H1768" s="35" t="str">
        <f t="shared" si="6"/>
        <v/>
      </c>
      <c r="I1768" s="25" t="s">
        <v>927</v>
      </c>
    </row>
    <row r="1769">
      <c r="A1769" s="69"/>
      <c r="B1769" s="68"/>
      <c r="C1769" s="68"/>
      <c r="D1769" s="70"/>
      <c r="E1769" s="68"/>
      <c r="F1769" s="68"/>
      <c r="G1769" s="68"/>
      <c r="H1769" s="35" t="str">
        <f t="shared" si="6"/>
        <v/>
      </c>
      <c r="I1769" s="25" t="s">
        <v>927</v>
      </c>
    </row>
    <row r="1770">
      <c r="A1770" s="69"/>
      <c r="B1770" s="68"/>
      <c r="C1770" s="68"/>
      <c r="D1770" s="70"/>
      <c r="E1770" s="68"/>
      <c r="F1770" s="68"/>
      <c r="G1770" s="68"/>
      <c r="H1770" s="35" t="str">
        <f t="shared" si="6"/>
        <v/>
      </c>
      <c r="I1770" s="25" t="s">
        <v>927</v>
      </c>
    </row>
    <row r="1771">
      <c r="A1771" s="69"/>
      <c r="B1771" s="68"/>
      <c r="C1771" s="68"/>
      <c r="D1771" s="70"/>
      <c r="E1771" s="68"/>
      <c r="F1771" s="68"/>
      <c r="G1771" s="68"/>
      <c r="H1771" s="35" t="str">
        <f t="shared" si="6"/>
        <v/>
      </c>
      <c r="I1771" s="25" t="s">
        <v>927</v>
      </c>
    </row>
    <row r="1772">
      <c r="A1772" s="69"/>
      <c r="B1772" s="68"/>
      <c r="C1772" s="68"/>
      <c r="D1772" s="70"/>
      <c r="E1772" s="68"/>
      <c r="F1772" s="68"/>
      <c r="G1772" s="68"/>
      <c r="H1772" s="35" t="str">
        <f t="shared" si="6"/>
        <v/>
      </c>
      <c r="I1772" s="25" t="s">
        <v>927</v>
      </c>
    </row>
    <row r="1773">
      <c r="A1773" s="69"/>
      <c r="B1773" s="68"/>
      <c r="C1773" s="68"/>
      <c r="D1773" s="70"/>
      <c r="E1773" s="68"/>
      <c r="F1773" s="68"/>
      <c r="G1773" s="68"/>
      <c r="H1773" s="35" t="str">
        <f t="shared" si="6"/>
        <v/>
      </c>
      <c r="I1773" s="25" t="s">
        <v>927</v>
      </c>
    </row>
    <row r="1774">
      <c r="A1774" s="69"/>
      <c r="B1774" s="68"/>
      <c r="C1774" s="68"/>
      <c r="D1774" s="70"/>
      <c r="E1774" s="68"/>
      <c r="F1774" s="68"/>
      <c r="G1774" s="68"/>
      <c r="H1774" s="35" t="str">
        <f t="shared" si="6"/>
        <v/>
      </c>
      <c r="I1774" s="25" t="s">
        <v>927</v>
      </c>
    </row>
    <row r="1775">
      <c r="A1775" s="69"/>
      <c r="B1775" s="68"/>
      <c r="C1775" s="68"/>
      <c r="D1775" s="70"/>
      <c r="E1775" s="68"/>
      <c r="F1775" s="68"/>
      <c r="G1775" s="68"/>
      <c r="H1775" s="35" t="str">
        <f t="shared" si="6"/>
        <v/>
      </c>
      <c r="I1775" s="25" t="s">
        <v>927</v>
      </c>
    </row>
    <row r="1776">
      <c r="A1776" s="69"/>
      <c r="B1776" s="68"/>
      <c r="C1776" s="68"/>
      <c r="D1776" s="70"/>
      <c r="E1776" s="68"/>
      <c r="F1776" s="68"/>
      <c r="G1776" s="68"/>
      <c r="H1776" s="35" t="str">
        <f t="shared" si="6"/>
        <v/>
      </c>
      <c r="I1776" s="25" t="s">
        <v>927</v>
      </c>
    </row>
    <row r="1777">
      <c r="A1777" s="69"/>
      <c r="B1777" s="68"/>
      <c r="C1777" s="68"/>
      <c r="D1777" s="70"/>
      <c r="E1777" s="68"/>
      <c r="F1777" s="68"/>
      <c r="G1777" s="68"/>
      <c r="H1777" s="35" t="str">
        <f t="shared" si="6"/>
        <v/>
      </c>
      <c r="I1777" s="25" t="s">
        <v>927</v>
      </c>
    </row>
    <row r="1778">
      <c r="A1778" s="69"/>
      <c r="B1778" s="68"/>
      <c r="C1778" s="68"/>
      <c r="D1778" s="70"/>
      <c r="E1778" s="68"/>
      <c r="F1778" s="68"/>
      <c r="G1778" s="68"/>
      <c r="H1778" s="35" t="str">
        <f t="shared" si="6"/>
        <v/>
      </c>
      <c r="I1778" s="25" t="s">
        <v>927</v>
      </c>
    </row>
    <row r="1779">
      <c r="A1779" s="69"/>
      <c r="B1779" s="68"/>
      <c r="C1779" s="68"/>
      <c r="D1779" s="70"/>
      <c r="E1779" s="68"/>
      <c r="F1779" s="68"/>
      <c r="G1779" s="68"/>
      <c r="H1779" s="35" t="str">
        <f t="shared" si="6"/>
        <v/>
      </c>
      <c r="I1779" s="25" t="s">
        <v>927</v>
      </c>
    </row>
    <row r="1780">
      <c r="A1780" s="69"/>
      <c r="B1780" s="68"/>
      <c r="C1780" s="68"/>
      <c r="D1780" s="70"/>
      <c r="E1780" s="68"/>
      <c r="F1780" s="68"/>
      <c r="G1780" s="68"/>
      <c r="H1780" s="35" t="str">
        <f t="shared" si="6"/>
        <v/>
      </c>
      <c r="I1780" s="25" t="s">
        <v>927</v>
      </c>
    </row>
    <row r="1781">
      <c r="A1781" s="69"/>
      <c r="B1781" s="68"/>
      <c r="C1781" s="68"/>
      <c r="D1781" s="70"/>
      <c r="E1781" s="68"/>
      <c r="F1781" s="68"/>
      <c r="G1781" s="68"/>
      <c r="H1781" s="35" t="str">
        <f t="shared" si="6"/>
        <v/>
      </c>
      <c r="I1781" s="25" t="s">
        <v>927</v>
      </c>
    </row>
    <row r="1782">
      <c r="A1782" s="69"/>
      <c r="B1782" s="68"/>
      <c r="C1782" s="68"/>
      <c r="D1782" s="70"/>
      <c r="E1782" s="68"/>
      <c r="F1782" s="68"/>
      <c r="G1782" s="68"/>
      <c r="H1782" s="35" t="str">
        <f t="shared" si="6"/>
        <v/>
      </c>
      <c r="I1782" s="25" t="s">
        <v>927</v>
      </c>
    </row>
    <row r="1783">
      <c r="A1783" s="69"/>
      <c r="B1783" s="68"/>
      <c r="C1783" s="68"/>
      <c r="D1783" s="70"/>
      <c r="E1783" s="68"/>
      <c r="F1783" s="68"/>
      <c r="G1783" s="68"/>
      <c r="H1783" s="35" t="str">
        <f t="shared" si="6"/>
        <v/>
      </c>
      <c r="I1783" s="25" t="s">
        <v>927</v>
      </c>
    </row>
    <row r="1784">
      <c r="A1784" s="69"/>
      <c r="B1784" s="68"/>
      <c r="C1784" s="68"/>
      <c r="D1784" s="70"/>
      <c r="E1784" s="68"/>
      <c r="F1784" s="68"/>
      <c r="G1784" s="68"/>
      <c r="H1784" s="35" t="str">
        <f t="shared" si="6"/>
        <v/>
      </c>
      <c r="I1784" s="25" t="s">
        <v>927</v>
      </c>
    </row>
    <row r="1785">
      <c r="A1785" s="69"/>
      <c r="B1785" s="68"/>
      <c r="C1785" s="68"/>
      <c r="D1785" s="70"/>
      <c r="E1785" s="68"/>
      <c r="F1785" s="68"/>
      <c r="G1785" s="68"/>
      <c r="H1785" s="35" t="str">
        <f t="shared" si="6"/>
        <v/>
      </c>
      <c r="I1785" s="25" t="s">
        <v>927</v>
      </c>
    </row>
    <row r="1786">
      <c r="A1786" s="69"/>
      <c r="B1786" s="68"/>
      <c r="C1786" s="68"/>
      <c r="D1786" s="70"/>
      <c r="E1786" s="68"/>
      <c r="F1786" s="68"/>
      <c r="G1786" s="68"/>
      <c r="H1786" s="35" t="str">
        <f t="shared" si="6"/>
        <v/>
      </c>
      <c r="I1786" s="25" t="s">
        <v>927</v>
      </c>
    </row>
    <row r="1787">
      <c r="A1787" s="69"/>
      <c r="B1787" s="68"/>
      <c r="C1787" s="68"/>
      <c r="D1787" s="70"/>
      <c r="E1787" s="68"/>
      <c r="F1787" s="68"/>
      <c r="G1787" s="68"/>
      <c r="H1787" s="35" t="str">
        <f t="shared" si="6"/>
        <v/>
      </c>
      <c r="I1787" s="25" t="s">
        <v>927</v>
      </c>
    </row>
    <row r="1788">
      <c r="A1788" s="69"/>
      <c r="B1788" s="68"/>
      <c r="C1788" s="68"/>
      <c r="D1788" s="70"/>
      <c r="E1788" s="68"/>
      <c r="F1788" s="68"/>
      <c r="G1788" s="68"/>
      <c r="H1788" s="35" t="str">
        <f t="shared" si="6"/>
        <v/>
      </c>
      <c r="I1788" s="25" t="s">
        <v>927</v>
      </c>
    </row>
    <row r="1789">
      <c r="A1789" s="69"/>
      <c r="B1789" s="68"/>
      <c r="C1789" s="68"/>
      <c r="D1789" s="70"/>
      <c r="E1789" s="68"/>
      <c r="F1789" s="68"/>
      <c r="G1789" s="68"/>
      <c r="H1789" s="35" t="str">
        <f t="shared" si="6"/>
        <v/>
      </c>
      <c r="I1789" s="25" t="s">
        <v>927</v>
      </c>
    </row>
    <row r="1790">
      <c r="A1790" s="69"/>
      <c r="B1790" s="68"/>
      <c r="C1790" s="68"/>
      <c r="D1790" s="70"/>
      <c r="E1790" s="68"/>
      <c r="F1790" s="68"/>
      <c r="G1790" s="68"/>
      <c r="H1790" s="35" t="str">
        <f t="shared" si="6"/>
        <v/>
      </c>
      <c r="I1790" s="25" t="s">
        <v>927</v>
      </c>
    </row>
    <row r="1791">
      <c r="A1791" s="69"/>
      <c r="B1791" s="68"/>
      <c r="C1791" s="68"/>
      <c r="D1791" s="70"/>
      <c r="E1791" s="68"/>
      <c r="F1791" s="68"/>
      <c r="G1791" s="68"/>
      <c r="H1791" s="35" t="str">
        <f t="shared" si="6"/>
        <v/>
      </c>
      <c r="I1791" s="25" t="s">
        <v>927</v>
      </c>
    </row>
    <row r="1792">
      <c r="A1792" s="69"/>
      <c r="B1792" s="68"/>
      <c r="C1792" s="68"/>
      <c r="D1792" s="70"/>
      <c r="E1792" s="68"/>
      <c r="F1792" s="68"/>
      <c r="G1792" s="68"/>
      <c r="H1792" s="35" t="str">
        <f t="shared" si="6"/>
        <v/>
      </c>
      <c r="I1792" s="25" t="s">
        <v>927</v>
      </c>
    </row>
    <row r="1793">
      <c r="A1793" s="69"/>
      <c r="B1793" s="68"/>
      <c r="C1793" s="68"/>
      <c r="D1793" s="70"/>
      <c r="E1793" s="68"/>
      <c r="F1793" s="68"/>
      <c r="G1793" s="68"/>
      <c r="H1793" s="35" t="str">
        <f t="shared" si="6"/>
        <v/>
      </c>
      <c r="I1793" s="25" t="s">
        <v>927</v>
      </c>
    </row>
    <row r="1794">
      <c r="A1794" s="69"/>
      <c r="B1794" s="68"/>
      <c r="C1794" s="68"/>
      <c r="D1794" s="70"/>
      <c r="E1794" s="68"/>
      <c r="F1794" s="68"/>
      <c r="G1794" s="68"/>
      <c r="H1794" s="35" t="str">
        <f t="shared" si="6"/>
        <v/>
      </c>
      <c r="I1794" s="25" t="s">
        <v>927</v>
      </c>
    </row>
    <row r="1795">
      <c r="A1795" s="69"/>
      <c r="B1795" s="68"/>
      <c r="C1795" s="68"/>
      <c r="D1795" s="70"/>
      <c r="E1795" s="68"/>
      <c r="F1795" s="68"/>
      <c r="G1795" s="68"/>
      <c r="H1795" s="35" t="str">
        <f t="shared" si="6"/>
        <v/>
      </c>
      <c r="I1795" s="25" t="s">
        <v>927</v>
      </c>
    </row>
    <row r="1796">
      <c r="A1796" s="69"/>
      <c r="B1796" s="68"/>
      <c r="C1796" s="68"/>
      <c r="D1796" s="70"/>
      <c r="E1796" s="68"/>
      <c r="F1796" s="68"/>
      <c r="G1796" s="68"/>
      <c r="H1796" s="35" t="str">
        <f t="shared" si="6"/>
        <v/>
      </c>
      <c r="I1796" s="25" t="s">
        <v>927</v>
      </c>
    </row>
    <row r="1797">
      <c r="A1797" s="69"/>
      <c r="B1797" s="68"/>
      <c r="C1797" s="68"/>
      <c r="D1797" s="70"/>
      <c r="E1797" s="68"/>
      <c r="F1797" s="68"/>
      <c r="G1797" s="68"/>
      <c r="H1797" s="35" t="str">
        <f t="shared" si="6"/>
        <v/>
      </c>
      <c r="I1797" s="25" t="s">
        <v>927</v>
      </c>
    </row>
    <row r="1798">
      <c r="A1798" s="69"/>
      <c r="B1798" s="68"/>
      <c r="C1798" s="68"/>
      <c r="D1798" s="70"/>
      <c r="E1798" s="68"/>
      <c r="F1798" s="68"/>
      <c r="G1798" s="68"/>
      <c r="H1798" s="35" t="str">
        <f t="shared" si="6"/>
        <v/>
      </c>
      <c r="I1798" s="25" t="s">
        <v>927</v>
      </c>
    </row>
    <row r="1799">
      <c r="A1799" s="69"/>
      <c r="B1799" s="68"/>
      <c r="C1799" s="68"/>
      <c r="D1799" s="70"/>
      <c r="E1799" s="68"/>
      <c r="F1799" s="68"/>
      <c r="G1799" s="68"/>
      <c r="H1799" s="35" t="str">
        <f t="shared" si="6"/>
        <v/>
      </c>
      <c r="I1799" s="25" t="s">
        <v>927</v>
      </c>
    </row>
    <row r="1800">
      <c r="A1800" s="69"/>
      <c r="B1800" s="68"/>
      <c r="C1800" s="68"/>
      <c r="D1800" s="70"/>
      <c r="E1800" s="68"/>
      <c r="F1800" s="68"/>
      <c r="G1800" s="68"/>
      <c r="H1800" s="35" t="str">
        <f t="shared" si="6"/>
        <v/>
      </c>
      <c r="I1800" s="25" t="s">
        <v>927</v>
      </c>
    </row>
    <row r="1801">
      <c r="A1801" s="69"/>
      <c r="B1801" s="68"/>
      <c r="C1801" s="68"/>
      <c r="D1801" s="70"/>
      <c r="E1801" s="68"/>
      <c r="F1801" s="68"/>
      <c r="G1801" s="68"/>
      <c r="H1801" s="35" t="str">
        <f t="shared" si="6"/>
        <v/>
      </c>
      <c r="I1801" s="25" t="s">
        <v>927</v>
      </c>
    </row>
    <row r="1802">
      <c r="A1802" s="69"/>
      <c r="B1802" s="68"/>
      <c r="C1802" s="68"/>
      <c r="D1802" s="70"/>
      <c r="E1802" s="68"/>
      <c r="F1802" s="68"/>
      <c r="G1802" s="68"/>
      <c r="H1802" s="35" t="str">
        <f t="shared" si="6"/>
        <v/>
      </c>
      <c r="I1802" s="25" t="s">
        <v>927</v>
      </c>
    </row>
    <row r="1803">
      <c r="A1803" s="69"/>
      <c r="B1803" s="68"/>
      <c r="C1803" s="68"/>
      <c r="D1803" s="70"/>
      <c r="E1803" s="68"/>
      <c r="F1803" s="68"/>
      <c r="G1803" s="68"/>
      <c r="H1803" s="35" t="str">
        <f t="shared" si="6"/>
        <v/>
      </c>
      <c r="I1803" s="25" t="s">
        <v>927</v>
      </c>
    </row>
    <row r="1804">
      <c r="A1804" s="69"/>
      <c r="B1804" s="68"/>
      <c r="C1804" s="68"/>
      <c r="D1804" s="70"/>
      <c r="E1804" s="68"/>
      <c r="F1804" s="68"/>
      <c r="G1804" s="68"/>
      <c r="H1804" s="35" t="str">
        <f t="shared" si="6"/>
        <v/>
      </c>
      <c r="I1804" s="25" t="s">
        <v>927</v>
      </c>
    </row>
    <row r="1805">
      <c r="A1805" s="69"/>
      <c r="B1805" s="68"/>
      <c r="C1805" s="68"/>
      <c r="D1805" s="70"/>
      <c r="E1805" s="68"/>
      <c r="F1805" s="68"/>
      <c r="G1805" s="68"/>
      <c r="H1805" s="35" t="str">
        <f t="shared" si="6"/>
        <v/>
      </c>
      <c r="I1805" s="25" t="s">
        <v>927</v>
      </c>
    </row>
    <row r="1806">
      <c r="A1806" s="69"/>
      <c r="B1806" s="68"/>
      <c r="C1806" s="68"/>
      <c r="D1806" s="70"/>
      <c r="E1806" s="68"/>
      <c r="F1806" s="68"/>
      <c r="G1806" s="68"/>
      <c r="H1806" s="35" t="str">
        <f t="shared" si="6"/>
        <v/>
      </c>
      <c r="I1806" s="25" t="s">
        <v>927</v>
      </c>
    </row>
    <row r="1807">
      <c r="A1807" s="69"/>
      <c r="B1807" s="68"/>
      <c r="C1807" s="68"/>
      <c r="D1807" s="70"/>
      <c r="E1807" s="68"/>
      <c r="F1807" s="68"/>
      <c r="G1807" s="68"/>
      <c r="H1807" s="35" t="str">
        <f t="shared" si="6"/>
        <v/>
      </c>
      <c r="I1807" s="25" t="s">
        <v>927</v>
      </c>
    </row>
    <row r="1808">
      <c r="A1808" s="69"/>
      <c r="B1808" s="68"/>
      <c r="C1808" s="68"/>
      <c r="D1808" s="70"/>
      <c r="E1808" s="68"/>
      <c r="F1808" s="68"/>
      <c r="G1808" s="68"/>
      <c r="H1808" s="35" t="str">
        <f t="shared" si="6"/>
        <v/>
      </c>
      <c r="I1808" s="25" t="s">
        <v>927</v>
      </c>
    </row>
    <row r="1809">
      <c r="A1809" s="69"/>
      <c r="B1809" s="68"/>
      <c r="C1809" s="68"/>
      <c r="D1809" s="70"/>
      <c r="E1809" s="68"/>
      <c r="F1809" s="68"/>
      <c r="G1809" s="68"/>
      <c r="H1809" s="35" t="str">
        <f t="shared" si="6"/>
        <v/>
      </c>
      <c r="I1809" s="25" t="s">
        <v>927</v>
      </c>
    </row>
    <row r="1810">
      <c r="A1810" s="69"/>
      <c r="B1810" s="68"/>
      <c r="C1810" s="68"/>
      <c r="D1810" s="70"/>
      <c r="E1810" s="68"/>
      <c r="F1810" s="68"/>
      <c r="G1810" s="68"/>
      <c r="H1810" s="35" t="str">
        <f t="shared" si="6"/>
        <v/>
      </c>
      <c r="I1810" s="25" t="s">
        <v>927</v>
      </c>
    </row>
    <row r="1811">
      <c r="A1811" s="69"/>
      <c r="B1811" s="68"/>
      <c r="C1811" s="68"/>
      <c r="D1811" s="70"/>
      <c r="E1811" s="68"/>
      <c r="F1811" s="68"/>
      <c r="G1811" s="68"/>
      <c r="H1811" s="35" t="str">
        <f t="shared" si="6"/>
        <v/>
      </c>
      <c r="I1811" s="25" t="s">
        <v>927</v>
      </c>
    </row>
    <row r="1812">
      <c r="A1812" s="69"/>
      <c r="B1812" s="68"/>
      <c r="C1812" s="68"/>
      <c r="D1812" s="70"/>
      <c r="E1812" s="68"/>
      <c r="F1812" s="68"/>
      <c r="G1812" s="68"/>
      <c r="H1812" s="35" t="str">
        <f t="shared" si="6"/>
        <v/>
      </c>
      <c r="I1812" s="25" t="s">
        <v>927</v>
      </c>
    </row>
    <row r="1813">
      <c r="A1813" s="69"/>
      <c r="B1813" s="68"/>
      <c r="C1813" s="68"/>
      <c r="D1813" s="70"/>
      <c r="E1813" s="68"/>
      <c r="F1813" s="68"/>
      <c r="G1813" s="68"/>
      <c r="H1813" s="35" t="str">
        <f t="shared" si="6"/>
        <v/>
      </c>
      <c r="I1813" s="25" t="s">
        <v>927</v>
      </c>
    </row>
    <row r="1814">
      <c r="A1814" s="69"/>
      <c r="B1814" s="68"/>
      <c r="C1814" s="68"/>
      <c r="D1814" s="70"/>
      <c r="E1814" s="68"/>
      <c r="F1814" s="68"/>
      <c r="G1814" s="68"/>
      <c r="H1814" s="35" t="str">
        <f t="shared" si="6"/>
        <v/>
      </c>
      <c r="I1814" s="25" t="s">
        <v>927</v>
      </c>
    </row>
    <row r="1815">
      <c r="A1815" s="69"/>
      <c r="B1815" s="68"/>
      <c r="C1815" s="68"/>
      <c r="D1815" s="70"/>
      <c r="E1815" s="68"/>
      <c r="F1815" s="68"/>
      <c r="G1815" s="68"/>
      <c r="H1815" s="35" t="str">
        <f t="shared" si="6"/>
        <v/>
      </c>
      <c r="I1815" s="25" t="s">
        <v>927</v>
      </c>
    </row>
    <row r="1816">
      <c r="A1816" s="69"/>
      <c r="B1816" s="68"/>
      <c r="C1816" s="68"/>
      <c r="D1816" s="70"/>
      <c r="E1816" s="68"/>
      <c r="F1816" s="68"/>
      <c r="G1816" s="68"/>
      <c r="H1816" s="35" t="str">
        <f t="shared" si="6"/>
        <v/>
      </c>
      <c r="I1816" s="25" t="s">
        <v>927</v>
      </c>
    </row>
    <row r="1817">
      <c r="A1817" s="69"/>
      <c r="B1817" s="68"/>
      <c r="C1817" s="68"/>
      <c r="D1817" s="70"/>
      <c r="E1817" s="68"/>
      <c r="F1817" s="68"/>
      <c r="G1817" s="68"/>
      <c r="H1817" s="35" t="str">
        <f t="shared" si="6"/>
        <v/>
      </c>
      <c r="I1817" s="25" t="s">
        <v>927</v>
      </c>
    </row>
    <row r="1818">
      <c r="A1818" s="69"/>
      <c r="B1818" s="68"/>
      <c r="C1818" s="68"/>
      <c r="D1818" s="70"/>
      <c r="E1818" s="68"/>
      <c r="F1818" s="68"/>
      <c r="G1818" s="68"/>
      <c r="H1818" s="35" t="str">
        <f t="shared" si="6"/>
        <v/>
      </c>
      <c r="I1818" s="25" t="s">
        <v>927</v>
      </c>
    </row>
    <row r="1819">
      <c r="A1819" s="69"/>
      <c r="B1819" s="68"/>
      <c r="C1819" s="68"/>
      <c r="D1819" s="70"/>
      <c r="E1819" s="68"/>
      <c r="F1819" s="68"/>
      <c r="G1819" s="68"/>
      <c r="H1819" s="35" t="str">
        <f t="shared" si="6"/>
        <v/>
      </c>
      <c r="I1819" s="25" t="s">
        <v>927</v>
      </c>
    </row>
    <row r="1820">
      <c r="A1820" s="69"/>
      <c r="B1820" s="68"/>
      <c r="C1820" s="68"/>
      <c r="D1820" s="70"/>
      <c r="E1820" s="68"/>
      <c r="F1820" s="68"/>
      <c r="G1820" s="68"/>
      <c r="H1820" s="35" t="str">
        <f t="shared" si="6"/>
        <v/>
      </c>
      <c r="I1820" s="25" t="s">
        <v>927</v>
      </c>
    </row>
    <row r="1821">
      <c r="A1821" s="69"/>
      <c r="B1821" s="68"/>
      <c r="C1821" s="68"/>
      <c r="D1821" s="70"/>
      <c r="E1821" s="68"/>
      <c r="F1821" s="68"/>
      <c r="G1821" s="68"/>
      <c r="H1821" s="35" t="str">
        <f t="shared" si="6"/>
        <v/>
      </c>
      <c r="I1821" s="25" t="s">
        <v>927</v>
      </c>
    </row>
    <row r="1822">
      <c r="A1822" s="69"/>
      <c r="B1822" s="68"/>
      <c r="C1822" s="68"/>
      <c r="D1822" s="70"/>
      <c r="E1822" s="68"/>
      <c r="F1822" s="68"/>
      <c r="G1822" s="68"/>
      <c r="H1822" s="35" t="str">
        <f t="shared" si="6"/>
        <v/>
      </c>
      <c r="I1822" s="25" t="s">
        <v>927</v>
      </c>
    </row>
    <row r="1823">
      <c r="A1823" s="69"/>
      <c r="B1823" s="68"/>
      <c r="C1823" s="68"/>
      <c r="D1823" s="70"/>
      <c r="E1823" s="68"/>
      <c r="F1823" s="68"/>
      <c r="G1823" s="68"/>
      <c r="H1823" s="35" t="str">
        <f t="shared" si="6"/>
        <v/>
      </c>
      <c r="I1823" s="25" t="s">
        <v>927</v>
      </c>
    </row>
    <row r="1824">
      <c r="A1824" s="69"/>
      <c r="B1824" s="68"/>
      <c r="C1824" s="68"/>
      <c r="D1824" s="70"/>
      <c r="E1824" s="68"/>
      <c r="F1824" s="68"/>
      <c r="G1824" s="68"/>
      <c r="H1824" s="35" t="str">
        <f t="shared" si="6"/>
        <v/>
      </c>
      <c r="I1824" s="25" t="s">
        <v>927</v>
      </c>
    </row>
    <row r="1825">
      <c r="A1825" s="69"/>
      <c r="B1825" s="68"/>
      <c r="C1825" s="68"/>
      <c r="D1825" s="70"/>
      <c r="E1825" s="68"/>
      <c r="F1825" s="68"/>
      <c r="G1825" s="68"/>
      <c r="H1825" s="35" t="str">
        <f t="shared" si="6"/>
        <v/>
      </c>
      <c r="I1825" s="25" t="s">
        <v>927</v>
      </c>
    </row>
    <row r="1826">
      <c r="A1826" s="69"/>
      <c r="B1826" s="68"/>
      <c r="C1826" s="68"/>
      <c r="D1826" s="70"/>
      <c r="E1826" s="68"/>
      <c r="F1826" s="68"/>
      <c r="G1826" s="68"/>
      <c r="H1826" s="35" t="str">
        <f t="shared" si="6"/>
        <v/>
      </c>
      <c r="I1826" s="25" t="s">
        <v>927</v>
      </c>
    </row>
    <row r="1827">
      <c r="A1827" s="69"/>
      <c r="B1827" s="68"/>
      <c r="C1827" s="68"/>
      <c r="D1827" s="70"/>
      <c r="E1827" s="68"/>
      <c r="F1827" s="68"/>
      <c r="G1827" s="68"/>
      <c r="H1827" s="35" t="str">
        <f t="shared" si="6"/>
        <v/>
      </c>
      <c r="I1827" s="25" t="s">
        <v>927</v>
      </c>
    </row>
    <row r="1828">
      <c r="A1828" s="69"/>
      <c r="B1828" s="68"/>
      <c r="C1828" s="68"/>
      <c r="D1828" s="70"/>
      <c r="E1828" s="68"/>
      <c r="F1828" s="68"/>
      <c r="G1828" s="68"/>
      <c r="H1828" s="35" t="str">
        <f t="shared" si="6"/>
        <v/>
      </c>
      <c r="I1828" s="25" t="s">
        <v>927</v>
      </c>
    </row>
    <row r="1829">
      <c r="A1829" s="69"/>
      <c r="B1829" s="68"/>
      <c r="C1829" s="68"/>
      <c r="D1829" s="70"/>
      <c r="E1829" s="68"/>
      <c r="F1829" s="68"/>
      <c r="G1829" s="68"/>
      <c r="H1829" s="35" t="str">
        <f t="shared" si="6"/>
        <v/>
      </c>
      <c r="I1829" s="25" t="s">
        <v>927</v>
      </c>
    </row>
    <row r="1830">
      <c r="A1830" s="69"/>
      <c r="B1830" s="68"/>
      <c r="C1830" s="68"/>
      <c r="D1830" s="70"/>
      <c r="E1830" s="68"/>
      <c r="F1830" s="68"/>
      <c r="G1830" s="68"/>
      <c r="H1830" s="35" t="str">
        <f t="shared" si="6"/>
        <v/>
      </c>
      <c r="I1830" s="25" t="s">
        <v>927</v>
      </c>
    </row>
    <row r="1831">
      <c r="A1831" s="69"/>
      <c r="B1831" s="68"/>
      <c r="C1831" s="68"/>
      <c r="D1831" s="70"/>
      <c r="E1831" s="68"/>
      <c r="F1831" s="68"/>
      <c r="G1831" s="68"/>
      <c r="H1831" s="35" t="str">
        <f t="shared" si="6"/>
        <v/>
      </c>
      <c r="I1831" s="25" t="s">
        <v>927</v>
      </c>
    </row>
    <row r="1832">
      <c r="A1832" s="69"/>
      <c r="B1832" s="68"/>
      <c r="C1832" s="68"/>
      <c r="D1832" s="70"/>
      <c r="E1832" s="68"/>
      <c r="F1832" s="68"/>
      <c r="G1832" s="68"/>
      <c r="H1832" s="35" t="str">
        <f t="shared" si="6"/>
        <v/>
      </c>
      <c r="I1832" s="25" t="s">
        <v>927</v>
      </c>
    </row>
    <row r="1833">
      <c r="A1833" s="69"/>
      <c r="B1833" s="68"/>
      <c r="C1833" s="68"/>
      <c r="D1833" s="70"/>
      <c r="E1833" s="68"/>
      <c r="F1833" s="68"/>
      <c r="G1833" s="68"/>
      <c r="H1833" s="35" t="str">
        <f t="shared" si="6"/>
        <v/>
      </c>
      <c r="I1833" s="25" t="s">
        <v>927</v>
      </c>
    </row>
    <row r="1834">
      <c r="A1834" s="69"/>
      <c r="B1834" s="68"/>
      <c r="C1834" s="68"/>
      <c r="D1834" s="70"/>
      <c r="E1834" s="68"/>
      <c r="F1834" s="68"/>
      <c r="G1834" s="68"/>
      <c r="H1834" s="35" t="str">
        <f t="shared" si="6"/>
        <v/>
      </c>
      <c r="I1834" s="25" t="s">
        <v>927</v>
      </c>
    </row>
    <row r="1835">
      <c r="A1835" s="69"/>
      <c r="B1835" s="68"/>
      <c r="C1835" s="68"/>
      <c r="D1835" s="70"/>
      <c r="E1835" s="68"/>
      <c r="F1835" s="68"/>
      <c r="G1835" s="68"/>
      <c r="H1835" s="35" t="str">
        <f t="shared" si="6"/>
        <v/>
      </c>
      <c r="I1835" s="25" t="s">
        <v>927</v>
      </c>
    </row>
    <row r="1836">
      <c r="A1836" s="69"/>
      <c r="B1836" s="68"/>
      <c r="C1836" s="68"/>
      <c r="D1836" s="70"/>
      <c r="E1836" s="68"/>
      <c r="F1836" s="68"/>
      <c r="G1836" s="68"/>
      <c r="H1836" s="35" t="str">
        <f t="shared" si="6"/>
        <v/>
      </c>
      <c r="I1836" s="25" t="s">
        <v>927</v>
      </c>
    </row>
    <row r="1837">
      <c r="A1837" s="69"/>
      <c r="B1837" s="68"/>
      <c r="C1837" s="68"/>
      <c r="D1837" s="70"/>
      <c r="E1837" s="68"/>
      <c r="F1837" s="68"/>
      <c r="G1837" s="68"/>
      <c r="H1837" s="35" t="str">
        <f t="shared" si="6"/>
        <v/>
      </c>
      <c r="I1837" s="25" t="s">
        <v>927</v>
      </c>
    </row>
    <row r="1838">
      <c r="A1838" s="69"/>
      <c r="B1838" s="68"/>
      <c r="C1838" s="68"/>
      <c r="D1838" s="70"/>
      <c r="E1838" s="68"/>
      <c r="F1838" s="68"/>
      <c r="G1838" s="68"/>
      <c r="H1838" s="35" t="str">
        <f t="shared" si="6"/>
        <v/>
      </c>
      <c r="I1838" s="25" t="s">
        <v>927</v>
      </c>
    </row>
    <row r="1839">
      <c r="A1839" s="69"/>
      <c r="B1839" s="68"/>
      <c r="C1839" s="68"/>
      <c r="D1839" s="70"/>
      <c r="E1839" s="68"/>
      <c r="F1839" s="68"/>
      <c r="G1839" s="68"/>
      <c r="H1839" s="35" t="str">
        <f t="shared" si="6"/>
        <v/>
      </c>
      <c r="I1839" s="25" t="s">
        <v>927</v>
      </c>
    </row>
    <row r="1840">
      <c r="A1840" s="69"/>
      <c r="B1840" s="68"/>
      <c r="C1840" s="68"/>
      <c r="D1840" s="70"/>
      <c r="E1840" s="68"/>
      <c r="F1840" s="68"/>
      <c r="G1840" s="68"/>
      <c r="H1840" s="35" t="str">
        <f t="shared" si="6"/>
        <v/>
      </c>
      <c r="I1840" s="25" t="s">
        <v>927</v>
      </c>
    </row>
    <row r="1841">
      <c r="A1841" s="69"/>
      <c r="B1841" s="68"/>
      <c r="C1841" s="68"/>
      <c r="D1841" s="70"/>
      <c r="E1841" s="68"/>
      <c r="F1841" s="68"/>
      <c r="G1841" s="68"/>
      <c r="H1841" s="35" t="str">
        <f t="shared" si="6"/>
        <v/>
      </c>
      <c r="I1841" s="25" t="s">
        <v>927</v>
      </c>
    </row>
    <row r="1842">
      <c r="A1842" s="69"/>
      <c r="B1842" s="68"/>
      <c r="C1842" s="68"/>
      <c r="D1842" s="70"/>
      <c r="E1842" s="68"/>
      <c r="F1842" s="68"/>
      <c r="G1842" s="68"/>
      <c r="H1842" s="35" t="str">
        <f t="shared" si="6"/>
        <v/>
      </c>
      <c r="I1842" s="25" t="s">
        <v>927</v>
      </c>
    </row>
    <row r="1843">
      <c r="A1843" s="69"/>
      <c r="B1843" s="68"/>
      <c r="C1843" s="68"/>
      <c r="D1843" s="70"/>
      <c r="E1843" s="68"/>
      <c r="F1843" s="68"/>
      <c r="G1843" s="68"/>
      <c r="H1843" s="35" t="str">
        <f t="shared" si="6"/>
        <v/>
      </c>
      <c r="I1843" s="25" t="s">
        <v>927</v>
      </c>
    </row>
    <row r="1844">
      <c r="A1844" s="69"/>
      <c r="B1844" s="68"/>
      <c r="C1844" s="68"/>
      <c r="D1844" s="70"/>
      <c r="E1844" s="68"/>
      <c r="F1844" s="68"/>
      <c r="G1844" s="68"/>
      <c r="H1844" s="35" t="str">
        <f t="shared" si="6"/>
        <v/>
      </c>
      <c r="I1844" s="25" t="s">
        <v>927</v>
      </c>
    </row>
    <row r="1845">
      <c r="A1845" s="69"/>
      <c r="B1845" s="68"/>
      <c r="C1845" s="68"/>
      <c r="D1845" s="70"/>
      <c r="E1845" s="68"/>
      <c r="F1845" s="68"/>
      <c r="G1845" s="68"/>
      <c r="H1845" s="35" t="str">
        <f t="shared" si="6"/>
        <v/>
      </c>
      <c r="I1845" s="25" t="s">
        <v>927</v>
      </c>
    </row>
    <row r="1846">
      <c r="A1846" s="69"/>
      <c r="B1846" s="68"/>
      <c r="C1846" s="68"/>
      <c r="D1846" s="70"/>
      <c r="E1846" s="68"/>
      <c r="F1846" s="68"/>
      <c r="G1846" s="68"/>
      <c r="H1846" s="35" t="str">
        <f t="shared" si="6"/>
        <v/>
      </c>
      <c r="I1846" s="25" t="s">
        <v>927</v>
      </c>
    </row>
    <row r="1847">
      <c r="A1847" s="69"/>
      <c r="B1847" s="68"/>
      <c r="C1847" s="68"/>
      <c r="D1847" s="70"/>
      <c r="E1847" s="68"/>
      <c r="F1847" s="68"/>
      <c r="G1847" s="68"/>
      <c r="H1847" s="35" t="str">
        <f t="shared" si="6"/>
        <v/>
      </c>
      <c r="I1847" s="25" t="s">
        <v>927</v>
      </c>
    </row>
    <row r="1848">
      <c r="A1848" s="69"/>
      <c r="B1848" s="68"/>
      <c r="C1848" s="68"/>
      <c r="D1848" s="70"/>
      <c r="E1848" s="68"/>
      <c r="F1848" s="68"/>
      <c r="G1848" s="68"/>
      <c r="H1848" s="35" t="str">
        <f t="shared" si="6"/>
        <v/>
      </c>
      <c r="I1848" s="25" t="s">
        <v>927</v>
      </c>
    </row>
    <row r="1849">
      <c r="A1849" s="69"/>
      <c r="B1849" s="68"/>
      <c r="C1849" s="68"/>
      <c r="D1849" s="70"/>
      <c r="E1849" s="68"/>
      <c r="F1849" s="68"/>
      <c r="G1849" s="68"/>
      <c r="H1849" s="35" t="str">
        <f t="shared" si="6"/>
        <v/>
      </c>
      <c r="I1849" s="25" t="s">
        <v>927</v>
      </c>
    </row>
    <row r="1850">
      <c r="A1850" s="69"/>
      <c r="B1850" s="68"/>
      <c r="C1850" s="68"/>
      <c r="D1850" s="70"/>
      <c r="E1850" s="68"/>
      <c r="F1850" s="68"/>
      <c r="G1850" s="68"/>
      <c r="H1850" s="35" t="str">
        <f t="shared" si="6"/>
        <v/>
      </c>
      <c r="I1850" s="25" t="s">
        <v>927</v>
      </c>
    </row>
    <row r="1851">
      <c r="A1851" s="69"/>
      <c r="B1851" s="68"/>
      <c r="C1851" s="68"/>
      <c r="D1851" s="70"/>
      <c r="E1851" s="68"/>
      <c r="F1851" s="68"/>
      <c r="G1851" s="68"/>
      <c r="H1851" s="35" t="str">
        <f t="shared" si="6"/>
        <v/>
      </c>
      <c r="I1851" s="25" t="s">
        <v>927</v>
      </c>
    </row>
    <row r="1852">
      <c r="A1852" s="69"/>
      <c r="B1852" s="68"/>
      <c r="C1852" s="68"/>
      <c r="D1852" s="70"/>
      <c r="E1852" s="68"/>
      <c r="F1852" s="68"/>
      <c r="G1852" s="68"/>
      <c r="H1852" s="35" t="str">
        <f t="shared" si="6"/>
        <v/>
      </c>
      <c r="I1852" s="25" t="s">
        <v>927</v>
      </c>
    </row>
    <row r="1853">
      <c r="A1853" s="69"/>
      <c r="B1853" s="68"/>
      <c r="C1853" s="68"/>
      <c r="D1853" s="70"/>
      <c r="E1853" s="68"/>
      <c r="F1853" s="68"/>
      <c r="G1853" s="68"/>
      <c r="H1853" s="35" t="str">
        <f t="shared" si="6"/>
        <v/>
      </c>
      <c r="I1853" s="25" t="s">
        <v>927</v>
      </c>
    </row>
    <row r="1854">
      <c r="A1854" s="69"/>
      <c r="B1854" s="68"/>
      <c r="C1854" s="68"/>
      <c r="D1854" s="70"/>
      <c r="E1854" s="68"/>
      <c r="F1854" s="68"/>
      <c r="G1854" s="68"/>
      <c r="H1854" s="35" t="str">
        <f t="shared" si="6"/>
        <v/>
      </c>
      <c r="I1854" s="25" t="s">
        <v>927</v>
      </c>
    </row>
    <row r="1855">
      <c r="A1855" s="69"/>
      <c r="B1855" s="68"/>
      <c r="C1855" s="68"/>
      <c r="D1855" s="70"/>
      <c r="E1855" s="68"/>
      <c r="F1855" s="68"/>
      <c r="G1855" s="68"/>
      <c r="H1855" s="35" t="str">
        <f t="shared" si="6"/>
        <v/>
      </c>
      <c r="I1855" s="25" t="s">
        <v>927</v>
      </c>
    </row>
    <row r="1856">
      <c r="A1856" s="69"/>
      <c r="B1856" s="68"/>
      <c r="C1856" s="68"/>
      <c r="D1856" s="70"/>
      <c r="E1856" s="68"/>
      <c r="F1856" s="68"/>
      <c r="G1856" s="68"/>
      <c r="H1856" s="35" t="str">
        <f t="shared" si="6"/>
        <v/>
      </c>
      <c r="I1856" s="25" t="s">
        <v>927</v>
      </c>
    </row>
    <row r="1857">
      <c r="A1857" s="69"/>
      <c r="B1857" s="68"/>
      <c r="C1857" s="68"/>
      <c r="D1857" s="70"/>
      <c r="E1857" s="68"/>
      <c r="F1857" s="68"/>
      <c r="G1857" s="68"/>
      <c r="H1857" s="35" t="str">
        <f t="shared" si="6"/>
        <v/>
      </c>
      <c r="I1857" s="25" t="s">
        <v>927</v>
      </c>
    </row>
    <row r="1858">
      <c r="A1858" s="69"/>
      <c r="B1858" s="68"/>
      <c r="C1858" s="68"/>
      <c r="D1858" s="70"/>
      <c r="E1858" s="68"/>
      <c r="F1858" s="68"/>
      <c r="G1858" s="68"/>
      <c r="H1858" s="35" t="str">
        <f t="shared" si="6"/>
        <v/>
      </c>
      <c r="I1858" s="25" t="s">
        <v>927</v>
      </c>
    </row>
    <row r="1859">
      <c r="A1859" s="69"/>
      <c r="B1859" s="68"/>
      <c r="C1859" s="68"/>
      <c r="D1859" s="70"/>
      <c r="E1859" s="68"/>
      <c r="F1859" s="68"/>
      <c r="G1859" s="68"/>
      <c r="H1859" s="35" t="str">
        <f t="shared" si="6"/>
        <v/>
      </c>
      <c r="I1859" s="25" t="s">
        <v>927</v>
      </c>
    </row>
    <row r="1860">
      <c r="A1860" s="69"/>
      <c r="B1860" s="68"/>
      <c r="C1860" s="68"/>
      <c r="D1860" s="70"/>
      <c r="E1860" s="68"/>
      <c r="F1860" s="68"/>
      <c r="G1860" s="68"/>
      <c r="H1860" s="35" t="str">
        <f t="shared" si="6"/>
        <v/>
      </c>
      <c r="I1860" s="25" t="s">
        <v>927</v>
      </c>
    </row>
    <row r="1861">
      <c r="A1861" s="69"/>
      <c r="B1861" s="68"/>
      <c r="C1861" s="68"/>
      <c r="D1861" s="70"/>
      <c r="E1861" s="68"/>
      <c r="F1861" s="68"/>
      <c r="G1861" s="68"/>
      <c r="H1861" s="35" t="str">
        <f t="shared" si="6"/>
        <v/>
      </c>
      <c r="I1861" s="25" t="s">
        <v>927</v>
      </c>
    </row>
    <row r="1862">
      <c r="A1862" s="69"/>
      <c r="B1862" s="68"/>
      <c r="C1862" s="68"/>
      <c r="D1862" s="70"/>
      <c r="E1862" s="68"/>
      <c r="F1862" s="68"/>
      <c r="G1862" s="68"/>
      <c r="H1862" s="35" t="str">
        <f t="shared" si="6"/>
        <v/>
      </c>
      <c r="I1862" s="25" t="s">
        <v>927</v>
      </c>
    </row>
    <row r="1863">
      <c r="A1863" s="69"/>
      <c r="B1863" s="68"/>
      <c r="C1863" s="68"/>
      <c r="D1863" s="70"/>
      <c r="E1863" s="68"/>
      <c r="F1863" s="68"/>
      <c r="G1863" s="68"/>
      <c r="H1863" s="35" t="str">
        <f t="shared" si="6"/>
        <v/>
      </c>
      <c r="I1863" s="25" t="s">
        <v>927</v>
      </c>
    </row>
    <row r="1864">
      <c r="A1864" s="69"/>
      <c r="B1864" s="68"/>
      <c r="C1864" s="68"/>
      <c r="D1864" s="70"/>
      <c r="E1864" s="68"/>
      <c r="F1864" s="68"/>
      <c r="G1864" s="68"/>
      <c r="H1864" s="35" t="str">
        <f t="shared" si="6"/>
        <v/>
      </c>
      <c r="I1864" s="25" t="s">
        <v>927</v>
      </c>
    </row>
    <row r="1865">
      <c r="A1865" s="69"/>
      <c r="B1865" s="68"/>
      <c r="C1865" s="68"/>
      <c r="D1865" s="70"/>
      <c r="E1865" s="68"/>
      <c r="F1865" s="68"/>
      <c r="G1865" s="68"/>
      <c r="H1865" s="35" t="str">
        <f t="shared" si="6"/>
        <v/>
      </c>
      <c r="I1865" s="25" t="s">
        <v>927</v>
      </c>
    </row>
    <row r="1866">
      <c r="A1866" s="69"/>
      <c r="B1866" s="68"/>
      <c r="C1866" s="68"/>
      <c r="D1866" s="70"/>
      <c r="E1866" s="68"/>
      <c r="F1866" s="68"/>
      <c r="G1866" s="68"/>
      <c r="H1866" s="35" t="str">
        <f t="shared" si="6"/>
        <v/>
      </c>
      <c r="I1866" s="25" t="s">
        <v>927</v>
      </c>
    </row>
    <row r="1867">
      <c r="A1867" s="69"/>
      <c r="B1867" s="68"/>
      <c r="C1867" s="68"/>
      <c r="D1867" s="70"/>
      <c r="E1867" s="68"/>
      <c r="F1867" s="68"/>
      <c r="G1867" s="68"/>
      <c r="H1867" s="35" t="str">
        <f t="shared" si="6"/>
        <v/>
      </c>
      <c r="I1867" s="25" t="s">
        <v>927</v>
      </c>
    </row>
    <row r="1868">
      <c r="A1868" s="69"/>
      <c r="B1868" s="68"/>
      <c r="C1868" s="68"/>
      <c r="D1868" s="70"/>
      <c r="E1868" s="68"/>
      <c r="F1868" s="68"/>
      <c r="G1868" s="68"/>
      <c r="H1868" s="35" t="str">
        <f t="shared" si="6"/>
        <v/>
      </c>
      <c r="I1868" s="25" t="s">
        <v>927</v>
      </c>
    </row>
    <row r="1869">
      <c r="A1869" s="69"/>
      <c r="B1869" s="68"/>
      <c r="C1869" s="68"/>
      <c r="D1869" s="70"/>
      <c r="E1869" s="68"/>
      <c r="F1869" s="68"/>
      <c r="G1869" s="68"/>
      <c r="H1869" s="35" t="str">
        <f t="shared" si="6"/>
        <v/>
      </c>
      <c r="I1869" s="25" t="s">
        <v>927</v>
      </c>
    </row>
    <row r="1870">
      <c r="A1870" s="69"/>
      <c r="B1870" s="68"/>
      <c r="C1870" s="68"/>
      <c r="D1870" s="70"/>
      <c r="E1870" s="68"/>
      <c r="F1870" s="68"/>
      <c r="G1870" s="68"/>
      <c r="H1870" s="35" t="str">
        <f t="shared" si="6"/>
        <v/>
      </c>
      <c r="I1870" s="25" t="s">
        <v>927</v>
      </c>
    </row>
    <row r="1871">
      <c r="A1871" s="69"/>
      <c r="B1871" s="68"/>
      <c r="C1871" s="68"/>
      <c r="D1871" s="70"/>
      <c r="E1871" s="68"/>
      <c r="F1871" s="68"/>
      <c r="G1871" s="68"/>
      <c r="H1871" s="35" t="str">
        <f t="shared" si="6"/>
        <v/>
      </c>
      <c r="I1871" s="25" t="s">
        <v>927</v>
      </c>
    </row>
    <row r="1872">
      <c r="A1872" s="69"/>
      <c r="B1872" s="68"/>
      <c r="C1872" s="68"/>
      <c r="D1872" s="70"/>
      <c r="E1872" s="68"/>
      <c r="F1872" s="68"/>
      <c r="G1872" s="68"/>
      <c r="H1872" s="35" t="str">
        <f t="shared" si="6"/>
        <v/>
      </c>
      <c r="I1872" s="25" t="s">
        <v>927</v>
      </c>
    </row>
    <row r="1873">
      <c r="A1873" s="69"/>
      <c r="B1873" s="68"/>
      <c r="C1873" s="68"/>
      <c r="D1873" s="70"/>
      <c r="E1873" s="68"/>
      <c r="F1873" s="68"/>
      <c r="G1873" s="68"/>
      <c r="H1873" s="35" t="str">
        <f t="shared" si="6"/>
        <v/>
      </c>
      <c r="I1873" s="25" t="s">
        <v>927</v>
      </c>
    </row>
  </sheetData>
  <autoFilter ref="$A$1:$I$862">
    <filterColumn colId="2">
      <filters>
        <filter val="MCC015UC0045        FITA ADESIVA 69MM X 100M"/>
        <filter val="MCC015UC0045 FITA ADESIVA 69MM X 100M"/>
        <filter val="MCC015UC0008 FILME STRETCH 500X25"/>
        <filter val="MCC015UC0045 FITA ADESIVA 69MM X 100M"/>
        <filter val="MCC046UC0598 ETIQUETA ADESIVA COUCHE AZUL - 105X150MM SAS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3.88"/>
    <col customWidth="1" min="3" max="3" width="51.88"/>
    <col customWidth="1" min="6" max="6" width="15.0"/>
    <col customWidth="1" min="10" max="10" width="13.75"/>
    <col customWidth="1" min="11" max="11" width="13.13"/>
    <col customWidth="1" min="12" max="12" width="21.75"/>
    <col customWidth="1" min="13" max="13" width="33.25"/>
    <col customWidth="1" min="14" max="14" width="19.25"/>
  </cols>
  <sheetData>
    <row r="1">
      <c r="A1" s="21" t="s">
        <v>928</v>
      </c>
      <c r="B1" s="21" t="s">
        <v>146</v>
      </c>
      <c r="C1" s="21" t="s">
        <v>147</v>
      </c>
      <c r="D1" s="21" t="s">
        <v>153</v>
      </c>
      <c r="E1" s="21" t="s">
        <v>929</v>
      </c>
      <c r="F1" s="21" t="s">
        <v>930</v>
      </c>
      <c r="G1" s="21" t="s">
        <v>931</v>
      </c>
      <c r="H1" s="21" t="s">
        <v>932</v>
      </c>
      <c r="I1" s="21" t="s">
        <v>933</v>
      </c>
      <c r="J1" s="21" t="s">
        <v>934</v>
      </c>
      <c r="K1" s="21" t="s">
        <v>935</v>
      </c>
      <c r="L1" s="21" t="s">
        <v>936</v>
      </c>
      <c r="M1" s="21" t="s">
        <v>176</v>
      </c>
      <c r="N1" s="22" t="s">
        <v>937</v>
      </c>
    </row>
    <row r="2">
      <c r="A2" s="71">
        <v>45856.0</v>
      </c>
      <c r="B2" s="22" t="s">
        <v>9</v>
      </c>
      <c r="C2" s="22" t="s">
        <v>10</v>
      </c>
      <c r="E2" s="23">
        <v>2.0</v>
      </c>
      <c r="L2" s="22" t="s">
        <v>938</v>
      </c>
      <c r="M2" s="22" t="s">
        <v>189</v>
      </c>
    </row>
    <row r="3">
      <c r="A3" s="71">
        <v>45856.0</v>
      </c>
      <c r="B3" s="22" t="s">
        <v>12</v>
      </c>
      <c r="C3" s="22" t="s">
        <v>13</v>
      </c>
      <c r="E3" s="23">
        <v>7.0</v>
      </c>
      <c r="L3" s="22" t="s">
        <v>938</v>
      </c>
      <c r="M3" s="22" t="s">
        <v>189</v>
      </c>
    </row>
    <row r="4">
      <c r="A4" s="71">
        <v>45856.0</v>
      </c>
      <c r="B4" s="22" t="s">
        <v>23</v>
      </c>
      <c r="C4" s="22" t="s">
        <v>24</v>
      </c>
      <c r="E4" s="23">
        <v>20.0</v>
      </c>
      <c r="L4" s="22" t="s">
        <v>938</v>
      </c>
      <c r="M4" s="22" t="s">
        <v>189</v>
      </c>
    </row>
    <row r="5">
      <c r="A5" s="71">
        <v>45856.0</v>
      </c>
      <c r="B5" s="22" t="s">
        <v>190</v>
      </c>
      <c r="C5" s="27" t="s">
        <v>191</v>
      </c>
      <c r="E5" s="23">
        <v>80.0</v>
      </c>
      <c r="L5" s="22" t="s">
        <v>938</v>
      </c>
      <c r="M5" s="22" t="s">
        <v>189</v>
      </c>
    </row>
    <row r="6">
      <c r="A6" s="71">
        <v>45856.0</v>
      </c>
      <c r="B6" s="22" t="s">
        <v>25</v>
      </c>
      <c r="C6" s="22" t="s">
        <v>26</v>
      </c>
      <c r="E6" s="23">
        <v>118.0</v>
      </c>
      <c r="L6" s="22" t="s">
        <v>938</v>
      </c>
      <c r="M6" s="22" t="s">
        <v>189</v>
      </c>
    </row>
    <row r="7">
      <c r="A7" s="71">
        <v>45856.0</v>
      </c>
      <c r="B7" s="22" t="s">
        <v>27</v>
      </c>
      <c r="C7" s="22" t="s">
        <v>28</v>
      </c>
      <c r="E7" s="23">
        <v>146.0</v>
      </c>
      <c r="L7" s="22" t="s">
        <v>938</v>
      </c>
      <c r="M7" s="22" t="s">
        <v>189</v>
      </c>
    </row>
    <row r="8">
      <c r="A8" s="71">
        <v>45856.0</v>
      </c>
      <c r="B8" s="22" t="s">
        <v>29</v>
      </c>
      <c r="C8" s="22" t="s">
        <v>30</v>
      </c>
      <c r="E8" s="23">
        <v>25.0</v>
      </c>
      <c r="L8" s="22" t="s">
        <v>938</v>
      </c>
      <c r="M8" s="22" t="s">
        <v>189</v>
      </c>
    </row>
    <row r="9">
      <c r="A9" s="71">
        <v>45856.0</v>
      </c>
      <c r="B9" s="22" t="s">
        <v>31</v>
      </c>
      <c r="C9" s="22" t="s">
        <v>32</v>
      </c>
      <c r="E9" s="23">
        <v>19.0</v>
      </c>
      <c r="L9" s="22" t="s">
        <v>938</v>
      </c>
      <c r="M9" s="22" t="s">
        <v>189</v>
      </c>
    </row>
    <row r="10">
      <c r="A10" s="71">
        <v>45856.0</v>
      </c>
      <c r="B10" s="22" t="s">
        <v>33</v>
      </c>
      <c r="C10" s="27" t="s">
        <v>34</v>
      </c>
      <c r="E10" s="23">
        <v>8.0</v>
      </c>
      <c r="L10" s="22" t="s">
        <v>938</v>
      </c>
      <c r="M10" s="22" t="s">
        <v>189</v>
      </c>
    </row>
    <row r="11">
      <c r="A11" s="71">
        <v>45856.0</v>
      </c>
      <c r="B11" s="22" t="s">
        <v>36</v>
      </c>
      <c r="C11" s="27" t="s">
        <v>37</v>
      </c>
      <c r="E11" s="23">
        <v>10.0</v>
      </c>
      <c r="L11" s="22" t="s">
        <v>938</v>
      </c>
      <c r="M11" s="22" t="s">
        <v>189</v>
      </c>
    </row>
    <row r="12">
      <c r="A12" s="71">
        <v>45856.0</v>
      </c>
      <c r="B12" s="22" t="s">
        <v>38</v>
      </c>
      <c r="C12" s="22" t="s">
        <v>39</v>
      </c>
      <c r="E12" s="23">
        <v>17.0</v>
      </c>
      <c r="L12" s="22" t="s">
        <v>938</v>
      </c>
      <c r="M12" s="22" t="s">
        <v>189</v>
      </c>
    </row>
    <row r="13">
      <c r="A13" s="71">
        <v>45856.0</v>
      </c>
      <c r="B13" s="22" t="s">
        <v>40</v>
      </c>
      <c r="C13" s="22" t="s">
        <v>41</v>
      </c>
      <c r="E13" s="23">
        <v>0.0</v>
      </c>
      <c r="L13" s="22" t="s">
        <v>938</v>
      </c>
      <c r="M13" s="22" t="s">
        <v>189</v>
      </c>
    </row>
    <row r="14">
      <c r="A14" s="71">
        <v>45856.0</v>
      </c>
      <c r="B14" s="22" t="s">
        <v>42</v>
      </c>
      <c r="C14" s="22" t="s">
        <v>43</v>
      </c>
      <c r="E14" s="23">
        <v>58.0</v>
      </c>
      <c r="L14" s="22" t="s">
        <v>938</v>
      </c>
      <c r="M14" s="22" t="s">
        <v>189</v>
      </c>
    </row>
    <row r="15">
      <c r="A15" s="71">
        <v>45856.0</v>
      </c>
      <c r="B15" s="22" t="s">
        <v>45</v>
      </c>
      <c r="C15" s="22" t="s">
        <v>46</v>
      </c>
      <c r="E15" s="23">
        <v>59.0</v>
      </c>
      <c r="L15" s="22" t="s">
        <v>938</v>
      </c>
      <c r="M15" s="22" t="s">
        <v>189</v>
      </c>
    </row>
    <row r="16">
      <c r="A16" s="71">
        <v>45856.0</v>
      </c>
      <c r="B16" s="22" t="s">
        <v>47</v>
      </c>
      <c r="C16" s="22" t="s">
        <v>48</v>
      </c>
      <c r="E16" s="23">
        <v>69.0</v>
      </c>
      <c r="L16" s="22" t="s">
        <v>938</v>
      </c>
      <c r="M16" s="22" t="s">
        <v>189</v>
      </c>
    </row>
    <row r="17">
      <c r="A17" s="71">
        <v>45856.0</v>
      </c>
      <c r="B17" s="22" t="s">
        <v>49</v>
      </c>
      <c r="C17" s="22" t="s">
        <v>50</v>
      </c>
      <c r="E17" s="23">
        <v>67.0</v>
      </c>
      <c r="L17" s="22" t="s">
        <v>938</v>
      </c>
      <c r="M17" s="22" t="s">
        <v>189</v>
      </c>
    </row>
    <row r="18">
      <c r="A18" s="71">
        <v>45856.0</v>
      </c>
      <c r="B18" s="22" t="s">
        <v>51</v>
      </c>
      <c r="C18" s="22" t="s">
        <v>52</v>
      </c>
      <c r="E18" s="23">
        <v>146.0</v>
      </c>
      <c r="L18" s="22" t="s">
        <v>938</v>
      </c>
      <c r="M18" s="22" t="s">
        <v>189</v>
      </c>
    </row>
    <row r="19">
      <c r="A19" s="71">
        <v>45856.0</v>
      </c>
      <c r="B19" s="22" t="s">
        <v>53</v>
      </c>
      <c r="C19" s="22" t="s">
        <v>54</v>
      </c>
      <c r="E19" s="23">
        <v>135.0</v>
      </c>
      <c r="L19" s="22" t="s">
        <v>938</v>
      </c>
      <c r="M19" s="22" t="s">
        <v>189</v>
      </c>
    </row>
    <row r="20">
      <c r="A20" s="71">
        <v>45856.0</v>
      </c>
      <c r="B20" s="22" t="s">
        <v>55</v>
      </c>
      <c r="C20" s="22" t="s">
        <v>56</v>
      </c>
      <c r="E20" s="23">
        <v>33.0</v>
      </c>
      <c r="L20" s="22" t="s">
        <v>938</v>
      </c>
      <c r="M20" s="22" t="s">
        <v>189</v>
      </c>
    </row>
    <row r="21">
      <c r="A21" s="71">
        <v>45856.0</v>
      </c>
      <c r="B21" s="22" t="s">
        <v>58</v>
      </c>
      <c r="C21" s="22" t="s">
        <v>59</v>
      </c>
      <c r="E21" s="23">
        <v>100.0</v>
      </c>
      <c r="L21" s="22" t="s">
        <v>938</v>
      </c>
      <c r="M21" s="22" t="s">
        <v>189</v>
      </c>
    </row>
    <row r="22">
      <c r="A22" s="71">
        <v>45856.0</v>
      </c>
      <c r="B22" s="22" t="s">
        <v>60</v>
      </c>
      <c r="C22" s="22" t="s">
        <v>61</v>
      </c>
      <c r="E22" s="23">
        <v>83.0</v>
      </c>
      <c r="L22" s="22" t="s">
        <v>938</v>
      </c>
      <c r="M22" s="22" t="s">
        <v>189</v>
      </c>
    </row>
    <row r="23">
      <c r="A23" s="71">
        <v>45856.0</v>
      </c>
      <c r="B23" s="22" t="s">
        <v>62</v>
      </c>
      <c r="C23" s="22" t="s">
        <v>63</v>
      </c>
      <c r="E23" s="23">
        <v>27.0</v>
      </c>
      <c r="L23" s="22" t="s">
        <v>938</v>
      </c>
      <c r="M23" s="22" t="s">
        <v>189</v>
      </c>
    </row>
    <row r="24">
      <c r="A24" s="71">
        <v>45856.0</v>
      </c>
      <c r="B24" s="22" t="s">
        <v>64</v>
      </c>
      <c r="C24" s="22" t="s">
        <v>65</v>
      </c>
      <c r="E24" s="23">
        <v>484.0</v>
      </c>
      <c r="L24" s="22" t="s">
        <v>938</v>
      </c>
      <c r="M24" s="22" t="s">
        <v>189</v>
      </c>
    </row>
    <row r="25">
      <c r="A25" s="71">
        <v>45856.0</v>
      </c>
      <c r="B25" s="22" t="s">
        <v>66</v>
      </c>
      <c r="C25" s="22" t="s">
        <v>67</v>
      </c>
      <c r="E25" s="23">
        <v>334.0</v>
      </c>
      <c r="L25" s="22" t="s">
        <v>938</v>
      </c>
      <c r="M25" s="22" t="s">
        <v>189</v>
      </c>
    </row>
    <row r="26">
      <c r="A26" s="71">
        <v>45856.0</v>
      </c>
      <c r="B26" s="22" t="s">
        <v>68</v>
      </c>
      <c r="C26" s="22" t="s">
        <v>69</v>
      </c>
      <c r="E26" s="23">
        <v>16.0</v>
      </c>
      <c r="L26" s="22" t="s">
        <v>938</v>
      </c>
      <c r="M26" s="22" t="s">
        <v>189</v>
      </c>
    </row>
    <row r="27">
      <c r="A27" s="71">
        <v>45856.0</v>
      </c>
      <c r="B27" s="22" t="s">
        <v>70</v>
      </c>
      <c r="C27" s="22" t="s">
        <v>71</v>
      </c>
      <c r="E27" s="23">
        <v>114.0</v>
      </c>
      <c r="L27" s="22" t="s">
        <v>938</v>
      </c>
      <c r="M27" s="22" t="s">
        <v>189</v>
      </c>
    </row>
    <row r="28">
      <c r="A28" s="71">
        <v>45856.0</v>
      </c>
      <c r="B28" s="22" t="s">
        <v>72</v>
      </c>
      <c r="C28" s="22" t="s">
        <v>73</v>
      </c>
      <c r="E28" s="23">
        <v>323.0</v>
      </c>
      <c r="L28" s="22" t="s">
        <v>938</v>
      </c>
      <c r="M28" s="22" t="s">
        <v>189</v>
      </c>
    </row>
    <row r="29">
      <c r="A29" s="71">
        <v>45856.0</v>
      </c>
      <c r="B29" s="22" t="s">
        <v>74</v>
      </c>
      <c r="C29" s="22" t="s">
        <v>75</v>
      </c>
      <c r="E29" s="23">
        <v>3.0</v>
      </c>
      <c r="L29" s="22" t="s">
        <v>938</v>
      </c>
      <c r="M29" s="22" t="s">
        <v>189</v>
      </c>
    </row>
    <row r="30">
      <c r="A30" s="71">
        <v>45856.0</v>
      </c>
      <c r="B30" s="22" t="s">
        <v>76</v>
      </c>
      <c r="C30" s="27" t="s">
        <v>77</v>
      </c>
      <c r="E30" s="23">
        <v>424.0</v>
      </c>
      <c r="L30" s="22" t="s">
        <v>938</v>
      </c>
      <c r="M30" s="22" t="s">
        <v>189</v>
      </c>
    </row>
    <row r="31">
      <c r="A31" s="71">
        <v>45856.0</v>
      </c>
      <c r="B31" s="22" t="s">
        <v>78</v>
      </c>
      <c r="C31" s="22" t="s">
        <v>79</v>
      </c>
      <c r="E31" s="23">
        <v>15.0</v>
      </c>
      <c r="L31" s="22" t="s">
        <v>938</v>
      </c>
      <c r="M31" s="22" t="s">
        <v>189</v>
      </c>
    </row>
    <row r="32">
      <c r="A32" s="71">
        <v>45856.0</v>
      </c>
      <c r="B32" s="22" t="s">
        <v>80</v>
      </c>
      <c r="C32" s="27" t="s">
        <v>81</v>
      </c>
      <c r="E32" s="23">
        <v>15.0</v>
      </c>
      <c r="L32" s="22" t="s">
        <v>938</v>
      </c>
      <c r="M32" s="22" t="s">
        <v>189</v>
      </c>
    </row>
    <row r="33">
      <c r="A33" s="71">
        <v>45856.0</v>
      </c>
      <c r="B33" s="22" t="s">
        <v>82</v>
      </c>
      <c r="C33" s="27" t="s">
        <v>83</v>
      </c>
      <c r="E33" s="23">
        <v>8.0</v>
      </c>
      <c r="L33" s="22" t="s">
        <v>938</v>
      </c>
      <c r="M33" s="22" t="s">
        <v>189</v>
      </c>
    </row>
    <row r="34">
      <c r="A34" s="71">
        <v>45856.0</v>
      </c>
      <c r="B34" s="22" t="s">
        <v>84</v>
      </c>
      <c r="C34" s="27" t="s">
        <v>85</v>
      </c>
      <c r="E34" s="23">
        <v>0.0</v>
      </c>
      <c r="L34" s="22" t="s">
        <v>938</v>
      </c>
      <c r="M34" s="22" t="s">
        <v>189</v>
      </c>
    </row>
    <row r="35">
      <c r="A35" s="71">
        <v>45856.0</v>
      </c>
      <c r="B35" s="22" t="s">
        <v>86</v>
      </c>
      <c r="C35" s="27" t="s">
        <v>87</v>
      </c>
      <c r="E35" s="23">
        <v>11.0</v>
      </c>
      <c r="L35" s="22" t="s">
        <v>938</v>
      </c>
      <c r="M35" s="22" t="s">
        <v>189</v>
      </c>
    </row>
    <row r="36">
      <c r="A36" s="71">
        <v>45856.0</v>
      </c>
      <c r="B36" s="22" t="s">
        <v>88</v>
      </c>
      <c r="C36" s="22" t="s">
        <v>89</v>
      </c>
      <c r="E36" s="23">
        <v>17.0</v>
      </c>
      <c r="L36" s="22" t="s">
        <v>938</v>
      </c>
      <c r="M36" s="22" t="s">
        <v>189</v>
      </c>
    </row>
    <row r="37">
      <c r="A37" s="71">
        <v>45856.0</v>
      </c>
      <c r="B37" s="22" t="s">
        <v>90</v>
      </c>
      <c r="C37" s="22" t="s">
        <v>91</v>
      </c>
      <c r="E37" s="23">
        <v>8.0</v>
      </c>
      <c r="L37" s="22" t="s">
        <v>938</v>
      </c>
      <c r="M37" s="22" t="s">
        <v>189</v>
      </c>
    </row>
    <row r="38">
      <c r="A38" s="71">
        <v>45856.0</v>
      </c>
      <c r="B38" s="22" t="s">
        <v>92</v>
      </c>
      <c r="C38" s="22" t="s">
        <v>93</v>
      </c>
      <c r="E38" s="23">
        <v>18.0</v>
      </c>
      <c r="L38" s="22" t="s">
        <v>938</v>
      </c>
      <c r="M38" s="22" t="s">
        <v>189</v>
      </c>
    </row>
    <row r="39">
      <c r="A39" s="71">
        <v>45856.0</v>
      </c>
      <c r="B39" s="22" t="s">
        <v>94</v>
      </c>
      <c r="C39" s="27" t="s">
        <v>95</v>
      </c>
      <c r="E39" s="23">
        <v>3.0</v>
      </c>
      <c r="L39" s="22" t="s">
        <v>938</v>
      </c>
      <c r="M39" s="22" t="s">
        <v>189</v>
      </c>
    </row>
    <row r="40">
      <c r="A40" s="71">
        <v>45856.0</v>
      </c>
      <c r="B40" s="22" t="s">
        <v>96</v>
      </c>
      <c r="C40" s="22" t="s">
        <v>97</v>
      </c>
      <c r="E40" s="23">
        <v>22.0</v>
      </c>
      <c r="L40" s="22" t="s">
        <v>938</v>
      </c>
      <c r="M40" s="22" t="s">
        <v>189</v>
      </c>
    </row>
    <row r="41">
      <c r="A41" s="71">
        <v>45856.0</v>
      </c>
      <c r="B41" s="22" t="s">
        <v>98</v>
      </c>
      <c r="C41" s="22" t="s">
        <v>99</v>
      </c>
      <c r="E41" s="23">
        <v>24.0</v>
      </c>
      <c r="L41" s="22" t="s">
        <v>938</v>
      </c>
      <c r="M41" s="22" t="s">
        <v>189</v>
      </c>
    </row>
    <row r="42">
      <c r="A42" s="71">
        <v>45856.0</v>
      </c>
      <c r="B42" s="22" t="s">
        <v>100</v>
      </c>
      <c r="C42" s="22" t="s">
        <v>101</v>
      </c>
      <c r="E42" s="23">
        <v>23.0</v>
      </c>
      <c r="L42" s="22" t="s">
        <v>938</v>
      </c>
      <c r="M42" s="22" t="s">
        <v>189</v>
      </c>
    </row>
    <row r="43">
      <c r="A43" s="71">
        <v>45856.0</v>
      </c>
      <c r="B43" s="22" t="s">
        <v>102</v>
      </c>
      <c r="C43" s="22" t="s">
        <v>103</v>
      </c>
      <c r="E43" s="23">
        <v>14.0</v>
      </c>
      <c r="L43" s="22" t="s">
        <v>938</v>
      </c>
      <c r="M43" s="22" t="s">
        <v>189</v>
      </c>
    </row>
    <row r="44">
      <c r="A44" s="71">
        <v>45856.0</v>
      </c>
      <c r="B44" s="22" t="s">
        <v>104</v>
      </c>
      <c r="C44" s="22" t="s">
        <v>105</v>
      </c>
      <c r="E44" s="23">
        <v>24.0</v>
      </c>
      <c r="L44" s="22" t="s">
        <v>938</v>
      </c>
      <c r="M44" s="22" t="s">
        <v>189</v>
      </c>
    </row>
    <row r="45">
      <c r="A45" s="71">
        <v>45856.0</v>
      </c>
      <c r="B45" s="22" t="s">
        <v>106</v>
      </c>
      <c r="C45" s="22" t="s">
        <v>107</v>
      </c>
      <c r="E45" s="23">
        <v>15.0</v>
      </c>
      <c r="L45" s="22" t="s">
        <v>938</v>
      </c>
      <c r="M45" s="22" t="s">
        <v>189</v>
      </c>
    </row>
    <row r="46">
      <c r="A46" s="71">
        <v>45856.0</v>
      </c>
      <c r="B46" s="22" t="s">
        <v>108</v>
      </c>
      <c r="C46" s="22" t="s">
        <v>109</v>
      </c>
      <c r="E46" s="23">
        <v>9.0</v>
      </c>
      <c r="L46" s="22" t="s">
        <v>938</v>
      </c>
      <c r="M46" s="22" t="s">
        <v>189</v>
      </c>
    </row>
    <row r="47">
      <c r="A47" s="71">
        <v>45856.0</v>
      </c>
      <c r="B47" s="22" t="s">
        <v>110</v>
      </c>
      <c r="C47" s="27" t="s">
        <v>111</v>
      </c>
      <c r="E47" s="23">
        <v>10.0</v>
      </c>
      <c r="L47" s="22" t="s">
        <v>938</v>
      </c>
      <c r="M47" s="22" t="s">
        <v>189</v>
      </c>
    </row>
    <row r="48">
      <c r="A48" s="71">
        <v>45856.0</v>
      </c>
      <c r="B48" s="22" t="s">
        <v>112</v>
      </c>
      <c r="C48" s="22" t="s">
        <v>113</v>
      </c>
      <c r="E48" s="23">
        <v>89.0</v>
      </c>
      <c r="L48" s="22" t="s">
        <v>938</v>
      </c>
      <c r="M48" s="22" t="s">
        <v>189</v>
      </c>
    </row>
    <row r="49">
      <c r="A49" s="71">
        <v>45856.0</v>
      </c>
      <c r="B49" s="22" t="s">
        <v>115</v>
      </c>
      <c r="C49" s="22" t="s">
        <v>116</v>
      </c>
      <c r="E49" s="23">
        <v>20.0</v>
      </c>
      <c r="L49" s="22" t="s">
        <v>938</v>
      </c>
      <c r="M49" s="22" t="s">
        <v>189</v>
      </c>
    </row>
    <row r="50">
      <c r="A50" s="71">
        <v>45856.0</v>
      </c>
      <c r="B50" s="22" t="s">
        <v>119</v>
      </c>
      <c r="C50" s="22" t="s">
        <v>120</v>
      </c>
      <c r="E50" s="23">
        <v>71.0</v>
      </c>
      <c r="L50" s="22" t="s">
        <v>938</v>
      </c>
      <c r="M50" s="22" t="s">
        <v>189</v>
      </c>
    </row>
    <row r="51">
      <c r="A51" s="71">
        <v>45856.0</v>
      </c>
      <c r="B51" s="22" t="s">
        <v>121</v>
      </c>
      <c r="C51" s="22" t="s">
        <v>122</v>
      </c>
      <c r="E51" s="23">
        <v>25.0</v>
      </c>
      <c r="L51" s="22" t="s">
        <v>938</v>
      </c>
      <c r="M51" s="22" t="s">
        <v>189</v>
      </c>
    </row>
    <row r="52">
      <c r="A52" s="71">
        <v>45856.0</v>
      </c>
      <c r="B52" s="22" t="s">
        <v>123</v>
      </c>
      <c r="C52" s="22" t="s">
        <v>192</v>
      </c>
      <c r="E52" s="23">
        <v>14.0</v>
      </c>
      <c r="L52" s="22" t="s">
        <v>938</v>
      </c>
      <c r="M52" s="22" t="s">
        <v>189</v>
      </c>
    </row>
    <row r="53">
      <c r="A53" s="71">
        <v>45856.0</v>
      </c>
      <c r="B53" s="22" t="s">
        <v>125</v>
      </c>
      <c r="C53" s="27" t="s">
        <v>126</v>
      </c>
      <c r="E53" s="23">
        <v>32.0</v>
      </c>
      <c r="L53" s="22" t="s">
        <v>938</v>
      </c>
      <c r="M53" s="22" t="s">
        <v>189</v>
      </c>
    </row>
    <row r="54">
      <c r="A54" s="71">
        <v>45856.0</v>
      </c>
      <c r="B54" s="22" t="s">
        <v>127</v>
      </c>
      <c r="C54" s="27" t="s">
        <v>128</v>
      </c>
      <c r="E54" s="23">
        <v>200.0</v>
      </c>
      <c r="L54" s="22" t="s">
        <v>938</v>
      </c>
      <c r="M54" s="22" t="s">
        <v>189</v>
      </c>
    </row>
    <row r="55">
      <c r="A55" s="71">
        <v>45856.0</v>
      </c>
      <c r="B55" s="22" t="s">
        <v>129</v>
      </c>
      <c r="C55" s="27" t="s">
        <v>130</v>
      </c>
      <c r="E55" s="23">
        <v>100.0</v>
      </c>
      <c r="L55" s="22" t="s">
        <v>938</v>
      </c>
      <c r="M55" s="22" t="s">
        <v>189</v>
      </c>
    </row>
    <row r="56">
      <c r="A56" s="71">
        <v>45856.0</v>
      </c>
      <c r="B56" s="22" t="s">
        <v>131</v>
      </c>
      <c r="C56" s="22" t="s">
        <v>132</v>
      </c>
      <c r="E56" s="23">
        <v>6.0</v>
      </c>
      <c r="L56" s="22" t="s">
        <v>938</v>
      </c>
      <c r="M56" s="22" t="s">
        <v>189</v>
      </c>
    </row>
    <row r="57">
      <c r="A57" s="71">
        <v>45856.0</v>
      </c>
      <c r="B57" s="22" t="s">
        <v>133</v>
      </c>
      <c r="C57" s="22" t="s">
        <v>134</v>
      </c>
      <c r="E57" s="23">
        <v>22.0</v>
      </c>
      <c r="L57" s="22" t="s">
        <v>938</v>
      </c>
      <c r="M57" s="22" t="s">
        <v>189</v>
      </c>
    </row>
    <row r="58">
      <c r="A58" s="71">
        <v>45856.0</v>
      </c>
      <c r="B58" s="22" t="s">
        <v>135</v>
      </c>
      <c r="C58" s="22" t="s">
        <v>136</v>
      </c>
      <c r="E58" s="23">
        <v>20.0</v>
      </c>
      <c r="L58" s="22" t="s">
        <v>938</v>
      </c>
      <c r="M58" s="22" t="s">
        <v>189</v>
      </c>
    </row>
    <row r="59">
      <c r="A59" s="71">
        <v>45856.0</v>
      </c>
      <c r="B59" s="22" t="s">
        <v>137</v>
      </c>
      <c r="C59" s="22" t="s">
        <v>138</v>
      </c>
      <c r="E59" s="23">
        <v>19.0</v>
      </c>
      <c r="L59" s="22" t="s">
        <v>938</v>
      </c>
      <c r="M59" s="22" t="s">
        <v>189</v>
      </c>
    </row>
    <row r="60">
      <c r="A60" s="71">
        <v>45856.0</v>
      </c>
      <c r="B60" s="22" t="s">
        <v>139</v>
      </c>
      <c r="C60" s="22" t="s">
        <v>140</v>
      </c>
      <c r="E60" s="23">
        <v>73.0</v>
      </c>
      <c r="L60" s="22" t="s">
        <v>938</v>
      </c>
      <c r="M60" s="22" t="s">
        <v>189</v>
      </c>
    </row>
    <row r="61">
      <c r="A61" s="71">
        <v>45856.0</v>
      </c>
      <c r="B61" s="22" t="s">
        <v>141</v>
      </c>
      <c r="C61" s="22" t="s">
        <v>142</v>
      </c>
      <c r="E61" s="23">
        <v>177.0</v>
      </c>
      <c r="L61" s="22" t="s">
        <v>938</v>
      </c>
      <c r="M61" s="22" t="s">
        <v>189</v>
      </c>
    </row>
    <row r="62">
      <c r="A62" s="71">
        <v>45856.0</v>
      </c>
      <c r="B62" s="22" t="s">
        <v>143</v>
      </c>
      <c r="C62" s="22" t="s">
        <v>144</v>
      </c>
      <c r="E62" s="23">
        <v>3.0</v>
      </c>
      <c r="L62" s="22" t="s">
        <v>938</v>
      </c>
      <c r="M62" s="22" t="s">
        <v>189</v>
      </c>
    </row>
    <row r="63">
      <c r="A63" s="71">
        <v>45931.0</v>
      </c>
      <c r="B63" s="22" t="s">
        <v>72</v>
      </c>
      <c r="C63" s="22" t="s">
        <v>73</v>
      </c>
      <c r="E63" s="23">
        <v>250.0</v>
      </c>
      <c r="L63" s="22" t="s">
        <v>938</v>
      </c>
      <c r="M63" s="22" t="s">
        <v>189</v>
      </c>
    </row>
    <row r="64">
      <c r="A64" s="71">
        <v>45931.0</v>
      </c>
      <c r="B64" s="22" t="s">
        <v>119</v>
      </c>
      <c r="C64" s="22" t="s">
        <v>120</v>
      </c>
      <c r="E64" s="23">
        <v>129.0</v>
      </c>
      <c r="L64" s="22" t="s">
        <v>938</v>
      </c>
      <c r="M64" s="22" t="s">
        <v>189</v>
      </c>
    </row>
    <row r="65">
      <c r="A65" s="71">
        <v>45937.0</v>
      </c>
      <c r="B65" s="22" t="s">
        <v>70</v>
      </c>
      <c r="C65" s="22" t="s">
        <v>71</v>
      </c>
      <c r="E65" s="23">
        <v>191.0</v>
      </c>
      <c r="L65" s="22" t="s">
        <v>938</v>
      </c>
      <c r="M65" s="22" t="s">
        <v>189</v>
      </c>
    </row>
    <row r="66">
      <c r="A66" s="71">
        <v>45937.0</v>
      </c>
      <c r="B66" s="22" t="s">
        <v>12</v>
      </c>
      <c r="C66" s="22" t="s">
        <v>13</v>
      </c>
      <c r="E66" s="23">
        <v>11.0</v>
      </c>
      <c r="L66" s="22" t="s">
        <v>938</v>
      </c>
      <c r="M66" s="22" t="s">
        <v>189</v>
      </c>
    </row>
    <row r="67">
      <c r="A67" s="71">
        <v>45954.0</v>
      </c>
      <c r="B67" s="22" t="s">
        <v>70</v>
      </c>
      <c r="C67" s="22" t="s">
        <v>71</v>
      </c>
      <c r="E67" s="23">
        <v>204.0</v>
      </c>
      <c r="L67" s="22" t="s">
        <v>938</v>
      </c>
      <c r="M67" s="22" t="s">
        <v>189</v>
      </c>
    </row>
    <row r="68">
      <c r="A68" s="71">
        <v>45968.0</v>
      </c>
      <c r="B68" s="22" t="s">
        <v>70</v>
      </c>
      <c r="C68" s="22" t="s">
        <v>71</v>
      </c>
      <c r="E68" s="23">
        <v>300.0</v>
      </c>
      <c r="L68" s="22" t="s">
        <v>938</v>
      </c>
      <c r="M68" s="22" t="s">
        <v>189</v>
      </c>
    </row>
    <row r="69">
      <c r="A69" s="71">
        <v>45937.0</v>
      </c>
      <c r="B69" s="22" t="s">
        <v>12</v>
      </c>
      <c r="C69" s="22" t="s">
        <v>13</v>
      </c>
      <c r="E69" s="23">
        <v>20.0</v>
      </c>
      <c r="L69" s="22" t="s">
        <v>938</v>
      </c>
      <c r="M69" s="22" t="s">
        <v>189</v>
      </c>
    </row>
    <row r="70">
      <c r="A70" s="71">
        <v>45976.0</v>
      </c>
      <c r="B70" s="22" t="s">
        <v>78</v>
      </c>
      <c r="C70" s="22" t="s">
        <v>79</v>
      </c>
      <c r="E70" s="23">
        <v>15.0</v>
      </c>
      <c r="L70" s="22" t="s">
        <v>938</v>
      </c>
      <c r="M70" s="22" t="s">
        <v>189</v>
      </c>
    </row>
    <row r="71">
      <c r="A71" s="71">
        <v>45973.0</v>
      </c>
      <c r="B71" s="27" t="s">
        <v>25</v>
      </c>
      <c r="C71" s="27" t="s">
        <v>26</v>
      </c>
      <c r="E71" s="23">
        <v>50.0</v>
      </c>
      <c r="L71" s="22" t="s">
        <v>938</v>
      </c>
      <c r="M71" s="22" t="s">
        <v>189</v>
      </c>
    </row>
    <row r="72">
      <c r="A72" s="71">
        <v>45972.0</v>
      </c>
      <c r="B72" s="22" t="s">
        <v>72</v>
      </c>
      <c r="C72" s="22" t="s">
        <v>73</v>
      </c>
      <c r="E72" s="23">
        <v>300.0</v>
      </c>
      <c r="L72" s="22" t="s">
        <v>938</v>
      </c>
      <c r="M72" s="22" t="s">
        <v>189</v>
      </c>
    </row>
    <row r="73">
      <c r="A73" s="71">
        <v>45973.0</v>
      </c>
      <c r="B73" s="22" t="s">
        <v>110</v>
      </c>
      <c r="C73" s="27" t="s">
        <v>111</v>
      </c>
      <c r="E73" s="23">
        <v>10.0</v>
      </c>
      <c r="L73" s="22" t="s">
        <v>938</v>
      </c>
      <c r="M73" s="22" t="s">
        <v>189</v>
      </c>
    </row>
    <row r="74">
      <c r="A74" s="71">
        <v>45973.0</v>
      </c>
      <c r="B74" s="22" t="s">
        <v>127</v>
      </c>
      <c r="C74" s="27" t="s">
        <v>128</v>
      </c>
      <c r="E74" s="23">
        <v>500.0</v>
      </c>
      <c r="L74" s="22" t="s">
        <v>938</v>
      </c>
      <c r="M74" s="22" t="s">
        <v>189</v>
      </c>
    </row>
    <row r="75">
      <c r="A75" s="71">
        <v>45985.0</v>
      </c>
      <c r="B75" s="27" t="s">
        <v>70</v>
      </c>
      <c r="C75" s="27" t="s">
        <v>71</v>
      </c>
      <c r="E75" s="23">
        <v>64.0</v>
      </c>
      <c r="L75" s="22" t="s">
        <v>938</v>
      </c>
      <c r="M75" s="22" t="s">
        <v>189</v>
      </c>
    </row>
    <row r="76">
      <c r="A76" s="71">
        <v>45988.0</v>
      </c>
      <c r="B76" s="22" t="s">
        <v>72</v>
      </c>
      <c r="C76" s="22" t="s">
        <v>73</v>
      </c>
      <c r="E76" s="23">
        <v>34.0</v>
      </c>
      <c r="L76" s="22" t="s">
        <v>938</v>
      </c>
      <c r="M76" s="22" t="s">
        <v>189</v>
      </c>
    </row>
    <row r="77">
      <c r="A77" s="71">
        <v>45989.0</v>
      </c>
      <c r="B77" s="22" t="s">
        <v>72</v>
      </c>
      <c r="C77" s="22" t="s">
        <v>73</v>
      </c>
      <c r="E77" s="23">
        <v>312.0</v>
      </c>
      <c r="L77" s="22" t="s">
        <v>938</v>
      </c>
      <c r="M77" s="22" t="s">
        <v>189</v>
      </c>
    </row>
    <row r="78">
      <c r="A78" s="71">
        <v>45967.0</v>
      </c>
      <c r="B78" s="22" t="s">
        <v>139</v>
      </c>
      <c r="C78" s="22" t="s">
        <v>140</v>
      </c>
      <c r="E78" s="23">
        <v>480.0</v>
      </c>
      <c r="L78" s="22" t="s">
        <v>938</v>
      </c>
      <c r="M78" s="22" t="s">
        <v>189</v>
      </c>
    </row>
    <row r="79">
      <c r="A79" s="71">
        <v>46007.0</v>
      </c>
      <c r="B79" s="27" t="s">
        <v>141</v>
      </c>
      <c r="C79" s="27" t="s">
        <v>142</v>
      </c>
      <c r="E79" s="23">
        <v>500.0</v>
      </c>
      <c r="L79" s="22" t="s">
        <v>938</v>
      </c>
      <c r="M79" s="22" t="s">
        <v>189</v>
      </c>
    </row>
    <row r="80">
      <c r="A80" s="71">
        <v>46034.0</v>
      </c>
      <c r="B80" s="22" t="s">
        <v>119</v>
      </c>
      <c r="C80" s="22" t="s">
        <v>120</v>
      </c>
      <c r="E80" s="23">
        <v>200.0</v>
      </c>
      <c r="L80" s="22" t="s">
        <v>938</v>
      </c>
      <c r="M80" s="22" t="s">
        <v>189</v>
      </c>
    </row>
    <row r="81">
      <c r="A81" s="71">
        <v>46034.0</v>
      </c>
      <c r="B81" s="27" t="s">
        <v>70</v>
      </c>
      <c r="C81" s="27" t="s">
        <v>71</v>
      </c>
      <c r="E81" s="23">
        <v>37.0</v>
      </c>
      <c r="L81" s="22" t="s">
        <v>938</v>
      </c>
      <c r="M81" s="22" t="s">
        <v>189</v>
      </c>
    </row>
    <row r="82">
      <c r="A82" s="71">
        <v>46034.0</v>
      </c>
      <c r="B82" s="22" t="s">
        <v>121</v>
      </c>
      <c r="C82" s="22" t="s">
        <v>122</v>
      </c>
      <c r="E82" s="23">
        <v>40.0</v>
      </c>
      <c r="L82" s="22" t="s">
        <v>938</v>
      </c>
      <c r="M82" s="22" t="s">
        <v>189</v>
      </c>
    </row>
    <row r="83">
      <c r="A83" s="71">
        <v>46058.0</v>
      </c>
      <c r="B83" s="22" t="s">
        <v>51</v>
      </c>
      <c r="C83" s="22" t="s">
        <v>52</v>
      </c>
      <c r="E83" s="23">
        <v>150.0</v>
      </c>
      <c r="L83" s="22" t="s">
        <v>938</v>
      </c>
      <c r="M83" s="22" t="s">
        <v>189</v>
      </c>
    </row>
    <row r="84">
      <c r="A84" s="71">
        <v>46058.0</v>
      </c>
      <c r="B84" s="27" t="s">
        <v>70</v>
      </c>
      <c r="C84" s="27" t="s">
        <v>71</v>
      </c>
      <c r="E84" s="23">
        <v>187.0</v>
      </c>
      <c r="L84" s="22" t="s">
        <v>938</v>
      </c>
      <c r="M84" s="22" t="s">
        <v>189</v>
      </c>
    </row>
    <row r="85">
      <c r="A85" s="71">
        <v>46035.0</v>
      </c>
      <c r="B85" s="27" t="s">
        <v>70</v>
      </c>
      <c r="C85" s="27" t="s">
        <v>71</v>
      </c>
      <c r="E85" s="23">
        <v>187.0</v>
      </c>
      <c r="L85" s="22" t="s">
        <v>938</v>
      </c>
      <c r="M85" s="22" t="s">
        <v>189</v>
      </c>
    </row>
    <row r="86">
      <c r="A86" s="71">
        <v>46063.0</v>
      </c>
      <c r="B86" s="27" t="s">
        <v>72</v>
      </c>
      <c r="C86" s="27" t="s">
        <v>73</v>
      </c>
      <c r="E86" s="23">
        <v>108.0</v>
      </c>
      <c r="L86" s="22" t="s">
        <v>938</v>
      </c>
      <c r="M86" s="22" t="s">
        <v>189</v>
      </c>
    </row>
    <row r="87">
      <c r="A87" s="71">
        <v>46073.0</v>
      </c>
      <c r="B87" s="22" t="s">
        <v>12</v>
      </c>
      <c r="C87" s="22" t="s">
        <v>13</v>
      </c>
      <c r="E87" s="23">
        <v>1.0</v>
      </c>
      <c r="L87" s="22" t="s">
        <v>938</v>
      </c>
      <c r="M87" s="22" t="s">
        <v>189</v>
      </c>
    </row>
    <row r="88">
      <c r="A88" s="71">
        <v>46073.0</v>
      </c>
      <c r="B88" s="27" t="s">
        <v>70</v>
      </c>
      <c r="C88" s="27" t="s">
        <v>71</v>
      </c>
      <c r="E88" s="23">
        <v>150.0</v>
      </c>
      <c r="L88" s="22" t="s">
        <v>938</v>
      </c>
      <c r="M88" s="22" t="s">
        <v>189</v>
      </c>
    </row>
    <row r="89">
      <c r="A89" s="71">
        <v>46076.0</v>
      </c>
      <c r="B89" s="27" t="s">
        <v>70</v>
      </c>
      <c r="C89" s="27" t="s">
        <v>71</v>
      </c>
      <c r="E89" s="23">
        <v>150.0</v>
      </c>
      <c r="L89" s="22" t="s">
        <v>938</v>
      </c>
      <c r="M89" s="22" t="s">
        <v>189</v>
      </c>
    </row>
    <row r="90">
      <c r="A90" s="71">
        <v>46078.0</v>
      </c>
      <c r="B90" s="27" t="s">
        <v>117</v>
      </c>
      <c r="C90" s="27" t="s">
        <v>118</v>
      </c>
      <c r="E90" s="23">
        <v>2.0</v>
      </c>
      <c r="L90" s="22" t="s">
        <v>938</v>
      </c>
      <c r="M90" s="22" t="s">
        <v>189</v>
      </c>
    </row>
    <row r="91">
      <c r="A91" s="71">
        <v>46079.0</v>
      </c>
      <c r="B91" s="22" t="s">
        <v>72</v>
      </c>
      <c r="C91" s="22" t="s">
        <v>73</v>
      </c>
      <c r="E91" s="23">
        <v>600.0</v>
      </c>
      <c r="L91" s="22" t="s">
        <v>938</v>
      </c>
      <c r="M91" s="22" t="s">
        <v>189</v>
      </c>
    </row>
    <row r="92">
      <c r="A92" s="71">
        <v>46080.0</v>
      </c>
      <c r="B92" s="22" t="s">
        <v>12</v>
      </c>
      <c r="C92" s="22" t="s">
        <v>13</v>
      </c>
      <c r="E92" s="23">
        <v>15.0</v>
      </c>
      <c r="L92" s="22" t="s">
        <v>938</v>
      </c>
      <c r="M92" s="22" t="s">
        <v>189</v>
      </c>
    </row>
    <row r="93">
      <c r="A93" s="71">
        <v>46085.0</v>
      </c>
      <c r="B93" s="22" t="s">
        <v>55</v>
      </c>
      <c r="C93" s="22" t="s">
        <v>56</v>
      </c>
      <c r="E93" s="23">
        <v>27.0</v>
      </c>
      <c r="L93" s="22" t="s">
        <v>938</v>
      </c>
      <c r="M93" s="22" t="s">
        <v>189</v>
      </c>
    </row>
    <row r="94">
      <c r="A94" s="71">
        <v>46093.0</v>
      </c>
      <c r="B94" s="22" t="s">
        <v>51</v>
      </c>
      <c r="C94" s="22" t="s">
        <v>52</v>
      </c>
      <c r="E94" s="23">
        <v>150.0</v>
      </c>
      <c r="L94" s="22" t="s">
        <v>938</v>
      </c>
      <c r="M94" s="22" t="s">
        <v>189</v>
      </c>
    </row>
    <row r="95">
      <c r="A95" s="71">
        <v>46099.0</v>
      </c>
      <c r="B95" s="22" t="s">
        <v>66</v>
      </c>
      <c r="C95" s="22" t="s">
        <v>67</v>
      </c>
      <c r="E95" s="23">
        <v>286.0</v>
      </c>
      <c r="L95" s="22" t="s">
        <v>938</v>
      </c>
      <c r="M95" s="22" t="s">
        <v>189</v>
      </c>
    </row>
    <row r="96">
      <c r="A96" s="71">
        <v>46107.0</v>
      </c>
      <c r="B96" s="22" t="s">
        <v>47</v>
      </c>
      <c r="C96" s="22" t="s">
        <v>48</v>
      </c>
      <c r="E96" s="23">
        <v>32.0</v>
      </c>
      <c r="L96" s="22" t="s">
        <v>938</v>
      </c>
      <c r="M96" s="22" t="s">
        <v>189</v>
      </c>
    </row>
    <row r="97">
      <c r="A97" s="71">
        <v>46126.0</v>
      </c>
      <c r="B97" s="22" t="s">
        <v>158</v>
      </c>
      <c r="C97" s="22" t="s">
        <v>159</v>
      </c>
      <c r="E97" s="22">
        <v>7.0</v>
      </c>
      <c r="L97" s="22" t="s">
        <v>938</v>
      </c>
      <c r="M97" s="22" t="s">
        <v>189</v>
      </c>
    </row>
    <row r="98">
      <c r="A98" s="71">
        <v>46126.0</v>
      </c>
      <c r="B98" s="22" t="s">
        <v>117</v>
      </c>
      <c r="C98" s="22" t="s">
        <v>118</v>
      </c>
      <c r="E98" s="22">
        <v>1.0</v>
      </c>
      <c r="L98" s="22" t="s">
        <v>938</v>
      </c>
      <c r="M98" s="22" t="s">
        <v>189</v>
      </c>
      <c r="N98" s="22" t="s">
        <v>939</v>
      </c>
    </row>
    <row r="99">
      <c r="A99" s="71">
        <v>46127.0</v>
      </c>
      <c r="B99" s="22" t="s">
        <v>110</v>
      </c>
      <c r="C99" s="27" t="s">
        <v>111</v>
      </c>
      <c r="E99" s="22">
        <v>11.0</v>
      </c>
      <c r="L99" s="22" t="s">
        <v>938</v>
      </c>
      <c r="M99" s="22" t="s">
        <v>189</v>
      </c>
      <c r="N99" s="22" t="s">
        <v>939</v>
      </c>
    </row>
    <row r="100">
      <c r="A100" s="71">
        <v>46127.0</v>
      </c>
      <c r="B100" s="22" t="s">
        <v>53</v>
      </c>
      <c r="C100" s="22" t="s">
        <v>54</v>
      </c>
      <c r="E100" s="22">
        <v>116.0</v>
      </c>
      <c r="L100" s="22" t="s">
        <v>938</v>
      </c>
      <c r="M100" s="22" t="s">
        <v>189</v>
      </c>
      <c r="N100" s="22" t="s">
        <v>939</v>
      </c>
    </row>
    <row r="101">
      <c r="A101" s="71">
        <v>46127.0</v>
      </c>
      <c r="B101" s="22" t="s">
        <v>110</v>
      </c>
      <c r="C101" s="27" t="s">
        <v>111</v>
      </c>
      <c r="E101" s="22">
        <v>9.0</v>
      </c>
      <c r="L101" s="22" t="s">
        <v>938</v>
      </c>
      <c r="M101" s="22" t="s">
        <v>189</v>
      </c>
      <c r="N101" s="22" t="s">
        <v>939</v>
      </c>
    </row>
    <row r="102">
      <c r="A102" s="71">
        <v>46127.0</v>
      </c>
      <c r="B102" s="22" t="s">
        <v>62</v>
      </c>
      <c r="C102" s="22" t="s">
        <v>63</v>
      </c>
      <c r="E102" s="22">
        <v>34.0</v>
      </c>
      <c r="L102" s="22" t="s">
        <v>938</v>
      </c>
      <c r="M102" s="22" t="s">
        <v>189</v>
      </c>
      <c r="N102" s="22" t="s">
        <v>939</v>
      </c>
    </row>
    <row r="103">
      <c r="A103" s="71">
        <v>46127.0</v>
      </c>
      <c r="B103" s="22" t="s">
        <v>88</v>
      </c>
      <c r="C103" s="22" t="s">
        <v>89</v>
      </c>
      <c r="E103" s="22">
        <v>21.0</v>
      </c>
      <c r="L103" s="22" t="s">
        <v>938</v>
      </c>
      <c r="M103" s="22" t="s">
        <v>189</v>
      </c>
      <c r="N103" s="22" t="s">
        <v>939</v>
      </c>
    </row>
    <row r="104">
      <c r="A104" s="71">
        <v>46127.0</v>
      </c>
      <c r="B104" s="22" t="s">
        <v>51</v>
      </c>
      <c r="C104" s="22" t="s">
        <v>52</v>
      </c>
      <c r="E104" s="22">
        <v>72.0</v>
      </c>
      <c r="L104" s="22" t="s">
        <v>938</v>
      </c>
      <c r="M104" s="22" t="s">
        <v>189</v>
      </c>
      <c r="N104" s="22" t="s">
        <v>939</v>
      </c>
    </row>
    <row r="105">
      <c r="A105" s="71">
        <v>46127.0</v>
      </c>
      <c r="B105" s="22" t="s">
        <v>141</v>
      </c>
      <c r="C105" s="22" t="s">
        <v>142</v>
      </c>
      <c r="E105" s="22">
        <v>42.0</v>
      </c>
      <c r="L105" s="22" t="s">
        <v>938</v>
      </c>
      <c r="M105" s="22" t="s">
        <v>189</v>
      </c>
      <c r="N105" s="22" t="s">
        <v>939</v>
      </c>
    </row>
    <row r="106">
      <c r="A106" s="71">
        <v>46147.0</v>
      </c>
      <c r="B106" s="22" t="s">
        <v>117</v>
      </c>
      <c r="C106" s="22" t="s">
        <v>118</v>
      </c>
      <c r="E106" s="22">
        <v>2.0</v>
      </c>
      <c r="L106" s="22" t="s">
        <v>938</v>
      </c>
      <c r="M106" s="22" t="s">
        <v>189</v>
      </c>
      <c r="N106" s="22" t="s">
        <v>939</v>
      </c>
    </row>
    <row r="107">
      <c r="A107" s="71">
        <v>46147.0</v>
      </c>
      <c r="B107" s="27" t="s">
        <v>70</v>
      </c>
      <c r="C107" s="27" t="s">
        <v>71</v>
      </c>
      <c r="E107" s="22">
        <v>100.0</v>
      </c>
      <c r="L107" s="22" t="s">
        <v>938</v>
      </c>
      <c r="M107" s="22" t="s">
        <v>189</v>
      </c>
    </row>
    <row r="108">
      <c r="A108" s="71">
        <v>46148.0</v>
      </c>
      <c r="B108" s="35" t="s">
        <v>51</v>
      </c>
      <c r="C108" s="35" t="s">
        <v>52</v>
      </c>
      <c r="E108" s="24">
        <v>141.0</v>
      </c>
      <c r="L108" s="22" t="s">
        <v>938</v>
      </c>
      <c r="M108" s="22" t="s">
        <v>189</v>
      </c>
      <c r="N108" s="22" t="s">
        <v>939</v>
      </c>
    </row>
    <row r="109">
      <c r="A109" s="71">
        <v>46148.0</v>
      </c>
      <c r="B109" s="22" t="s">
        <v>88</v>
      </c>
      <c r="C109" s="22" t="s">
        <v>89</v>
      </c>
      <c r="E109" s="22">
        <v>51.0</v>
      </c>
      <c r="L109" s="22" t="s">
        <v>938</v>
      </c>
      <c r="M109" s="22" t="s">
        <v>189</v>
      </c>
      <c r="N109" s="22" t="s">
        <v>939</v>
      </c>
    </row>
    <row r="110">
      <c r="A110" s="71">
        <v>46148.0</v>
      </c>
      <c r="B110" s="22" t="s">
        <v>72</v>
      </c>
      <c r="C110" s="22" t="s">
        <v>73</v>
      </c>
      <c r="E110" s="22">
        <v>86.0</v>
      </c>
      <c r="L110" s="22" t="s">
        <v>938</v>
      </c>
      <c r="M110" s="22" t="s">
        <v>189</v>
      </c>
      <c r="N110" s="22" t="s">
        <v>939</v>
      </c>
    </row>
    <row r="111">
      <c r="A111" s="71">
        <v>46148.0</v>
      </c>
      <c r="B111" s="22" t="s">
        <v>49</v>
      </c>
      <c r="C111" s="22" t="s">
        <v>50</v>
      </c>
      <c r="E111" s="22">
        <v>3.0</v>
      </c>
      <c r="L111" s="22" t="s">
        <v>938</v>
      </c>
      <c r="M111" s="22" t="s">
        <v>189</v>
      </c>
      <c r="N111" s="22" t="s">
        <v>939</v>
      </c>
    </row>
    <row r="112">
      <c r="A112" s="71">
        <v>46148.0</v>
      </c>
      <c r="B112" s="27" t="s">
        <v>70</v>
      </c>
      <c r="C112" s="27" t="s">
        <v>71</v>
      </c>
      <c r="E112" s="22">
        <v>100.0</v>
      </c>
      <c r="L112" s="22" t="s">
        <v>938</v>
      </c>
      <c r="M112" s="22" t="s">
        <v>189</v>
      </c>
    </row>
    <row r="113">
      <c r="A113" s="71">
        <v>46148.0</v>
      </c>
      <c r="B113" s="22" t="s">
        <v>12</v>
      </c>
      <c r="C113" s="22" t="s">
        <v>13</v>
      </c>
      <c r="E113" s="22">
        <v>2.0</v>
      </c>
      <c r="L113" s="22" t="s">
        <v>938</v>
      </c>
      <c r="M113" s="22" t="s">
        <v>189</v>
      </c>
      <c r="N113" s="22" t="s">
        <v>939</v>
      </c>
    </row>
    <row r="114">
      <c r="A114" s="71">
        <v>46155.0</v>
      </c>
      <c r="B114" s="22" t="s">
        <v>12</v>
      </c>
      <c r="C114" s="22" t="s">
        <v>13</v>
      </c>
      <c r="E114" s="22">
        <v>6.0</v>
      </c>
      <c r="L114" s="22" t="s">
        <v>938</v>
      </c>
      <c r="M114" s="22" t="s">
        <v>189</v>
      </c>
    </row>
    <row r="115">
      <c r="A115" s="71">
        <v>46155.0</v>
      </c>
      <c r="B115" s="27" t="s">
        <v>70</v>
      </c>
      <c r="C115" s="27" t="s">
        <v>71</v>
      </c>
      <c r="E115" s="22">
        <v>300.0</v>
      </c>
      <c r="L115" s="22" t="s">
        <v>938</v>
      </c>
      <c r="M115" s="22" t="s">
        <v>189</v>
      </c>
    </row>
    <row r="116">
      <c r="A116" s="71">
        <v>46155.0</v>
      </c>
      <c r="B116" s="22" t="s">
        <v>119</v>
      </c>
      <c r="C116" s="22" t="s">
        <v>120</v>
      </c>
      <c r="E116" s="22">
        <v>250.0</v>
      </c>
      <c r="L116" s="22" t="s">
        <v>938</v>
      </c>
      <c r="M116" s="22" t="s">
        <v>189</v>
      </c>
    </row>
    <row r="117">
      <c r="A117" s="71">
        <v>46155.0</v>
      </c>
      <c r="B117" s="22" t="s">
        <v>94</v>
      </c>
      <c r="C117" s="27" t="s">
        <v>95</v>
      </c>
      <c r="E117" s="22">
        <v>5.0</v>
      </c>
      <c r="L117" s="22" t="s">
        <v>938</v>
      </c>
      <c r="M117" s="22" t="s">
        <v>189</v>
      </c>
    </row>
    <row r="118">
      <c r="A118" s="71">
        <v>46164.0</v>
      </c>
      <c r="B118" s="22" t="s">
        <v>45</v>
      </c>
      <c r="C118" s="22" t="s">
        <v>46</v>
      </c>
      <c r="E118" s="22">
        <v>20.0</v>
      </c>
      <c r="L118" s="22" t="s">
        <v>938</v>
      </c>
      <c r="M118" s="22" t="s">
        <v>189</v>
      </c>
      <c r="N118" s="22" t="s">
        <v>940</v>
      </c>
    </row>
    <row r="119">
      <c r="A119" s="71">
        <v>46164.0</v>
      </c>
      <c r="B119" s="22" t="s">
        <v>72</v>
      </c>
      <c r="C119" s="22" t="s">
        <v>73</v>
      </c>
      <c r="E119" s="22">
        <v>79.0</v>
      </c>
      <c r="L119" s="22" t="s">
        <v>938</v>
      </c>
      <c r="M119" s="22" t="s">
        <v>189</v>
      </c>
      <c r="N119" s="22" t="s">
        <v>940</v>
      </c>
    </row>
    <row r="120">
      <c r="A120" s="71">
        <v>46164.0</v>
      </c>
      <c r="B120" s="22" t="s">
        <v>162</v>
      </c>
      <c r="C120" s="22" t="s">
        <v>163</v>
      </c>
      <c r="E120" s="22">
        <v>13.0</v>
      </c>
      <c r="L120" s="22" t="s">
        <v>938</v>
      </c>
      <c r="M120" s="22" t="s">
        <v>189</v>
      </c>
    </row>
    <row r="121">
      <c r="A121" s="71">
        <v>46164.0</v>
      </c>
      <c r="B121" s="22" t="s">
        <v>110</v>
      </c>
      <c r="C121" s="27" t="s">
        <v>111</v>
      </c>
      <c r="E121" s="22">
        <v>20.0</v>
      </c>
      <c r="L121" s="22" t="s">
        <v>938</v>
      </c>
      <c r="M121" s="22" t="s">
        <v>189</v>
      </c>
      <c r="N121" s="22" t="s">
        <v>940</v>
      </c>
    </row>
    <row r="122">
      <c r="A122" s="71">
        <v>46164.0</v>
      </c>
      <c r="B122" s="22">
        <v>3.0000107E7</v>
      </c>
      <c r="C122" s="22" t="s">
        <v>15</v>
      </c>
      <c r="E122" s="22">
        <v>13206.0</v>
      </c>
      <c r="L122" s="22" t="s">
        <v>938</v>
      </c>
      <c r="M122" s="22" t="s">
        <v>189</v>
      </c>
      <c r="N122" s="22" t="s">
        <v>940</v>
      </c>
    </row>
    <row r="123">
      <c r="A123" s="71">
        <v>46164.0</v>
      </c>
      <c r="B123" s="22">
        <v>3.0000108E7</v>
      </c>
      <c r="C123" s="22" t="s">
        <v>16</v>
      </c>
      <c r="E123" s="22">
        <v>3100.0</v>
      </c>
      <c r="L123" s="22" t="s">
        <v>938</v>
      </c>
      <c r="M123" s="22" t="s">
        <v>189</v>
      </c>
      <c r="N123" s="22" t="s">
        <v>940</v>
      </c>
    </row>
    <row r="124">
      <c r="A124" s="71">
        <v>46164.0</v>
      </c>
      <c r="B124" s="22">
        <v>3.0000109E7</v>
      </c>
      <c r="C124" s="22" t="s">
        <v>17</v>
      </c>
      <c r="E124" s="22">
        <v>5602.0</v>
      </c>
      <c r="L124" s="22" t="s">
        <v>938</v>
      </c>
      <c r="M124" s="22" t="s">
        <v>189</v>
      </c>
      <c r="N124" s="22" t="s">
        <v>940</v>
      </c>
    </row>
    <row r="125">
      <c r="A125" s="71">
        <v>46164.0</v>
      </c>
      <c r="B125" s="22">
        <v>3.000011E7</v>
      </c>
      <c r="C125" s="22" t="s">
        <v>18</v>
      </c>
      <c r="E125" s="22">
        <v>50126.0</v>
      </c>
      <c r="L125" s="22" t="s">
        <v>938</v>
      </c>
      <c r="M125" s="22" t="s">
        <v>189</v>
      </c>
      <c r="N125" s="22" t="s">
        <v>940</v>
      </c>
    </row>
    <row r="126">
      <c r="A126" s="71">
        <v>46164.0</v>
      </c>
      <c r="B126" s="22">
        <v>3.0000101E7</v>
      </c>
      <c r="C126" s="22" t="s">
        <v>19</v>
      </c>
      <c r="E126" s="22">
        <v>19501.0</v>
      </c>
      <c r="L126" s="22" t="s">
        <v>938</v>
      </c>
      <c r="M126" s="22" t="s">
        <v>189</v>
      </c>
      <c r="N126" s="22" t="s">
        <v>940</v>
      </c>
    </row>
    <row r="127">
      <c r="A127" s="71">
        <v>46164.0</v>
      </c>
      <c r="B127" s="22">
        <v>3.0000103E7</v>
      </c>
      <c r="C127" s="22" t="s">
        <v>20</v>
      </c>
      <c r="E127" s="22">
        <v>18101.0</v>
      </c>
      <c r="L127" s="22" t="s">
        <v>938</v>
      </c>
      <c r="M127" s="22" t="s">
        <v>189</v>
      </c>
      <c r="N127" s="22" t="s">
        <v>940</v>
      </c>
    </row>
    <row r="128">
      <c r="A128" s="71">
        <v>46164.0</v>
      </c>
      <c r="B128" s="22">
        <v>3.0000104E7</v>
      </c>
      <c r="C128" s="22" t="s">
        <v>21</v>
      </c>
      <c r="E128" s="22">
        <v>8102.0</v>
      </c>
      <c r="L128" s="22" t="s">
        <v>938</v>
      </c>
      <c r="M128" s="22" t="s">
        <v>189</v>
      </c>
      <c r="N128" s="22" t="s">
        <v>940</v>
      </c>
    </row>
    <row r="129">
      <c r="A129" s="71">
        <v>46164.0</v>
      </c>
      <c r="B129" s="22">
        <v>3.0000102E7</v>
      </c>
      <c r="C129" s="22" t="s">
        <v>22</v>
      </c>
      <c r="E129" s="22">
        <v>19653.0</v>
      </c>
      <c r="L129" s="22" t="s">
        <v>938</v>
      </c>
      <c r="M129" s="22" t="s">
        <v>189</v>
      </c>
      <c r="N129" s="22" t="s">
        <v>940</v>
      </c>
    </row>
    <row r="130">
      <c r="A130" s="71">
        <v>46182.0</v>
      </c>
      <c r="B130" s="22" t="s">
        <v>158</v>
      </c>
      <c r="C130" s="22" t="s">
        <v>159</v>
      </c>
      <c r="E130" s="22">
        <v>68.0</v>
      </c>
      <c r="L130" s="22" t="s">
        <v>938</v>
      </c>
      <c r="M130" s="22" t="s">
        <v>189</v>
      </c>
      <c r="N130" s="22" t="s">
        <v>940</v>
      </c>
    </row>
    <row r="131">
      <c r="A131" s="71">
        <v>46182.0</v>
      </c>
      <c r="B131" s="22" t="s">
        <v>72</v>
      </c>
      <c r="C131" s="22" t="s">
        <v>73</v>
      </c>
      <c r="E131" s="22">
        <v>1249.0</v>
      </c>
      <c r="L131" s="22" t="s">
        <v>938</v>
      </c>
      <c r="M131" s="22" t="s">
        <v>189</v>
      </c>
      <c r="N131" s="22" t="s">
        <v>940</v>
      </c>
    </row>
    <row r="132">
      <c r="A132" s="71">
        <v>46182.0</v>
      </c>
      <c r="B132" s="22" t="s">
        <v>110</v>
      </c>
      <c r="C132" s="22" t="s">
        <v>111</v>
      </c>
      <c r="E132" s="22">
        <v>10.0</v>
      </c>
      <c r="L132" s="22" t="s">
        <v>938</v>
      </c>
      <c r="M132" s="22" t="s">
        <v>189</v>
      </c>
      <c r="N132" s="22" t="s">
        <v>940</v>
      </c>
    </row>
    <row r="133">
      <c r="A133" s="71">
        <v>46182.0</v>
      </c>
      <c r="B133" s="22" t="s">
        <v>162</v>
      </c>
      <c r="C133" s="22" t="s">
        <v>163</v>
      </c>
      <c r="E133" s="22">
        <v>10.0</v>
      </c>
      <c r="L133" s="22" t="s">
        <v>938</v>
      </c>
      <c r="M133" s="22" t="s">
        <v>189</v>
      </c>
      <c r="N133" s="22" t="s">
        <v>940</v>
      </c>
    </row>
    <row r="134">
      <c r="A134" s="71">
        <v>46182.0</v>
      </c>
      <c r="B134" s="22" t="s">
        <v>117</v>
      </c>
      <c r="C134" s="22" t="s">
        <v>118</v>
      </c>
      <c r="E134" s="22">
        <v>544.0</v>
      </c>
      <c r="L134" s="22" t="s">
        <v>938</v>
      </c>
      <c r="M134" s="22" t="s">
        <v>189</v>
      </c>
      <c r="N134" s="22" t="s">
        <v>940</v>
      </c>
    </row>
    <row r="135">
      <c r="A135" s="71">
        <v>46182.0</v>
      </c>
      <c r="B135" s="22" t="s">
        <v>12</v>
      </c>
      <c r="C135" s="22" t="s">
        <v>13</v>
      </c>
      <c r="E135" s="22">
        <v>6.0</v>
      </c>
      <c r="L135" s="22" t="s">
        <v>938</v>
      </c>
      <c r="M135" s="22" t="s">
        <v>189</v>
      </c>
      <c r="N135" s="22" t="s">
        <v>940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61.25"/>
    <col customWidth="1" min="3" max="3" width="13.88"/>
    <col customWidth="1" min="4" max="4" width="47.63"/>
    <col customWidth="1" min="8" max="8" width="36.13"/>
    <col customWidth="1" min="9" max="9" width="49.25"/>
    <col customWidth="1" min="10" max="10" width="21.75"/>
  </cols>
  <sheetData>
    <row r="1">
      <c r="A1" s="72" t="s">
        <v>928</v>
      </c>
      <c r="B1" s="21" t="s">
        <v>941</v>
      </c>
      <c r="C1" s="21" t="s">
        <v>146</v>
      </c>
      <c r="D1" s="21" t="s">
        <v>147</v>
      </c>
      <c r="E1" s="21" t="s">
        <v>929</v>
      </c>
      <c r="F1" s="21" t="s">
        <v>148</v>
      </c>
      <c r="G1" s="21" t="s">
        <v>942</v>
      </c>
      <c r="H1" s="21" t="s">
        <v>943</v>
      </c>
      <c r="I1" s="21" t="s">
        <v>944</v>
      </c>
      <c r="J1" s="21" t="s">
        <v>945</v>
      </c>
    </row>
    <row r="2" hidden="1">
      <c r="A2" s="71">
        <v>45868.0</v>
      </c>
      <c r="B2" s="22" t="s">
        <v>201</v>
      </c>
      <c r="C2" s="25" t="str">
        <f>IFERROR(__xludf.DUMMYFUNCTION("ARRAYFORMULA(
IF(B2:B1209="""","""",REGEXEXTRACT(
TRIM(SUBSTITUTE(B2:B1209,CHAR(160),"" "")),
""^\S+""
)))
"),"MCC015UC0045")</f>
        <v>MCC015UC0045</v>
      </c>
      <c r="D2" s="25" t="str">
        <f>IFERROR(__xludf.DUMMYFUNCTION("ARRAYFORMULA(
IF(B2:B1209="""","""",REGEXREPLACE(
TRIM(SUBSTITUTE(B2:B1209,CHAR(160),"" "")),
""^\S+\s*"",
""""
)))
"),"FITA ADESIVA 69MM X 100M")</f>
        <v>FITA ADESIVA 69MM X 100M</v>
      </c>
      <c r="E2" s="23">
        <v>10.0</v>
      </c>
      <c r="G2" s="73"/>
      <c r="H2" s="73" t="s">
        <v>200</v>
      </c>
      <c r="I2" s="73" t="s">
        <v>202</v>
      </c>
      <c r="J2" s="22" t="s">
        <v>946</v>
      </c>
    </row>
    <row r="3" hidden="1">
      <c r="A3" s="71">
        <v>45868.0</v>
      </c>
      <c r="B3" s="22" t="s">
        <v>201</v>
      </c>
      <c r="C3" s="25" t="str">
        <f>IFERROR(__xludf.DUMMYFUNCTION("""COMPUTED_VALUE"""),"MCC015UC0045")</f>
        <v>MCC015UC0045</v>
      </c>
      <c r="D3" s="25" t="str">
        <f>IFERROR(__xludf.DUMMYFUNCTION("""COMPUTED_VALUE"""),"FITA ADESIVA 69MM X 100M")</f>
        <v>FITA ADESIVA 69MM X 100M</v>
      </c>
      <c r="E3" s="23">
        <v>4.0</v>
      </c>
      <c r="G3" s="73"/>
      <c r="H3" s="73" t="s">
        <v>203</v>
      </c>
      <c r="I3" s="73" t="s">
        <v>204</v>
      </c>
      <c r="J3" s="22" t="s">
        <v>946</v>
      </c>
    </row>
    <row r="4" hidden="1">
      <c r="A4" s="71">
        <v>45875.0</v>
      </c>
      <c r="B4" s="22" t="s">
        <v>224</v>
      </c>
      <c r="C4" s="25" t="str">
        <f>IFERROR(__xludf.DUMMYFUNCTION("""COMPUTED_VALUE"""),"MCC015UC0045")</f>
        <v>MCC015UC0045</v>
      </c>
      <c r="D4" s="25" t="str">
        <f>IFERROR(__xludf.DUMMYFUNCTION("""COMPUTED_VALUE"""),"FITA ADESIVA 69MM X 100M")</f>
        <v>FITA ADESIVA 69MM X 100M</v>
      </c>
      <c r="E4" s="23">
        <v>24.0</v>
      </c>
      <c r="G4" s="22"/>
      <c r="H4" s="22" t="s">
        <v>220</v>
      </c>
      <c r="I4" s="22" t="s">
        <v>225</v>
      </c>
      <c r="J4" s="22" t="s">
        <v>946</v>
      </c>
    </row>
    <row r="5" hidden="1">
      <c r="A5" s="71">
        <v>45875.0</v>
      </c>
      <c r="B5" s="22" t="s">
        <v>224</v>
      </c>
      <c r="C5" s="25" t="str">
        <f>IFERROR(__xludf.DUMMYFUNCTION("""COMPUTED_VALUE"""),"MCC015UC0045")</f>
        <v>MCC015UC0045</v>
      </c>
      <c r="D5" s="25" t="str">
        <f>IFERROR(__xludf.DUMMYFUNCTION("""COMPUTED_VALUE"""),"FITA ADESIVA 69MM X 100M")</f>
        <v>FITA ADESIVA 69MM X 100M</v>
      </c>
      <c r="E5" s="23">
        <v>10.0</v>
      </c>
      <c r="G5" s="22"/>
      <c r="H5" s="22" t="s">
        <v>232</v>
      </c>
      <c r="I5" s="22" t="s">
        <v>233</v>
      </c>
      <c r="J5" s="22" t="s">
        <v>946</v>
      </c>
    </row>
    <row r="6" hidden="1">
      <c r="A6" s="71">
        <v>45881.0</v>
      </c>
      <c r="B6" s="22" t="s">
        <v>224</v>
      </c>
      <c r="C6" s="25" t="str">
        <f>IFERROR(__xludf.DUMMYFUNCTION("""COMPUTED_VALUE"""),"MCC015UC0045")</f>
        <v>MCC015UC0045</v>
      </c>
      <c r="D6" s="25" t="str">
        <f>IFERROR(__xludf.DUMMYFUNCTION("""COMPUTED_VALUE"""),"FITA ADESIVA 69MM X 100M")</f>
        <v>FITA ADESIVA 69MM X 100M</v>
      </c>
      <c r="E6" s="23">
        <v>1.0</v>
      </c>
      <c r="G6" s="22"/>
      <c r="H6" s="22" t="s">
        <v>210</v>
      </c>
      <c r="I6" s="22" t="s">
        <v>266</v>
      </c>
      <c r="J6" s="22" t="s">
        <v>946</v>
      </c>
    </row>
    <row r="7" hidden="1">
      <c r="A7" s="71">
        <v>45881.0</v>
      </c>
      <c r="B7" s="22" t="s">
        <v>224</v>
      </c>
      <c r="C7" s="25" t="str">
        <f>IFERROR(__xludf.DUMMYFUNCTION("""COMPUTED_VALUE"""),"MCC015UC0045")</f>
        <v>MCC015UC0045</v>
      </c>
      <c r="D7" s="25" t="str">
        <f>IFERROR(__xludf.DUMMYFUNCTION("""COMPUTED_VALUE"""),"FITA ADESIVA 69MM X 100M")</f>
        <v>FITA ADESIVA 69MM X 100M</v>
      </c>
      <c r="E7" s="23">
        <v>24.0</v>
      </c>
      <c r="G7" s="22"/>
      <c r="H7" s="22" t="s">
        <v>220</v>
      </c>
      <c r="I7" s="22" t="s">
        <v>269</v>
      </c>
      <c r="J7" s="22" t="s">
        <v>946</v>
      </c>
    </row>
    <row r="8" hidden="1">
      <c r="A8" s="71">
        <v>45883.0</v>
      </c>
      <c r="B8" s="22" t="s">
        <v>224</v>
      </c>
      <c r="C8" s="25" t="str">
        <f>IFERROR(__xludf.DUMMYFUNCTION("""COMPUTED_VALUE"""),"MCC015UC0045")</f>
        <v>MCC015UC0045</v>
      </c>
      <c r="D8" s="25" t="str">
        <f>IFERROR(__xludf.DUMMYFUNCTION("""COMPUTED_VALUE"""),"FITA ADESIVA 69MM X 100M")</f>
        <v>FITA ADESIVA 69MM X 100M</v>
      </c>
      <c r="E8" s="23">
        <v>24.0</v>
      </c>
      <c r="G8" s="22"/>
      <c r="H8" s="22" t="s">
        <v>282</v>
      </c>
      <c r="I8" s="22" t="s">
        <v>286</v>
      </c>
      <c r="J8" s="22" t="s">
        <v>946</v>
      </c>
    </row>
    <row r="9" hidden="1">
      <c r="A9" s="71">
        <v>45887.0</v>
      </c>
      <c r="B9" s="22" t="s">
        <v>224</v>
      </c>
      <c r="C9" s="25" t="str">
        <f>IFERROR(__xludf.DUMMYFUNCTION("""COMPUTED_VALUE"""),"MCC015UC0045")</f>
        <v>MCC015UC0045</v>
      </c>
      <c r="D9" s="25" t="str">
        <f>IFERROR(__xludf.DUMMYFUNCTION("""COMPUTED_VALUE"""),"FITA ADESIVA 69MM X 100M")</f>
        <v>FITA ADESIVA 69MM X 100M</v>
      </c>
      <c r="E9" s="23">
        <v>12.0</v>
      </c>
      <c r="G9" s="22"/>
      <c r="H9" s="22" t="s">
        <v>220</v>
      </c>
      <c r="I9" s="22" t="s">
        <v>289</v>
      </c>
      <c r="J9" s="22" t="s">
        <v>946</v>
      </c>
    </row>
    <row r="10" hidden="1">
      <c r="A10" s="71">
        <v>45887.0</v>
      </c>
      <c r="B10" s="22" t="s">
        <v>224</v>
      </c>
      <c r="C10" s="25" t="str">
        <f>IFERROR(__xludf.DUMMYFUNCTION("""COMPUTED_VALUE"""),"MCC015UC0045")</f>
        <v>MCC015UC0045</v>
      </c>
      <c r="D10" s="25" t="str">
        <f>IFERROR(__xludf.DUMMYFUNCTION("""COMPUTED_VALUE"""),"FITA ADESIVA 69MM X 100M")</f>
        <v>FITA ADESIVA 69MM X 100M</v>
      </c>
      <c r="E10" s="23">
        <v>3.0</v>
      </c>
      <c r="G10" s="22" t="s">
        <v>913</v>
      </c>
      <c r="H10" s="22" t="s">
        <v>214</v>
      </c>
      <c r="I10" s="22" t="s">
        <v>290</v>
      </c>
      <c r="J10" s="22" t="s">
        <v>946</v>
      </c>
    </row>
    <row r="11" hidden="1">
      <c r="A11" s="71">
        <v>45889.0</v>
      </c>
      <c r="B11" s="22" t="s">
        <v>224</v>
      </c>
      <c r="C11" s="25" t="str">
        <f>IFERROR(__xludf.DUMMYFUNCTION("""COMPUTED_VALUE"""),"MCC015UC0045")</f>
        <v>MCC015UC0045</v>
      </c>
      <c r="D11" s="25" t="str">
        <f>IFERROR(__xludf.DUMMYFUNCTION("""COMPUTED_VALUE"""),"FITA ADESIVA 69MM X 100M")</f>
        <v>FITA ADESIVA 69MM X 100M</v>
      </c>
      <c r="E11" s="23">
        <v>4.0</v>
      </c>
      <c r="G11" s="22"/>
      <c r="H11" s="22" t="s">
        <v>235</v>
      </c>
      <c r="I11" s="22" t="s">
        <v>301</v>
      </c>
      <c r="J11" s="22" t="s">
        <v>946</v>
      </c>
    </row>
    <row r="12" hidden="1">
      <c r="A12" s="71">
        <v>45889.0</v>
      </c>
      <c r="B12" s="22" t="s">
        <v>224</v>
      </c>
      <c r="C12" s="25" t="str">
        <f>IFERROR(__xludf.DUMMYFUNCTION("""COMPUTED_VALUE"""),"MCC015UC0045")</f>
        <v>MCC015UC0045</v>
      </c>
      <c r="D12" s="25" t="str">
        <f>IFERROR(__xludf.DUMMYFUNCTION("""COMPUTED_VALUE"""),"FITA ADESIVA 69MM X 100M")</f>
        <v>FITA ADESIVA 69MM X 100M</v>
      </c>
      <c r="E12" s="23">
        <v>2.0</v>
      </c>
      <c r="G12" s="22"/>
      <c r="H12" s="22" t="s">
        <v>302</v>
      </c>
      <c r="I12" s="22" t="s">
        <v>303</v>
      </c>
      <c r="J12" s="22" t="s">
        <v>946</v>
      </c>
    </row>
    <row r="13" hidden="1">
      <c r="A13" s="71">
        <v>45889.0</v>
      </c>
      <c r="B13" s="22" t="s">
        <v>224</v>
      </c>
      <c r="C13" s="25" t="str">
        <f>IFERROR(__xludf.DUMMYFUNCTION("""COMPUTED_VALUE"""),"MCC015UC0045")</f>
        <v>MCC015UC0045</v>
      </c>
      <c r="D13" s="25" t="str">
        <f>IFERROR(__xludf.DUMMYFUNCTION("""COMPUTED_VALUE"""),"FITA ADESIVA 69MM X 100M")</f>
        <v>FITA ADESIVA 69MM X 100M</v>
      </c>
      <c r="E13" s="23">
        <v>2.0</v>
      </c>
      <c r="G13" s="22"/>
      <c r="H13" s="22" t="s">
        <v>270</v>
      </c>
      <c r="I13" s="22" t="s">
        <v>309</v>
      </c>
      <c r="J13" s="22" t="s">
        <v>946</v>
      </c>
    </row>
    <row r="14" hidden="1">
      <c r="A14" s="71">
        <v>45890.0</v>
      </c>
      <c r="B14" s="22" t="s">
        <v>224</v>
      </c>
      <c r="C14" s="25" t="str">
        <f>IFERROR(__xludf.DUMMYFUNCTION("""COMPUTED_VALUE"""),"MCC015UC0045")</f>
        <v>MCC015UC0045</v>
      </c>
      <c r="D14" s="25" t="str">
        <f>IFERROR(__xludf.DUMMYFUNCTION("""COMPUTED_VALUE"""),"FITA ADESIVA 69MM X 100M")</f>
        <v>FITA ADESIVA 69MM X 100M</v>
      </c>
      <c r="E14" s="23">
        <v>12.0</v>
      </c>
      <c r="G14" s="22"/>
      <c r="H14" s="22" t="s">
        <v>305</v>
      </c>
      <c r="I14" s="22" t="s">
        <v>316</v>
      </c>
      <c r="J14" s="22" t="s">
        <v>946</v>
      </c>
    </row>
    <row r="15" hidden="1">
      <c r="A15" s="71">
        <v>45890.0</v>
      </c>
      <c r="B15" s="22" t="s">
        <v>224</v>
      </c>
      <c r="C15" s="25" t="str">
        <f>IFERROR(__xludf.DUMMYFUNCTION("""COMPUTED_VALUE"""),"MCC015UC0045")</f>
        <v>MCC015UC0045</v>
      </c>
      <c r="D15" s="25" t="str">
        <f>IFERROR(__xludf.DUMMYFUNCTION("""COMPUTED_VALUE"""),"FITA ADESIVA 69MM X 100M")</f>
        <v>FITA ADESIVA 69MM X 100M</v>
      </c>
      <c r="E15" s="23">
        <v>1.0</v>
      </c>
      <c r="G15" s="22"/>
      <c r="H15" s="22" t="s">
        <v>210</v>
      </c>
      <c r="I15" s="22" t="s">
        <v>318</v>
      </c>
      <c r="J15" s="22" t="s">
        <v>946</v>
      </c>
    </row>
    <row r="16" hidden="1">
      <c r="A16" s="71">
        <v>45891.0</v>
      </c>
      <c r="B16" s="22" t="s">
        <v>224</v>
      </c>
      <c r="C16" s="25" t="str">
        <f>IFERROR(__xludf.DUMMYFUNCTION("""COMPUTED_VALUE"""),"MCC015UC0045")</f>
        <v>MCC015UC0045</v>
      </c>
      <c r="D16" s="25" t="str">
        <f>IFERROR(__xludf.DUMMYFUNCTION("""COMPUTED_VALUE"""),"FITA ADESIVA 69MM X 100M")</f>
        <v>FITA ADESIVA 69MM X 100M</v>
      </c>
      <c r="E16" s="23">
        <v>2.0</v>
      </c>
      <c r="G16" s="22"/>
      <c r="H16" s="22" t="s">
        <v>244</v>
      </c>
      <c r="I16" s="22" t="s">
        <v>326</v>
      </c>
      <c r="J16" s="22" t="s">
        <v>946</v>
      </c>
    </row>
    <row r="17" hidden="1">
      <c r="A17" s="71">
        <v>45891.0</v>
      </c>
      <c r="B17" s="22" t="s">
        <v>224</v>
      </c>
      <c r="C17" s="25" t="str">
        <f>IFERROR(__xludf.DUMMYFUNCTION("""COMPUTED_VALUE"""),"MCC015UC0045")</f>
        <v>MCC015UC0045</v>
      </c>
      <c r="D17" s="25" t="str">
        <f>IFERROR(__xludf.DUMMYFUNCTION("""COMPUTED_VALUE"""),"FITA ADESIVA 69MM X 100M")</f>
        <v>FITA ADESIVA 69MM X 100M</v>
      </c>
      <c r="E17" s="23">
        <v>6.0</v>
      </c>
      <c r="G17" s="22"/>
      <c r="H17" s="22" t="s">
        <v>305</v>
      </c>
      <c r="I17" s="22" t="s">
        <v>327</v>
      </c>
      <c r="J17" s="22" t="s">
        <v>946</v>
      </c>
    </row>
    <row r="18" hidden="1">
      <c r="A18" s="71">
        <v>45892.0</v>
      </c>
      <c r="B18" s="22" t="s">
        <v>224</v>
      </c>
      <c r="C18" s="25" t="str">
        <f>IFERROR(__xludf.DUMMYFUNCTION("""COMPUTED_VALUE"""),"MCC015UC0045")</f>
        <v>MCC015UC0045</v>
      </c>
      <c r="D18" s="25" t="str">
        <f>IFERROR(__xludf.DUMMYFUNCTION("""COMPUTED_VALUE"""),"FITA ADESIVA 69MM X 100M")</f>
        <v>FITA ADESIVA 69MM X 100M</v>
      </c>
      <c r="E18" s="23">
        <v>1.0</v>
      </c>
      <c r="G18" s="22"/>
      <c r="H18" s="22" t="s">
        <v>232</v>
      </c>
      <c r="I18" s="22" t="s">
        <v>330</v>
      </c>
      <c r="J18" s="22" t="s">
        <v>946</v>
      </c>
    </row>
    <row r="19" hidden="1">
      <c r="A19" s="71">
        <v>45894.0</v>
      </c>
      <c r="B19" s="22" t="s">
        <v>224</v>
      </c>
      <c r="C19" s="25" t="str">
        <f>IFERROR(__xludf.DUMMYFUNCTION("""COMPUTED_VALUE"""),"MCC015UC0045")</f>
        <v>MCC015UC0045</v>
      </c>
      <c r="D19" s="25" t="str">
        <f>IFERROR(__xludf.DUMMYFUNCTION("""COMPUTED_VALUE"""),"FITA ADESIVA 69MM X 100M")</f>
        <v>FITA ADESIVA 69MM X 100M</v>
      </c>
      <c r="E19" s="23">
        <v>10.0</v>
      </c>
      <c r="G19" s="22"/>
      <c r="H19" s="22" t="s">
        <v>200</v>
      </c>
      <c r="I19" s="22" t="s">
        <v>331</v>
      </c>
      <c r="J19" s="22" t="s">
        <v>946</v>
      </c>
    </row>
    <row r="20" hidden="1">
      <c r="A20" s="71">
        <v>45894.0</v>
      </c>
      <c r="B20" s="22" t="s">
        <v>224</v>
      </c>
      <c r="C20" s="25" t="str">
        <f>IFERROR(__xludf.DUMMYFUNCTION("""COMPUTED_VALUE"""),"MCC015UC0045")</f>
        <v>MCC015UC0045</v>
      </c>
      <c r="D20" s="25" t="str">
        <f>IFERROR(__xludf.DUMMYFUNCTION("""COMPUTED_VALUE"""),"FITA ADESIVA 69MM X 100M")</f>
        <v>FITA ADESIVA 69MM X 100M</v>
      </c>
      <c r="E20" s="23">
        <v>10.0</v>
      </c>
      <c r="G20" s="22"/>
      <c r="H20" s="22" t="s">
        <v>200</v>
      </c>
      <c r="I20" s="22" t="s">
        <v>332</v>
      </c>
      <c r="J20" s="22" t="s">
        <v>946</v>
      </c>
    </row>
    <row r="21" hidden="1">
      <c r="A21" s="71">
        <v>45896.0</v>
      </c>
      <c r="B21" s="22" t="s">
        <v>224</v>
      </c>
      <c r="C21" s="25" t="str">
        <f>IFERROR(__xludf.DUMMYFUNCTION("""COMPUTED_VALUE"""),"MCC015UC0045")</f>
        <v>MCC015UC0045</v>
      </c>
      <c r="D21" s="25" t="str">
        <f>IFERROR(__xludf.DUMMYFUNCTION("""COMPUTED_VALUE"""),"FITA ADESIVA 69MM X 100M")</f>
        <v>FITA ADESIVA 69MM X 100M</v>
      </c>
      <c r="E21" s="23">
        <v>2.0</v>
      </c>
      <c r="G21" s="22"/>
      <c r="H21" s="22" t="s">
        <v>340</v>
      </c>
      <c r="I21" s="22" t="s">
        <v>341</v>
      </c>
      <c r="J21" s="22" t="s">
        <v>946</v>
      </c>
    </row>
    <row r="22" hidden="1">
      <c r="A22" s="71">
        <v>45902.0</v>
      </c>
      <c r="B22" s="22" t="s">
        <v>224</v>
      </c>
      <c r="C22" s="25" t="str">
        <f>IFERROR(__xludf.DUMMYFUNCTION("""COMPUTED_VALUE"""),"MCC015UC0045")</f>
        <v>MCC015UC0045</v>
      </c>
      <c r="D22" s="25" t="str">
        <f>IFERROR(__xludf.DUMMYFUNCTION("""COMPUTED_VALUE"""),"FITA ADESIVA 69MM X 100M")</f>
        <v>FITA ADESIVA 69MM X 100M</v>
      </c>
      <c r="E22" s="23">
        <v>4.0</v>
      </c>
      <c r="G22" s="22"/>
      <c r="H22" s="22" t="s">
        <v>333</v>
      </c>
      <c r="I22" s="22" t="s">
        <v>355</v>
      </c>
      <c r="J22" s="22" t="s">
        <v>946</v>
      </c>
    </row>
    <row r="23" hidden="1">
      <c r="A23" s="71">
        <v>45903.0</v>
      </c>
      <c r="B23" s="22" t="s">
        <v>224</v>
      </c>
      <c r="C23" s="25" t="str">
        <f>IFERROR(__xludf.DUMMYFUNCTION("""COMPUTED_VALUE"""),"MCC015UC0045")</f>
        <v>MCC015UC0045</v>
      </c>
      <c r="D23" s="25" t="str">
        <f>IFERROR(__xludf.DUMMYFUNCTION("""COMPUTED_VALUE"""),"FITA ADESIVA 69MM X 100M")</f>
        <v>FITA ADESIVA 69MM X 100M</v>
      </c>
      <c r="E23" s="23">
        <v>4.0</v>
      </c>
      <c r="G23" s="22"/>
      <c r="H23" s="22" t="s">
        <v>210</v>
      </c>
      <c r="I23" s="22" t="s">
        <v>281</v>
      </c>
      <c r="J23" s="22" t="s">
        <v>946</v>
      </c>
    </row>
    <row r="24" hidden="1">
      <c r="A24" s="71">
        <v>45903.0</v>
      </c>
      <c r="B24" s="22" t="s">
        <v>224</v>
      </c>
      <c r="C24" s="25" t="str">
        <f>IFERROR(__xludf.DUMMYFUNCTION("""COMPUTED_VALUE"""),"MCC015UC0045")</f>
        <v>MCC015UC0045</v>
      </c>
      <c r="D24" s="25" t="str">
        <f>IFERROR(__xludf.DUMMYFUNCTION("""COMPUTED_VALUE"""),"FITA ADESIVA 69MM X 100M")</f>
        <v>FITA ADESIVA 69MM X 100M</v>
      </c>
      <c r="E24" s="23">
        <v>2.0</v>
      </c>
      <c r="G24" s="22"/>
      <c r="H24" s="22" t="s">
        <v>270</v>
      </c>
      <c r="I24" s="22" t="s">
        <v>365</v>
      </c>
      <c r="J24" s="22" t="s">
        <v>946</v>
      </c>
    </row>
    <row r="25" hidden="1">
      <c r="A25" s="71">
        <v>45904.0</v>
      </c>
      <c r="B25" s="22" t="s">
        <v>224</v>
      </c>
      <c r="C25" s="25" t="str">
        <f>IFERROR(__xludf.DUMMYFUNCTION("""COMPUTED_VALUE"""),"MCC015UC0045")</f>
        <v>MCC015UC0045</v>
      </c>
      <c r="D25" s="25" t="str">
        <f>IFERROR(__xludf.DUMMYFUNCTION("""COMPUTED_VALUE"""),"FITA ADESIVA 69MM X 100M")</f>
        <v>FITA ADESIVA 69MM X 100M</v>
      </c>
      <c r="E25" s="23">
        <v>6.0</v>
      </c>
      <c r="G25" s="22"/>
      <c r="H25" s="22" t="s">
        <v>366</v>
      </c>
      <c r="I25" s="22" t="s">
        <v>370</v>
      </c>
      <c r="J25" s="22" t="s">
        <v>946</v>
      </c>
    </row>
    <row r="26" hidden="1">
      <c r="A26" s="71">
        <v>45908.0</v>
      </c>
      <c r="B26" s="22" t="s">
        <v>224</v>
      </c>
      <c r="C26" s="25" t="str">
        <f>IFERROR(__xludf.DUMMYFUNCTION("""COMPUTED_VALUE"""),"MCC015UC0045")</f>
        <v>MCC015UC0045</v>
      </c>
      <c r="D26" s="25" t="str">
        <f>IFERROR(__xludf.DUMMYFUNCTION("""COMPUTED_VALUE"""),"FITA ADESIVA 69MM X 100M")</f>
        <v>FITA ADESIVA 69MM X 100M</v>
      </c>
      <c r="E26" s="23">
        <v>2.0</v>
      </c>
      <c r="G26" s="22" t="s">
        <v>635</v>
      </c>
      <c r="H26" s="22" t="s">
        <v>343</v>
      </c>
      <c r="I26" s="22" t="s">
        <v>381</v>
      </c>
      <c r="J26" s="22" t="s">
        <v>946</v>
      </c>
    </row>
    <row r="27" hidden="1">
      <c r="A27" s="71">
        <v>45909.0</v>
      </c>
      <c r="B27" s="22" t="s">
        <v>224</v>
      </c>
      <c r="C27" s="25" t="str">
        <f>IFERROR(__xludf.DUMMYFUNCTION("""COMPUTED_VALUE"""),"MCC015UC0045")</f>
        <v>MCC015UC0045</v>
      </c>
      <c r="D27" s="25" t="str">
        <f>IFERROR(__xludf.DUMMYFUNCTION("""COMPUTED_VALUE"""),"FITA ADESIVA 69MM X 100M")</f>
        <v>FITA ADESIVA 69MM X 100M</v>
      </c>
      <c r="E27" s="23">
        <v>4.0</v>
      </c>
      <c r="G27" s="22"/>
      <c r="H27" s="22" t="s">
        <v>343</v>
      </c>
      <c r="I27" s="22" t="s">
        <v>391</v>
      </c>
      <c r="J27" s="22" t="s">
        <v>946</v>
      </c>
    </row>
    <row r="28" hidden="1">
      <c r="A28" s="71">
        <v>45909.0</v>
      </c>
      <c r="B28" s="22" t="s">
        <v>224</v>
      </c>
      <c r="C28" s="25" t="str">
        <f>IFERROR(__xludf.DUMMYFUNCTION("""COMPUTED_VALUE"""),"MCC015UC0045")</f>
        <v>MCC015UC0045</v>
      </c>
      <c r="D28" s="25" t="str">
        <f>IFERROR(__xludf.DUMMYFUNCTION("""COMPUTED_VALUE"""),"FITA ADESIVA 69MM X 100M")</f>
        <v>FITA ADESIVA 69MM X 100M</v>
      </c>
      <c r="E28" s="23">
        <v>1.0</v>
      </c>
      <c r="G28" s="22"/>
      <c r="H28" s="22" t="s">
        <v>302</v>
      </c>
      <c r="I28" s="22" t="s">
        <v>394</v>
      </c>
      <c r="J28" s="22" t="s">
        <v>946</v>
      </c>
    </row>
    <row r="29" hidden="1">
      <c r="A29" s="71">
        <v>45910.0</v>
      </c>
      <c r="B29" s="22" t="s">
        <v>224</v>
      </c>
      <c r="C29" s="25" t="str">
        <f>IFERROR(__xludf.DUMMYFUNCTION("""COMPUTED_VALUE"""),"MCC015UC0045")</f>
        <v>MCC015UC0045</v>
      </c>
      <c r="D29" s="25" t="str">
        <f>IFERROR(__xludf.DUMMYFUNCTION("""COMPUTED_VALUE"""),"FITA ADESIVA 69MM X 100M")</f>
        <v>FITA ADESIVA 69MM X 100M</v>
      </c>
      <c r="E29" s="23">
        <v>4.0</v>
      </c>
      <c r="G29" s="22"/>
      <c r="H29" s="22" t="s">
        <v>210</v>
      </c>
      <c r="I29" s="22" t="s">
        <v>266</v>
      </c>
      <c r="J29" s="22" t="s">
        <v>946</v>
      </c>
    </row>
    <row r="30" hidden="1">
      <c r="A30" s="71">
        <v>45912.0</v>
      </c>
      <c r="B30" s="22" t="s">
        <v>224</v>
      </c>
      <c r="C30" s="25" t="str">
        <f>IFERROR(__xludf.DUMMYFUNCTION("""COMPUTED_VALUE"""),"MCC015UC0045")</f>
        <v>MCC015UC0045</v>
      </c>
      <c r="D30" s="25" t="str">
        <f>IFERROR(__xludf.DUMMYFUNCTION("""COMPUTED_VALUE"""),"FITA ADESIVA 69MM X 100M")</f>
        <v>FITA ADESIVA 69MM X 100M</v>
      </c>
      <c r="E30" s="23">
        <v>10.0</v>
      </c>
      <c r="G30" s="22"/>
      <c r="H30" s="22" t="s">
        <v>305</v>
      </c>
      <c r="I30" s="22" t="s">
        <v>375</v>
      </c>
      <c r="J30" s="22" t="s">
        <v>946</v>
      </c>
    </row>
    <row r="31" hidden="1">
      <c r="A31" s="71">
        <v>45912.0</v>
      </c>
      <c r="B31" s="22" t="s">
        <v>224</v>
      </c>
      <c r="C31" s="25" t="str">
        <f>IFERROR(__xludf.DUMMYFUNCTION("""COMPUTED_VALUE"""),"MCC015UC0045")</f>
        <v>MCC015UC0045</v>
      </c>
      <c r="D31" s="25" t="str">
        <f>IFERROR(__xludf.DUMMYFUNCTION("""COMPUTED_VALUE"""),"FITA ADESIVA 69MM X 100M")</f>
        <v>FITA ADESIVA 69MM X 100M</v>
      </c>
      <c r="E31" s="23">
        <v>1.0</v>
      </c>
      <c r="G31" s="22"/>
      <c r="H31" s="22" t="s">
        <v>244</v>
      </c>
      <c r="I31" s="22" t="s">
        <v>404</v>
      </c>
      <c r="J31" s="22" t="s">
        <v>946</v>
      </c>
    </row>
    <row r="32" hidden="1">
      <c r="A32" s="71">
        <v>45912.0</v>
      </c>
      <c r="B32" s="22" t="s">
        <v>224</v>
      </c>
      <c r="C32" s="25" t="str">
        <f>IFERROR(__xludf.DUMMYFUNCTION("""COMPUTED_VALUE"""),"MCC015UC0045")</f>
        <v>MCC015UC0045</v>
      </c>
      <c r="D32" s="25" t="str">
        <f>IFERROR(__xludf.DUMMYFUNCTION("""COMPUTED_VALUE"""),"FITA ADESIVA 69MM X 100M")</f>
        <v>FITA ADESIVA 69MM X 100M</v>
      </c>
      <c r="E32" s="23">
        <v>2.0</v>
      </c>
      <c r="G32" s="22"/>
      <c r="H32" s="22" t="s">
        <v>270</v>
      </c>
      <c r="I32" s="22" t="s">
        <v>405</v>
      </c>
      <c r="J32" s="22" t="s">
        <v>946</v>
      </c>
    </row>
    <row r="33" hidden="1">
      <c r="A33" s="71">
        <v>45918.0</v>
      </c>
      <c r="B33" s="22" t="s">
        <v>224</v>
      </c>
      <c r="C33" s="25" t="str">
        <f>IFERROR(__xludf.DUMMYFUNCTION("""COMPUTED_VALUE"""),"MCC015UC0045")</f>
        <v>MCC015UC0045</v>
      </c>
      <c r="D33" s="25" t="str">
        <f>IFERROR(__xludf.DUMMYFUNCTION("""COMPUTED_VALUE"""),"FITA ADESIVA 69MM X 100M")</f>
        <v>FITA ADESIVA 69MM X 100M</v>
      </c>
      <c r="E33" s="23">
        <v>4.0</v>
      </c>
      <c r="G33" s="22"/>
      <c r="H33" s="22" t="s">
        <v>333</v>
      </c>
      <c r="I33" s="22" t="s">
        <v>418</v>
      </c>
      <c r="J33" s="22" t="s">
        <v>946</v>
      </c>
    </row>
    <row r="34" hidden="1">
      <c r="A34" s="71">
        <v>45919.0</v>
      </c>
      <c r="B34" s="22" t="s">
        <v>224</v>
      </c>
      <c r="C34" s="25" t="str">
        <f>IFERROR(__xludf.DUMMYFUNCTION("""COMPUTED_VALUE"""),"MCC015UC0045")</f>
        <v>MCC015UC0045</v>
      </c>
      <c r="D34" s="25" t="str">
        <f>IFERROR(__xludf.DUMMYFUNCTION("""COMPUTED_VALUE"""),"FITA ADESIVA 69MM X 100M")</f>
        <v>FITA ADESIVA 69MM X 100M</v>
      </c>
      <c r="E34" s="23">
        <v>5.0</v>
      </c>
      <c r="G34" s="22"/>
      <c r="H34" s="22" t="s">
        <v>294</v>
      </c>
      <c r="I34" s="22" t="s">
        <v>419</v>
      </c>
      <c r="J34" s="22" t="s">
        <v>946</v>
      </c>
    </row>
    <row r="35" hidden="1">
      <c r="A35" s="71">
        <v>45919.0</v>
      </c>
      <c r="B35" s="22" t="s">
        <v>224</v>
      </c>
      <c r="C35" s="25" t="str">
        <f>IFERROR(__xludf.DUMMYFUNCTION("""COMPUTED_VALUE"""),"MCC015UC0045")</f>
        <v>MCC015UC0045</v>
      </c>
      <c r="D35" s="25" t="str">
        <f>IFERROR(__xludf.DUMMYFUNCTION("""COMPUTED_VALUE"""),"FITA ADESIVA 69MM X 100M")</f>
        <v>FITA ADESIVA 69MM X 100M</v>
      </c>
      <c r="E35" s="23">
        <v>5.0</v>
      </c>
      <c r="G35" s="22"/>
      <c r="H35" s="22" t="s">
        <v>302</v>
      </c>
      <c r="I35" s="22" t="s">
        <v>420</v>
      </c>
      <c r="J35" s="22" t="s">
        <v>946</v>
      </c>
    </row>
    <row r="36" hidden="1">
      <c r="A36" s="71">
        <v>45923.0</v>
      </c>
      <c r="B36" s="22" t="s">
        <v>224</v>
      </c>
      <c r="C36" s="25" t="str">
        <f>IFERROR(__xludf.DUMMYFUNCTION("""COMPUTED_VALUE"""),"MCC015UC0045")</f>
        <v>MCC015UC0045</v>
      </c>
      <c r="D36" s="25" t="str">
        <f>IFERROR(__xludf.DUMMYFUNCTION("""COMPUTED_VALUE"""),"FITA ADESIVA 69MM X 100M")</f>
        <v>FITA ADESIVA 69MM X 100M</v>
      </c>
      <c r="E36" s="23">
        <v>5.0</v>
      </c>
      <c r="G36" s="22" t="s">
        <v>913</v>
      </c>
      <c r="H36" s="22" t="s">
        <v>214</v>
      </c>
      <c r="I36" s="22" t="s">
        <v>425</v>
      </c>
      <c r="J36" s="22" t="s">
        <v>946</v>
      </c>
    </row>
    <row r="37" hidden="1">
      <c r="A37" s="71">
        <v>45923.0</v>
      </c>
      <c r="B37" s="22" t="s">
        <v>224</v>
      </c>
      <c r="C37" s="25" t="str">
        <f>IFERROR(__xludf.DUMMYFUNCTION("""COMPUTED_VALUE"""),"MCC015UC0045")</f>
        <v>MCC015UC0045</v>
      </c>
      <c r="D37" s="25" t="str">
        <f>IFERROR(__xludf.DUMMYFUNCTION("""COMPUTED_VALUE"""),"FITA ADESIVA 69MM X 100M")</f>
        <v>FITA ADESIVA 69MM X 100M</v>
      </c>
      <c r="E37" s="23">
        <v>5.0</v>
      </c>
      <c r="G37" s="22"/>
      <c r="H37" s="22" t="s">
        <v>210</v>
      </c>
      <c r="I37" s="22" t="s">
        <v>276</v>
      </c>
      <c r="J37" s="22" t="s">
        <v>946</v>
      </c>
    </row>
    <row r="38" hidden="1">
      <c r="A38" s="71">
        <v>45924.0</v>
      </c>
      <c r="B38" s="22" t="s">
        <v>224</v>
      </c>
      <c r="C38" s="25" t="str">
        <f>IFERROR(__xludf.DUMMYFUNCTION("""COMPUTED_VALUE"""),"MCC015UC0045")</f>
        <v>MCC015UC0045</v>
      </c>
      <c r="D38" s="25" t="str">
        <f>IFERROR(__xludf.DUMMYFUNCTION("""COMPUTED_VALUE"""),"FITA ADESIVA 69MM X 100M")</f>
        <v>FITA ADESIVA 69MM X 100M</v>
      </c>
      <c r="E38" s="23">
        <v>4.0</v>
      </c>
      <c r="G38" s="22"/>
      <c r="H38" s="22" t="s">
        <v>333</v>
      </c>
      <c r="I38" s="22" t="s">
        <v>428</v>
      </c>
      <c r="J38" s="22" t="s">
        <v>946</v>
      </c>
    </row>
    <row r="39" hidden="1">
      <c r="A39" s="71">
        <v>45924.0</v>
      </c>
      <c r="B39" s="22" t="s">
        <v>224</v>
      </c>
      <c r="C39" s="25" t="str">
        <f>IFERROR(__xludf.DUMMYFUNCTION("""COMPUTED_VALUE"""),"MCC015UC0045")</f>
        <v>MCC015UC0045</v>
      </c>
      <c r="D39" s="25" t="str">
        <f>IFERROR(__xludf.DUMMYFUNCTION("""COMPUTED_VALUE"""),"FITA ADESIVA 69MM X 100M")</f>
        <v>FITA ADESIVA 69MM X 100M</v>
      </c>
      <c r="E39" s="23">
        <v>2.0</v>
      </c>
      <c r="G39" s="22" t="s">
        <v>635</v>
      </c>
      <c r="H39" s="22" t="s">
        <v>343</v>
      </c>
      <c r="I39" s="22" t="s">
        <v>439</v>
      </c>
      <c r="J39" s="22" t="s">
        <v>946</v>
      </c>
    </row>
    <row r="40" hidden="1">
      <c r="A40" s="71">
        <v>45924.0</v>
      </c>
      <c r="B40" s="22" t="s">
        <v>224</v>
      </c>
      <c r="C40" s="25" t="str">
        <f>IFERROR(__xludf.DUMMYFUNCTION("""COMPUTED_VALUE"""),"MCC015UC0045")</f>
        <v>MCC015UC0045</v>
      </c>
      <c r="D40" s="25" t="str">
        <f>IFERROR(__xludf.DUMMYFUNCTION("""COMPUTED_VALUE"""),"FITA ADESIVA 69MM X 100M")</f>
        <v>FITA ADESIVA 69MM X 100M</v>
      </c>
      <c r="E40" s="23">
        <v>1.0</v>
      </c>
      <c r="G40" s="22"/>
      <c r="H40" s="22" t="s">
        <v>232</v>
      </c>
      <c r="I40" s="22" t="s">
        <v>440</v>
      </c>
      <c r="J40" s="22" t="s">
        <v>946</v>
      </c>
    </row>
    <row r="41" hidden="1">
      <c r="A41" s="71">
        <v>45924.0</v>
      </c>
      <c r="B41" s="22" t="s">
        <v>224</v>
      </c>
      <c r="C41" s="25" t="str">
        <f>IFERROR(__xludf.DUMMYFUNCTION("""COMPUTED_VALUE"""),"MCC015UC0045")</f>
        <v>MCC015UC0045</v>
      </c>
      <c r="D41" s="25" t="str">
        <f>IFERROR(__xludf.DUMMYFUNCTION("""COMPUTED_VALUE"""),"FITA ADESIVA 69MM X 100M")</f>
        <v>FITA ADESIVA 69MM X 100M</v>
      </c>
      <c r="E41" s="23">
        <v>6.0</v>
      </c>
      <c r="G41" s="22"/>
      <c r="H41" s="22" t="s">
        <v>366</v>
      </c>
      <c r="I41" s="22" t="s">
        <v>441</v>
      </c>
      <c r="J41" s="22" t="s">
        <v>946</v>
      </c>
    </row>
    <row r="42" hidden="1">
      <c r="A42" s="71">
        <v>45930.0</v>
      </c>
      <c r="B42" s="22" t="s">
        <v>224</v>
      </c>
      <c r="C42" s="25" t="str">
        <f>IFERROR(__xludf.DUMMYFUNCTION("""COMPUTED_VALUE"""),"MCC015UC0045")</f>
        <v>MCC015UC0045</v>
      </c>
      <c r="D42" s="25" t="str">
        <f>IFERROR(__xludf.DUMMYFUNCTION("""COMPUTED_VALUE"""),"FITA ADESIVA 69MM X 100M")</f>
        <v>FITA ADESIVA 69MM X 100M</v>
      </c>
      <c r="E42" s="23">
        <v>4.0</v>
      </c>
      <c r="G42" s="22" t="s">
        <v>635</v>
      </c>
      <c r="H42" s="22" t="s">
        <v>343</v>
      </c>
      <c r="I42" s="22" t="s">
        <v>433</v>
      </c>
      <c r="J42" s="22" t="s">
        <v>946</v>
      </c>
    </row>
    <row r="43" hidden="1">
      <c r="A43" s="71">
        <v>45930.0</v>
      </c>
      <c r="B43" s="22" t="s">
        <v>224</v>
      </c>
      <c r="C43" s="25" t="str">
        <f>IFERROR(__xludf.DUMMYFUNCTION("""COMPUTED_VALUE"""),"MCC015UC0045")</f>
        <v>MCC015UC0045</v>
      </c>
      <c r="D43" s="25" t="str">
        <f>IFERROR(__xludf.DUMMYFUNCTION("""COMPUTED_VALUE"""),"FITA ADESIVA 69MM X 100M")</f>
        <v>FITA ADESIVA 69MM X 100M</v>
      </c>
      <c r="E43" s="23">
        <v>20.0</v>
      </c>
      <c r="G43" s="22"/>
      <c r="H43" s="22" t="s">
        <v>200</v>
      </c>
      <c r="I43" s="22" t="s">
        <v>453</v>
      </c>
      <c r="J43" s="22" t="s">
        <v>946</v>
      </c>
    </row>
    <row r="44" hidden="1">
      <c r="A44" s="71">
        <v>45931.0</v>
      </c>
      <c r="B44" s="22" t="s">
        <v>224</v>
      </c>
      <c r="C44" s="25" t="str">
        <f>IFERROR(__xludf.DUMMYFUNCTION("""COMPUTED_VALUE"""),"MCC015UC0045")</f>
        <v>MCC015UC0045</v>
      </c>
      <c r="D44" s="25" t="str">
        <f>IFERROR(__xludf.DUMMYFUNCTION("""COMPUTED_VALUE"""),"FITA ADESIVA 69MM X 100M")</f>
        <v>FITA ADESIVA 69MM X 100M</v>
      </c>
      <c r="E44" s="23">
        <v>2.0</v>
      </c>
      <c r="G44" s="22"/>
      <c r="H44" s="22" t="s">
        <v>232</v>
      </c>
      <c r="I44" s="22" t="s">
        <v>461</v>
      </c>
      <c r="J44" s="22" t="s">
        <v>946</v>
      </c>
    </row>
    <row r="45" hidden="1">
      <c r="A45" s="71">
        <v>45931.0</v>
      </c>
      <c r="B45" s="22" t="s">
        <v>224</v>
      </c>
      <c r="C45" s="25" t="str">
        <f>IFERROR(__xludf.DUMMYFUNCTION("""COMPUTED_VALUE"""),"MCC015UC0045")</f>
        <v>MCC015UC0045</v>
      </c>
      <c r="D45" s="25" t="str">
        <f>IFERROR(__xludf.DUMMYFUNCTION("""COMPUTED_VALUE"""),"FITA ADESIVA 69MM X 100M")</f>
        <v>FITA ADESIVA 69MM X 100M</v>
      </c>
      <c r="E45" s="23">
        <v>4.0</v>
      </c>
      <c r="G45" s="22"/>
      <c r="H45" s="22" t="s">
        <v>232</v>
      </c>
      <c r="I45" s="22" t="s">
        <v>463</v>
      </c>
      <c r="J45" s="22" t="s">
        <v>946</v>
      </c>
    </row>
    <row r="46" hidden="1">
      <c r="A46" s="71">
        <v>45931.0</v>
      </c>
      <c r="B46" s="22" t="s">
        <v>224</v>
      </c>
      <c r="C46" s="25" t="str">
        <f>IFERROR(__xludf.DUMMYFUNCTION("""COMPUTED_VALUE"""),"MCC015UC0045")</f>
        <v>MCC015UC0045</v>
      </c>
      <c r="D46" s="25" t="str">
        <f>IFERROR(__xludf.DUMMYFUNCTION("""COMPUTED_VALUE"""),"FITA ADESIVA 69MM X 100M")</f>
        <v>FITA ADESIVA 69MM X 100M</v>
      </c>
      <c r="E46" s="23">
        <v>4.0</v>
      </c>
      <c r="G46" s="22"/>
      <c r="H46" s="22" t="s">
        <v>232</v>
      </c>
      <c r="I46" s="22" t="s">
        <v>466</v>
      </c>
      <c r="J46" s="22" t="s">
        <v>946</v>
      </c>
    </row>
    <row r="47" hidden="1">
      <c r="A47" s="71">
        <v>45931.0</v>
      </c>
      <c r="B47" s="22" t="s">
        <v>224</v>
      </c>
      <c r="C47" s="25" t="str">
        <f>IFERROR(__xludf.DUMMYFUNCTION("""COMPUTED_VALUE"""),"MCC015UC0045")</f>
        <v>MCC015UC0045</v>
      </c>
      <c r="D47" s="25" t="str">
        <f>IFERROR(__xludf.DUMMYFUNCTION("""COMPUTED_VALUE"""),"FITA ADESIVA 69MM X 100M")</f>
        <v>FITA ADESIVA 69MM X 100M</v>
      </c>
      <c r="E47" s="23">
        <v>2.0</v>
      </c>
      <c r="G47" s="22"/>
      <c r="H47" s="22" t="s">
        <v>232</v>
      </c>
      <c r="I47" s="22" t="s">
        <v>467</v>
      </c>
      <c r="J47" s="22" t="s">
        <v>946</v>
      </c>
    </row>
    <row r="48" hidden="1">
      <c r="A48" s="71">
        <v>45936.0</v>
      </c>
      <c r="B48" s="22" t="s">
        <v>224</v>
      </c>
      <c r="C48" s="25" t="str">
        <f>IFERROR(__xludf.DUMMYFUNCTION("""COMPUTED_VALUE"""),"MCC015UC0045")</f>
        <v>MCC015UC0045</v>
      </c>
      <c r="D48" s="25" t="str">
        <f>IFERROR(__xludf.DUMMYFUNCTION("""COMPUTED_VALUE"""),"FITA ADESIVA 69MM X 100M")</f>
        <v>FITA ADESIVA 69MM X 100M</v>
      </c>
      <c r="E48" s="23">
        <v>4.0</v>
      </c>
      <c r="G48" s="22" t="s">
        <v>635</v>
      </c>
      <c r="H48" s="22" t="s">
        <v>343</v>
      </c>
      <c r="I48" s="22" t="s">
        <v>481</v>
      </c>
      <c r="J48" s="22" t="s">
        <v>946</v>
      </c>
    </row>
    <row r="49" hidden="1">
      <c r="A49" s="71">
        <v>45936.0</v>
      </c>
      <c r="B49" s="22" t="s">
        <v>224</v>
      </c>
      <c r="C49" s="25" t="str">
        <f>IFERROR(__xludf.DUMMYFUNCTION("""COMPUTED_VALUE"""),"MCC015UC0045")</f>
        <v>MCC015UC0045</v>
      </c>
      <c r="D49" s="25" t="str">
        <f>IFERROR(__xludf.DUMMYFUNCTION("""COMPUTED_VALUE"""),"FITA ADESIVA 69MM X 100M")</f>
        <v>FITA ADESIVA 69MM X 100M</v>
      </c>
      <c r="E49" s="23">
        <v>4.0</v>
      </c>
      <c r="G49" s="22" t="s">
        <v>923</v>
      </c>
      <c r="H49" s="22" t="s">
        <v>232</v>
      </c>
      <c r="I49" s="22" t="s">
        <v>482</v>
      </c>
      <c r="J49" s="22" t="s">
        <v>946</v>
      </c>
    </row>
    <row r="50" hidden="1">
      <c r="A50" s="71">
        <v>45936.0</v>
      </c>
      <c r="B50" s="22" t="s">
        <v>224</v>
      </c>
      <c r="C50" s="25" t="str">
        <f>IFERROR(__xludf.DUMMYFUNCTION("""COMPUTED_VALUE"""),"MCC015UC0045")</f>
        <v>MCC015UC0045</v>
      </c>
      <c r="D50" s="25" t="str">
        <f>IFERROR(__xludf.DUMMYFUNCTION("""COMPUTED_VALUE"""),"FITA ADESIVA 69MM X 100M")</f>
        <v>FITA ADESIVA 69MM X 100M</v>
      </c>
      <c r="E50" s="23">
        <v>3.0</v>
      </c>
      <c r="G50" s="22" t="s">
        <v>635</v>
      </c>
      <c r="H50" s="22" t="s">
        <v>270</v>
      </c>
      <c r="I50" s="22" t="s">
        <v>489</v>
      </c>
      <c r="J50" s="22" t="s">
        <v>946</v>
      </c>
    </row>
    <row r="51" hidden="1">
      <c r="A51" s="71">
        <v>45939.0</v>
      </c>
      <c r="B51" s="22" t="s">
        <v>224</v>
      </c>
      <c r="C51" s="25" t="str">
        <f>IFERROR(__xludf.DUMMYFUNCTION("""COMPUTED_VALUE"""),"MCC015UC0045")</f>
        <v>MCC015UC0045</v>
      </c>
      <c r="D51" s="25" t="str">
        <f>IFERROR(__xludf.DUMMYFUNCTION("""COMPUTED_VALUE"""),"FITA ADESIVA 69MM X 100M")</f>
        <v>FITA ADESIVA 69MM X 100M</v>
      </c>
      <c r="E51" s="23">
        <v>4.0</v>
      </c>
      <c r="G51" s="22" t="s">
        <v>635</v>
      </c>
      <c r="H51" s="22" t="s">
        <v>333</v>
      </c>
      <c r="I51" s="22" t="s">
        <v>490</v>
      </c>
      <c r="J51" s="22" t="s">
        <v>946</v>
      </c>
    </row>
    <row r="52" hidden="1">
      <c r="A52" s="71">
        <v>45939.0</v>
      </c>
      <c r="B52" s="22" t="s">
        <v>224</v>
      </c>
      <c r="C52" s="25" t="str">
        <f>IFERROR(__xludf.DUMMYFUNCTION("""COMPUTED_VALUE"""),"MCC015UC0045")</f>
        <v>MCC015UC0045</v>
      </c>
      <c r="D52" s="25" t="str">
        <f>IFERROR(__xludf.DUMMYFUNCTION("""COMPUTED_VALUE"""),"FITA ADESIVA 69MM X 100M")</f>
        <v>FITA ADESIVA 69MM X 100M</v>
      </c>
      <c r="E52" s="23">
        <v>8.0</v>
      </c>
      <c r="G52" s="22" t="s">
        <v>916</v>
      </c>
      <c r="H52" s="22" t="s">
        <v>366</v>
      </c>
      <c r="I52" s="22" t="s">
        <v>493</v>
      </c>
      <c r="J52" s="22" t="s">
        <v>946</v>
      </c>
    </row>
    <row r="53" hidden="1">
      <c r="A53" s="71">
        <v>45944.0</v>
      </c>
      <c r="B53" s="22" t="s">
        <v>224</v>
      </c>
      <c r="C53" s="25" t="str">
        <f>IFERROR(__xludf.DUMMYFUNCTION("""COMPUTED_VALUE"""),"MCC015UC0045")</f>
        <v>MCC015UC0045</v>
      </c>
      <c r="D53" s="25" t="str">
        <f>IFERROR(__xludf.DUMMYFUNCTION("""COMPUTED_VALUE"""),"FITA ADESIVA 69MM X 100M")</f>
        <v>FITA ADESIVA 69MM X 100M</v>
      </c>
      <c r="E53" s="23">
        <v>3.0</v>
      </c>
      <c r="G53" s="22" t="s">
        <v>635</v>
      </c>
      <c r="H53" s="22" t="s">
        <v>270</v>
      </c>
      <c r="I53" s="22" t="s">
        <v>510</v>
      </c>
      <c r="J53" s="22" t="s">
        <v>946</v>
      </c>
    </row>
    <row r="54" hidden="1">
      <c r="A54" s="71">
        <v>45944.0</v>
      </c>
      <c r="B54" s="22" t="s">
        <v>224</v>
      </c>
      <c r="C54" s="25" t="str">
        <f>IFERROR(__xludf.DUMMYFUNCTION("""COMPUTED_VALUE"""),"MCC015UC0045")</f>
        <v>MCC015UC0045</v>
      </c>
      <c r="D54" s="25" t="str">
        <f>IFERROR(__xludf.DUMMYFUNCTION("""COMPUTED_VALUE"""),"FITA ADESIVA 69MM X 100M")</f>
        <v>FITA ADESIVA 69MM X 100M</v>
      </c>
      <c r="E54" s="23">
        <v>24.0</v>
      </c>
      <c r="G54" s="22" t="s">
        <v>913</v>
      </c>
      <c r="H54" s="22" t="s">
        <v>305</v>
      </c>
      <c r="I54" s="22" t="s">
        <v>511</v>
      </c>
      <c r="J54" s="22" t="s">
        <v>946</v>
      </c>
    </row>
    <row r="55" hidden="1">
      <c r="A55" s="71">
        <v>45944.0</v>
      </c>
      <c r="B55" s="22" t="s">
        <v>224</v>
      </c>
      <c r="C55" s="25" t="str">
        <f>IFERROR(__xludf.DUMMYFUNCTION("""COMPUTED_VALUE"""),"MCC015UC0045")</f>
        <v>MCC015UC0045</v>
      </c>
      <c r="D55" s="25" t="str">
        <f>IFERROR(__xludf.DUMMYFUNCTION("""COMPUTED_VALUE"""),"FITA ADESIVA 69MM X 100M")</f>
        <v>FITA ADESIVA 69MM X 100M</v>
      </c>
      <c r="E55" s="23">
        <v>8.0</v>
      </c>
      <c r="G55" s="22" t="s">
        <v>635</v>
      </c>
      <c r="H55" s="22" t="s">
        <v>343</v>
      </c>
      <c r="I55" s="22" t="s">
        <v>433</v>
      </c>
      <c r="J55" s="22" t="s">
        <v>946</v>
      </c>
    </row>
    <row r="56" hidden="1">
      <c r="A56" s="71">
        <v>45945.0</v>
      </c>
      <c r="B56" s="22" t="s">
        <v>224</v>
      </c>
      <c r="C56" s="25" t="str">
        <f>IFERROR(__xludf.DUMMYFUNCTION("""COMPUTED_VALUE"""),"MCC015UC0045")</f>
        <v>MCC015UC0045</v>
      </c>
      <c r="D56" s="25" t="str">
        <f>IFERROR(__xludf.DUMMYFUNCTION("""COMPUTED_VALUE"""),"FITA ADESIVA 69MM X 100M")</f>
        <v>FITA ADESIVA 69MM X 100M</v>
      </c>
      <c r="E56" s="23">
        <v>6.0</v>
      </c>
      <c r="G56" s="22" t="s">
        <v>635</v>
      </c>
      <c r="H56" s="22" t="s">
        <v>297</v>
      </c>
      <c r="I56" s="22" t="s">
        <v>496</v>
      </c>
      <c r="J56" s="22" t="s">
        <v>946</v>
      </c>
    </row>
    <row r="57" hidden="1">
      <c r="A57" s="71">
        <v>45945.0</v>
      </c>
      <c r="B57" s="22" t="s">
        <v>224</v>
      </c>
      <c r="C57" s="25" t="str">
        <f>IFERROR(__xludf.DUMMYFUNCTION("""COMPUTED_VALUE"""),"MCC015UC0045")</f>
        <v>MCC015UC0045</v>
      </c>
      <c r="D57" s="25" t="str">
        <f>IFERROR(__xludf.DUMMYFUNCTION("""COMPUTED_VALUE"""),"FITA ADESIVA 69MM X 100M")</f>
        <v>FITA ADESIVA 69MM X 100M</v>
      </c>
      <c r="E57" s="23">
        <v>1.0</v>
      </c>
      <c r="G57" s="22" t="s">
        <v>635</v>
      </c>
      <c r="H57" s="22" t="s">
        <v>270</v>
      </c>
      <c r="I57" s="22" t="s">
        <v>526</v>
      </c>
      <c r="J57" s="22" t="s">
        <v>946</v>
      </c>
    </row>
    <row r="58" hidden="1">
      <c r="A58" s="71">
        <v>45945.0</v>
      </c>
      <c r="B58" s="22" t="s">
        <v>224</v>
      </c>
      <c r="C58" s="25" t="str">
        <f>IFERROR(__xludf.DUMMYFUNCTION("""COMPUTED_VALUE"""),"MCC015UC0045")</f>
        <v>MCC015UC0045</v>
      </c>
      <c r="D58" s="25" t="str">
        <f>IFERROR(__xludf.DUMMYFUNCTION("""COMPUTED_VALUE"""),"FITA ADESIVA 69MM X 100M")</f>
        <v>FITA ADESIVA 69MM X 100M</v>
      </c>
      <c r="E58" s="23">
        <v>4.0</v>
      </c>
      <c r="G58" s="22" t="s">
        <v>567</v>
      </c>
      <c r="H58" s="22" t="s">
        <v>359</v>
      </c>
      <c r="I58" s="22" t="s">
        <v>528</v>
      </c>
      <c r="J58" s="22" t="s">
        <v>946</v>
      </c>
    </row>
    <row r="59" hidden="1">
      <c r="A59" s="71">
        <v>45945.0</v>
      </c>
      <c r="B59" s="22" t="s">
        <v>224</v>
      </c>
      <c r="C59" s="25" t="str">
        <f>IFERROR(__xludf.DUMMYFUNCTION("""COMPUTED_VALUE"""),"MCC015UC0045")</f>
        <v>MCC015UC0045</v>
      </c>
      <c r="D59" s="25" t="str">
        <f>IFERROR(__xludf.DUMMYFUNCTION("""COMPUTED_VALUE"""),"FITA ADESIVA 69MM X 100M")</f>
        <v>FITA ADESIVA 69MM X 100M</v>
      </c>
      <c r="E59" s="23">
        <v>11.0</v>
      </c>
      <c r="G59" s="22" t="s">
        <v>567</v>
      </c>
      <c r="H59" s="22" t="s">
        <v>232</v>
      </c>
      <c r="I59" s="22" t="s">
        <v>530</v>
      </c>
      <c r="J59" s="22" t="s">
        <v>946</v>
      </c>
    </row>
    <row r="60" hidden="1">
      <c r="A60" s="71">
        <v>45945.0</v>
      </c>
      <c r="B60" s="22" t="s">
        <v>224</v>
      </c>
      <c r="C60" s="25" t="str">
        <f>IFERROR(__xludf.DUMMYFUNCTION("""COMPUTED_VALUE"""),"MCC015UC0045")</f>
        <v>MCC015UC0045</v>
      </c>
      <c r="D60" s="25" t="str">
        <f>IFERROR(__xludf.DUMMYFUNCTION("""COMPUTED_VALUE"""),"FITA ADESIVA 69MM X 100M")</f>
        <v>FITA ADESIVA 69MM X 100M</v>
      </c>
      <c r="E60" s="23">
        <v>20.0</v>
      </c>
      <c r="G60" s="22" t="s">
        <v>913</v>
      </c>
      <c r="H60" s="22" t="s">
        <v>235</v>
      </c>
      <c r="I60" s="22" t="s">
        <v>532</v>
      </c>
      <c r="J60" s="22" t="s">
        <v>946</v>
      </c>
    </row>
    <row r="61" hidden="1">
      <c r="A61" s="71">
        <v>45945.0</v>
      </c>
      <c r="B61" s="22" t="s">
        <v>224</v>
      </c>
      <c r="C61" s="25" t="str">
        <f>IFERROR(__xludf.DUMMYFUNCTION("""COMPUTED_VALUE"""),"MCC015UC0045")</f>
        <v>MCC015UC0045</v>
      </c>
      <c r="D61" s="25" t="str">
        <f>IFERROR(__xludf.DUMMYFUNCTION("""COMPUTED_VALUE"""),"FITA ADESIVA 69MM X 100M")</f>
        <v>FITA ADESIVA 69MM X 100M</v>
      </c>
      <c r="E61" s="23">
        <v>4.0</v>
      </c>
      <c r="G61" s="22" t="s">
        <v>913</v>
      </c>
      <c r="H61" s="22" t="s">
        <v>235</v>
      </c>
      <c r="I61" s="22" t="s">
        <v>534</v>
      </c>
      <c r="J61" s="22" t="s">
        <v>946</v>
      </c>
    </row>
    <row r="62" hidden="1">
      <c r="A62" s="71">
        <v>45951.0</v>
      </c>
      <c r="B62" s="22" t="s">
        <v>224</v>
      </c>
      <c r="C62" s="25" t="str">
        <f>IFERROR(__xludf.DUMMYFUNCTION("""COMPUTED_VALUE"""),"MCC015UC0045")</f>
        <v>MCC015UC0045</v>
      </c>
      <c r="D62" s="25" t="str">
        <f>IFERROR(__xludf.DUMMYFUNCTION("""COMPUTED_VALUE"""),"FITA ADESIVA 69MM X 100M")</f>
        <v>FITA ADESIVA 69MM X 100M</v>
      </c>
      <c r="E62" s="23">
        <v>3.0</v>
      </c>
      <c r="G62" s="22" t="s">
        <v>635</v>
      </c>
      <c r="H62" s="22" t="s">
        <v>270</v>
      </c>
      <c r="I62" s="22" t="s">
        <v>536</v>
      </c>
      <c r="J62" s="22" t="s">
        <v>946</v>
      </c>
    </row>
    <row r="63" hidden="1">
      <c r="A63" s="71">
        <v>45951.0</v>
      </c>
      <c r="B63" s="22" t="s">
        <v>224</v>
      </c>
      <c r="C63" s="25" t="str">
        <f>IFERROR(__xludf.DUMMYFUNCTION("""COMPUTED_VALUE"""),"MCC015UC0045")</f>
        <v>MCC015UC0045</v>
      </c>
      <c r="D63" s="25" t="str">
        <f>IFERROR(__xludf.DUMMYFUNCTION("""COMPUTED_VALUE"""),"FITA ADESIVA 69MM X 100M")</f>
        <v>FITA ADESIVA 69MM X 100M</v>
      </c>
      <c r="E63" s="23">
        <v>4.0</v>
      </c>
      <c r="G63" s="22" t="s">
        <v>635</v>
      </c>
      <c r="H63" s="22" t="s">
        <v>333</v>
      </c>
      <c r="I63" s="22" t="s">
        <v>557</v>
      </c>
      <c r="J63" s="22" t="s">
        <v>946</v>
      </c>
    </row>
    <row r="64" hidden="1">
      <c r="A64" s="71">
        <v>45953.0</v>
      </c>
      <c r="B64" s="22" t="s">
        <v>224</v>
      </c>
      <c r="C64" s="25" t="str">
        <f>IFERROR(__xludf.DUMMYFUNCTION("""COMPUTED_VALUE"""),"MCC015UC0045")</f>
        <v>MCC015UC0045</v>
      </c>
      <c r="D64" s="25" t="str">
        <f>IFERROR(__xludf.DUMMYFUNCTION("""COMPUTED_VALUE"""),"FITA ADESIVA 69MM X 100M")</f>
        <v>FITA ADESIVA 69MM X 100M</v>
      </c>
      <c r="E64" s="23">
        <v>5.0</v>
      </c>
      <c r="G64" s="22" t="s">
        <v>635</v>
      </c>
      <c r="H64" s="22" t="s">
        <v>302</v>
      </c>
      <c r="I64" s="22" t="s">
        <v>562</v>
      </c>
      <c r="J64" s="22" t="s">
        <v>946</v>
      </c>
    </row>
    <row r="65" hidden="1">
      <c r="A65" s="71">
        <v>45953.0</v>
      </c>
      <c r="B65" s="22" t="s">
        <v>224</v>
      </c>
      <c r="C65" s="25" t="str">
        <f>IFERROR(__xludf.DUMMYFUNCTION("""COMPUTED_VALUE"""),"MCC015UC0045")</f>
        <v>MCC015UC0045</v>
      </c>
      <c r="D65" s="25" t="str">
        <f>IFERROR(__xludf.DUMMYFUNCTION("""COMPUTED_VALUE"""),"FITA ADESIVA 69MM X 100M")</f>
        <v>FITA ADESIVA 69MM X 100M</v>
      </c>
      <c r="E65" s="23">
        <v>4.0</v>
      </c>
      <c r="G65" s="22" t="s">
        <v>635</v>
      </c>
      <c r="H65" s="22" t="s">
        <v>270</v>
      </c>
      <c r="I65" s="22" t="s">
        <v>568</v>
      </c>
      <c r="J65" s="22" t="s">
        <v>946</v>
      </c>
    </row>
    <row r="66" hidden="1">
      <c r="A66" s="71">
        <v>45959.0</v>
      </c>
      <c r="B66" s="22" t="s">
        <v>224</v>
      </c>
      <c r="C66" s="25" t="str">
        <f>IFERROR(__xludf.DUMMYFUNCTION("""COMPUTED_VALUE"""),"MCC015UC0045")</f>
        <v>MCC015UC0045</v>
      </c>
      <c r="D66" s="25" t="str">
        <f>IFERROR(__xludf.DUMMYFUNCTION("""COMPUTED_VALUE"""),"FITA ADESIVA 69MM X 100M")</f>
        <v>FITA ADESIVA 69MM X 100M</v>
      </c>
      <c r="E66" s="23">
        <v>8.0</v>
      </c>
      <c r="G66" s="22" t="s">
        <v>916</v>
      </c>
      <c r="H66" s="22" t="s">
        <v>366</v>
      </c>
      <c r="I66" s="22" t="s">
        <v>570</v>
      </c>
      <c r="J66" s="22" t="s">
        <v>946</v>
      </c>
    </row>
    <row r="67" hidden="1">
      <c r="A67" s="71">
        <v>45959.0</v>
      </c>
      <c r="B67" s="22" t="s">
        <v>224</v>
      </c>
      <c r="C67" s="25" t="str">
        <f>IFERROR(__xludf.DUMMYFUNCTION("""COMPUTED_VALUE"""),"MCC015UC0045")</f>
        <v>MCC015UC0045</v>
      </c>
      <c r="D67" s="25" t="str">
        <f>IFERROR(__xludf.DUMMYFUNCTION("""COMPUTED_VALUE"""),"FITA ADESIVA 69MM X 100M")</f>
        <v>FITA ADESIVA 69MM X 100M</v>
      </c>
      <c r="E67" s="23">
        <v>4.0</v>
      </c>
      <c r="G67" s="22" t="s">
        <v>635</v>
      </c>
      <c r="H67" s="22" t="s">
        <v>333</v>
      </c>
      <c r="I67" s="22" t="s">
        <v>572</v>
      </c>
      <c r="J67" s="22" t="s">
        <v>946</v>
      </c>
    </row>
    <row r="68" hidden="1">
      <c r="A68" s="71">
        <v>45959.0</v>
      </c>
      <c r="B68" s="22" t="s">
        <v>224</v>
      </c>
      <c r="C68" s="25" t="str">
        <f>IFERROR(__xludf.DUMMYFUNCTION("""COMPUTED_VALUE"""),"MCC015UC0045")</f>
        <v>MCC015UC0045</v>
      </c>
      <c r="D68" s="25" t="str">
        <f>IFERROR(__xludf.DUMMYFUNCTION("""COMPUTED_VALUE"""),"FITA ADESIVA 69MM X 100M")</f>
        <v>FITA ADESIVA 69MM X 100M</v>
      </c>
      <c r="E68" s="23">
        <v>10.0</v>
      </c>
      <c r="G68" s="22" t="s">
        <v>567</v>
      </c>
      <c r="H68" s="22" t="s">
        <v>232</v>
      </c>
      <c r="I68" s="22" t="s">
        <v>466</v>
      </c>
      <c r="J68" s="22" t="s">
        <v>946</v>
      </c>
    </row>
    <row r="69" hidden="1">
      <c r="A69" s="71">
        <v>45959.0</v>
      </c>
      <c r="B69" s="22" t="s">
        <v>224</v>
      </c>
      <c r="C69" s="25" t="str">
        <f>IFERROR(__xludf.DUMMYFUNCTION("""COMPUTED_VALUE"""),"MCC015UC0045")</f>
        <v>MCC015UC0045</v>
      </c>
      <c r="D69" s="25" t="str">
        <f>IFERROR(__xludf.DUMMYFUNCTION("""COMPUTED_VALUE"""),"FITA ADESIVA 69MM X 100M")</f>
        <v>FITA ADESIVA 69MM X 100M</v>
      </c>
      <c r="E69" s="23">
        <v>10.0</v>
      </c>
      <c r="G69" s="22" t="s">
        <v>635</v>
      </c>
      <c r="H69" s="22" t="s">
        <v>343</v>
      </c>
      <c r="I69" s="22" t="s">
        <v>578</v>
      </c>
      <c r="J69" s="22" t="s">
        <v>946</v>
      </c>
    </row>
    <row r="70" hidden="1">
      <c r="A70" s="71">
        <v>45959.0</v>
      </c>
      <c r="B70" s="22" t="s">
        <v>224</v>
      </c>
      <c r="C70" s="25" t="str">
        <f>IFERROR(__xludf.DUMMYFUNCTION("""COMPUTED_VALUE"""),"MCC015UC0045")</f>
        <v>MCC015UC0045</v>
      </c>
      <c r="D70" s="25" t="str">
        <f>IFERROR(__xludf.DUMMYFUNCTION("""COMPUTED_VALUE"""),"FITA ADESIVA 69MM X 100M")</f>
        <v>FITA ADESIVA 69MM X 100M</v>
      </c>
      <c r="E70" s="23">
        <v>8.0</v>
      </c>
      <c r="G70" s="22" t="s">
        <v>567</v>
      </c>
      <c r="H70" s="22" t="s">
        <v>232</v>
      </c>
      <c r="I70" s="22" t="s">
        <v>579</v>
      </c>
      <c r="J70" s="22" t="s">
        <v>946</v>
      </c>
    </row>
    <row r="71" hidden="1">
      <c r="A71" s="71">
        <v>45959.0</v>
      </c>
      <c r="B71" s="22" t="s">
        <v>224</v>
      </c>
      <c r="C71" s="25" t="str">
        <f>IFERROR(__xludf.DUMMYFUNCTION("""COMPUTED_VALUE"""),"MCC015UC0045")</f>
        <v>MCC015UC0045</v>
      </c>
      <c r="D71" s="25" t="str">
        <f>IFERROR(__xludf.DUMMYFUNCTION("""COMPUTED_VALUE"""),"FITA ADESIVA 69MM X 100M")</f>
        <v>FITA ADESIVA 69MM X 100M</v>
      </c>
      <c r="E71" s="23">
        <v>24.0</v>
      </c>
      <c r="G71" s="22" t="s">
        <v>567</v>
      </c>
      <c r="H71" s="22" t="s">
        <v>210</v>
      </c>
      <c r="I71" s="22" t="s">
        <v>266</v>
      </c>
      <c r="J71" s="22" t="s">
        <v>946</v>
      </c>
    </row>
    <row r="72" hidden="1">
      <c r="A72" s="71">
        <v>45965.0</v>
      </c>
      <c r="B72" s="22" t="s">
        <v>224</v>
      </c>
      <c r="C72" s="25" t="str">
        <f>IFERROR(__xludf.DUMMYFUNCTION("""COMPUTED_VALUE"""),"MCC015UC0045")</f>
        <v>MCC015UC0045</v>
      </c>
      <c r="D72" s="25" t="str">
        <f>IFERROR(__xludf.DUMMYFUNCTION("""COMPUTED_VALUE"""),"FITA ADESIVA 69MM X 100M")</f>
        <v>FITA ADESIVA 69MM X 100M</v>
      </c>
      <c r="E72" s="23">
        <v>10.0</v>
      </c>
      <c r="G72" s="22" t="s">
        <v>635</v>
      </c>
      <c r="H72" s="22" t="s">
        <v>343</v>
      </c>
      <c r="I72" s="22" t="s">
        <v>439</v>
      </c>
      <c r="J72" s="22" t="s">
        <v>946</v>
      </c>
    </row>
    <row r="73" hidden="1">
      <c r="A73" s="71">
        <v>45966.0</v>
      </c>
      <c r="B73" s="22" t="s">
        <v>224</v>
      </c>
      <c r="C73" s="25" t="str">
        <f>IFERROR(__xludf.DUMMYFUNCTION("""COMPUTED_VALUE"""),"MCC015UC0045")</f>
        <v>MCC015UC0045</v>
      </c>
      <c r="D73" s="25" t="str">
        <f>IFERROR(__xludf.DUMMYFUNCTION("""COMPUTED_VALUE"""),"FITA ADESIVA 69MM X 100M")</f>
        <v>FITA ADESIVA 69MM X 100M</v>
      </c>
      <c r="E73" s="23">
        <v>2.0</v>
      </c>
      <c r="G73" s="22" t="s">
        <v>635</v>
      </c>
      <c r="H73" s="22" t="s">
        <v>270</v>
      </c>
      <c r="I73" s="22" t="s">
        <v>604</v>
      </c>
      <c r="J73" s="22" t="s">
        <v>946</v>
      </c>
    </row>
    <row r="74" hidden="1">
      <c r="A74" s="71">
        <v>45966.0</v>
      </c>
      <c r="B74" s="22" t="s">
        <v>224</v>
      </c>
      <c r="C74" s="25" t="str">
        <f>IFERROR(__xludf.DUMMYFUNCTION("""COMPUTED_VALUE"""),"MCC015UC0045")</f>
        <v>MCC015UC0045</v>
      </c>
      <c r="D74" s="25" t="str">
        <f>IFERROR(__xludf.DUMMYFUNCTION("""COMPUTED_VALUE"""),"FITA ADESIVA 69MM X 100M")</f>
        <v>FITA ADESIVA 69MM X 100M</v>
      </c>
      <c r="E74" s="23">
        <v>24.0</v>
      </c>
      <c r="G74" s="22" t="s">
        <v>567</v>
      </c>
      <c r="H74" s="22" t="s">
        <v>210</v>
      </c>
      <c r="I74" s="22" t="s">
        <v>276</v>
      </c>
      <c r="J74" s="22" t="s">
        <v>946</v>
      </c>
    </row>
    <row r="75" hidden="1">
      <c r="A75" s="71">
        <v>45967.0</v>
      </c>
      <c r="B75" s="22" t="s">
        <v>224</v>
      </c>
      <c r="C75" s="25" t="str">
        <f>IFERROR(__xludf.DUMMYFUNCTION("""COMPUTED_VALUE"""),"MCC015UC0045")</f>
        <v>MCC015UC0045</v>
      </c>
      <c r="D75" s="25" t="str">
        <f>IFERROR(__xludf.DUMMYFUNCTION("""COMPUTED_VALUE"""),"FITA ADESIVA 69MM X 100M")</f>
        <v>FITA ADESIVA 69MM X 100M</v>
      </c>
      <c r="E75" s="23">
        <v>24.0</v>
      </c>
      <c r="G75" s="22" t="s">
        <v>913</v>
      </c>
      <c r="H75" s="22" t="s">
        <v>305</v>
      </c>
      <c r="I75" s="22" t="s">
        <v>619</v>
      </c>
      <c r="J75" s="22" t="s">
        <v>946</v>
      </c>
    </row>
    <row r="76" hidden="1">
      <c r="A76" s="71">
        <v>45968.0</v>
      </c>
      <c r="B76" s="22" t="s">
        <v>224</v>
      </c>
      <c r="C76" s="25" t="str">
        <f>IFERROR(__xludf.DUMMYFUNCTION("""COMPUTED_VALUE"""),"MCC015UC0045")</f>
        <v>MCC015UC0045</v>
      </c>
      <c r="D76" s="25" t="str">
        <f>IFERROR(__xludf.DUMMYFUNCTION("""COMPUTED_VALUE"""),"FITA ADESIVA 69MM X 100M")</f>
        <v>FITA ADESIVA 69MM X 100M</v>
      </c>
      <c r="E76" s="23">
        <v>3.0</v>
      </c>
      <c r="G76" s="22" t="s">
        <v>635</v>
      </c>
      <c r="H76" s="22" t="s">
        <v>270</v>
      </c>
      <c r="I76" s="22" t="s">
        <v>624</v>
      </c>
      <c r="J76" s="22" t="s">
        <v>946</v>
      </c>
    </row>
    <row r="77" hidden="1">
      <c r="A77" s="71">
        <v>45969.0</v>
      </c>
      <c r="B77" s="22" t="s">
        <v>224</v>
      </c>
      <c r="C77" s="25" t="str">
        <f>IFERROR(__xludf.DUMMYFUNCTION("""COMPUTED_VALUE"""),"MCC015UC0045")</f>
        <v>MCC015UC0045</v>
      </c>
      <c r="D77" s="25" t="str">
        <f>IFERROR(__xludf.DUMMYFUNCTION("""COMPUTED_VALUE"""),"FITA ADESIVA 69MM X 100M")</f>
        <v>FITA ADESIVA 69MM X 100M</v>
      </c>
      <c r="E77" s="23">
        <v>1.0</v>
      </c>
      <c r="G77" s="22" t="s">
        <v>923</v>
      </c>
      <c r="H77" s="22" t="s">
        <v>244</v>
      </c>
      <c r="I77" s="22" t="s">
        <v>630</v>
      </c>
      <c r="J77" s="22" t="s">
        <v>946</v>
      </c>
    </row>
    <row r="78" hidden="1">
      <c r="A78" s="71">
        <v>45971.0</v>
      </c>
      <c r="B78" s="22" t="s">
        <v>224</v>
      </c>
      <c r="C78" s="25" t="str">
        <f>IFERROR(__xludf.DUMMYFUNCTION("""COMPUTED_VALUE"""),"MCC015UC0045")</f>
        <v>MCC015UC0045</v>
      </c>
      <c r="D78" s="25" t="str">
        <f>IFERROR(__xludf.DUMMYFUNCTION("""COMPUTED_VALUE"""),"FITA ADESIVA 69MM X 100M")</f>
        <v>FITA ADESIVA 69MM X 100M</v>
      </c>
      <c r="E78" s="23">
        <v>25.0</v>
      </c>
      <c r="G78" s="22" t="s">
        <v>913</v>
      </c>
      <c r="H78" s="22" t="s">
        <v>455</v>
      </c>
      <c r="I78" s="22" t="s">
        <v>632</v>
      </c>
      <c r="J78" s="22" t="s">
        <v>946</v>
      </c>
    </row>
    <row r="79" hidden="1">
      <c r="A79" s="71">
        <v>45972.0</v>
      </c>
      <c r="B79" s="22" t="s">
        <v>224</v>
      </c>
      <c r="C79" s="25" t="str">
        <f>IFERROR(__xludf.DUMMYFUNCTION("""COMPUTED_VALUE"""),"MCC015UC0045")</f>
        <v>MCC015UC0045</v>
      </c>
      <c r="D79" s="25" t="str">
        <f>IFERROR(__xludf.DUMMYFUNCTION("""COMPUTED_VALUE"""),"FITA ADESIVA 69MM X 100M")</f>
        <v>FITA ADESIVA 69MM X 100M</v>
      </c>
      <c r="E79" s="23">
        <v>5.0</v>
      </c>
      <c r="G79" s="22" t="s">
        <v>635</v>
      </c>
      <c r="H79" s="22" t="s">
        <v>302</v>
      </c>
      <c r="I79" s="22" t="s">
        <v>540</v>
      </c>
      <c r="J79" s="22" t="s">
        <v>946</v>
      </c>
    </row>
    <row r="80" hidden="1">
      <c r="A80" s="71">
        <v>45972.0</v>
      </c>
      <c r="B80" s="22" t="s">
        <v>224</v>
      </c>
      <c r="C80" s="25" t="str">
        <f>IFERROR(__xludf.DUMMYFUNCTION("""COMPUTED_VALUE"""),"MCC015UC0045")</f>
        <v>MCC015UC0045</v>
      </c>
      <c r="D80" s="25" t="str">
        <f>IFERROR(__xludf.DUMMYFUNCTION("""COMPUTED_VALUE"""),"FITA ADESIVA 69MM X 100M")</f>
        <v>FITA ADESIVA 69MM X 100M</v>
      </c>
      <c r="E80" s="23">
        <v>3.0</v>
      </c>
      <c r="G80" s="22" t="s">
        <v>635</v>
      </c>
      <c r="H80" s="22" t="s">
        <v>270</v>
      </c>
      <c r="I80" s="22" t="s">
        <v>633</v>
      </c>
      <c r="J80" s="22" t="s">
        <v>946</v>
      </c>
    </row>
    <row r="81" hidden="1">
      <c r="A81" s="71">
        <v>45973.0</v>
      </c>
      <c r="B81" s="22" t="s">
        <v>224</v>
      </c>
      <c r="C81" s="25" t="str">
        <f>IFERROR(__xludf.DUMMYFUNCTION("""COMPUTED_VALUE"""),"MCC015UC0045")</f>
        <v>MCC015UC0045</v>
      </c>
      <c r="D81" s="25" t="str">
        <f>IFERROR(__xludf.DUMMYFUNCTION("""COMPUTED_VALUE"""),"FITA ADESIVA 69MM X 100M")</f>
        <v>FITA ADESIVA 69MM X 100M</v>
      </c>
      <c r="E81" s="23">
        <v>24.0</v>
      </c>
      <c r="G81" s="22" t="s">
        <v>567</v>
      </c>
      <c r="H81" s="22" t="s">
        <v>210</v>
      </c>
      <c r="I81" s="22" t="s">
        <v>639</v>
      </c>
      <c r="J81" s="22" t="s">
        <v>946</v>
      </c>
    </row>
    <row r="82" hidden="1">
      <c r="A82" s="71">
        <v>45973.0</v>
      </c>
      <c r="B82" s="22" t="s">
        <v>224</v>
      </c>
      <c r="C82" s="25" t="str">
        <f>IFERROR(__xludf.DUMMYFUNCTION("""COMPUTED_VALUE"""),"MCC015UC0045")</f>
        <v>MCC015UC0045</v>
      </c>
      <c r="D82" s="25" t="str">
        <f>IFERROR(__xludf.DUMMYFUNCTION("""COMPUTED_VALUE"""),"FITA ADESIVA 69MM X 100M")</f>
        <v>FITA ADESIVA 69MM X 100M</v>
      </c>
      <c r="E82" s="23">
        <v>24.0</v>
      </c>
      <c r="G82" s="22" t="s">
        <v>913</v>
      </c>
      <c r="H82" s="22" t="s">
        <v>235</v>
      </c>
      <c r="I82" s="22" t="s">
        <v>640</v>
      </c>
      <c r="J82" s="22" t="s">
        <v>946</v>
      </c>
    </row>
    <row r="83" hidden="1">
      <c r="A83" s="71">
        <v>45975.0</v>
      </c>
      <c r="B83" s="22" t="s">
        <v>224</v>
      </c>
      <c r="C83" s="25" t="str">
        <f>IFERROR(__xludf.DUMMYFUNCTION("""COMPUTED_VALUE"""),"MCC015UC0045")</f>
        <v>MCC015UC0045</v>
      </c>
      <c r="D83" s="25" t="str">
        <f>IFERROR(__xludf.DUMMYFUNCTION("""COMPUTED_VALUE"""),"FITA ADESIVA 69MM X 100M")</f>
        <v>FITA ADESIVA 69MM X 100M</v>
      </c>
      <c r="E83" s="23">
        <v>24.0</v>
      </c>
      <c r="G83" s="22" t="s">
        <v>913</v>
      </c>
      <c r="H83" s="22" t="s">
        <v>455</v>
      </c>
      <c r="I83" s="22" t="s">
        <v>655</v>
      </c>
      <c r="J83" s="22" t="s">
        <v>946</v>
      </c>
    </row>
    <row r="84" hidden="1">
      <c r="A84" s="71">
        <v>45975.0</v>
      </c>
      <c r="B84" s="22" t="s">
        <v>224</v>
      </c>
      <c r="C84" s="25" t="str">
        <f>IFERROR(__xludf.DUMMYFUNCTION("""COMPUTED_VALUE"""),"MCC015UC0045")</f>
        <v>MCC015UC0045</v>
      </c>
      <c r="D84" s="25" t="str">
        <f>IFERROR(__xludf.DUMMYFUNCTION("""COMPUTED_VALUE"""),"FITA ADESIVA 69MM X 100M")</f>
        <v>FITA ADESIVA 69MM X 100M</v>
      </c>
      <c r="E84" s="23">
        <v>4.0</v>
      </c>
      <c r="G84" s="22" t="s">
        <v>635</v>
      </c>
      <c r="H84" s="22" t="s">
        <v>297</v>
      </c>
      <c r="I84" s="22" t="s">
        <v>656</v>
      </c>
      <c r="J84" s="22" t="s">
        <v>946</v>
      </c>
    </row>
    <row r="85" hidden="1">
      <c r="A85" s="71">
        <v>45976.0</v>
      </c>
      <c r="B85" s="22" t="s">
        <v>224</v>
      </c>
      <c r="C85" s="25" t="str">
        <f>IFERROR(__xludf.DUMMYFUNCTION("""COMPUTED_VALUE"""),"MCC015UC0045")</f>
        <v>MCC015UC0045</v>
      </c>
      <c r="D85" s="25" t="str">
        <f>IFERROR(__xludf.DUMMYFUNCTION("""COMPUTED_VALUE"""),"FITA ADESIVA 69MM X 100M")</f>
        <v>FITA ADESIVA 69MM X 100M</v>
      </c>
      <c r="E85" s="23">
        <v>5.0</v>
      </c>
      <c r="G85" s="22" t="s">
        <v>635</v>
      </c>
      <c r="H85" s="22" t="s">
        <v>302</v>
      </c>
      <c r="I85" s="22" t="s">
        <v>659</v>
      </c>
      <c r="J85" s="22" t="s">
        <v>946</v>
      </c>
    </row>
    <row r="86" hidden="1">
      <c r="A86" s="71">
        <v>45978.0</v>
      </c>
      <c r="B86" s="22" t="s">
        <v>224</v>
      </c>
      <c r="C86" s="25" t="str">
        <f>IFERROR(__xludf.DUMMYFUNCTION("""COMPUTED_VALUE"""),"MCC015UC0045")</f>
        <v>MCC015UC0045</v>
      </c>
      <c r="D86" s="25" t="str">
        <f>IFERROR(__xludf.DUMMYFUNCTION("""COMPUTED_VALUE"""),"FITA ADESIVA 69MM X 100M")</f>
        <v>FITA ADESIVA 69MM X 100M</v>
      </c>
      <c r="E86" s="23">
        <v>24.0</v>
      </c>
      <c r="G86" s="22" t="s">
        <v>913</v>
      </c>
      <c r="H86" s="22" t="s">
        <v>455</v>
      </c>
      <c r="I86" s="22" t="s">
        <v>661</v>
      </c>
      <c r="J86" s="22" t="s">
        <v>946</v>
      </c>
    </row>
    <row r="87" hidden="1">
      <c r="A87" s="71">
        <v>45978.0</v>
      </c>
      <c r="B87" s="22" t="s">
        <v>224</v>
      </c>
      <c r="C87" s="25" t="str">
        <f>IFERROR(__xludf.DUMMYFUNCTION("""COMPUTED_VALUE"""),"MCC015UC0045")</f>
        <v>MCC015UC0045</v>
      </c>
      <c r="D87" s="25" t="str">
        <f>IFERROR(__xludf.DUMMYFUNCTION("""COMPUTED_VALUE"""),"FITA ADESIVA 69MM X 100M")</f>
        <v>FITA ADESIVA 69MM X 100M</v>
      </c>
      <c r="E87" s="23">
        <v>24.0</v>
      </c>
      <c r="G87" s="22" t="s">
        <v>567</v>
      </c>
      <c r="H87" s="22" t="s">
        <v>210</v>
      </c>
      <c r="I87" s="22" t="s">
        <v>662</v>
      </c>
      <c r="J87" s="22" t="s">
        <v>946</v>
      </c>
    </row>
    <row r="88" hidden="1">
      <c r="A88" s="71">
        <v>45978.0</v>
      </c>
      <c r="B88" s="22" t="s">
        <v>224</v>
      </c>
      <c r="C88" s="25" t="str">
        <f>IFERROR(__xludf.DUMMYFUNCTION("""COMPUTED_VALUE"""),"MCC015UC0045")</f>
        <v>MCC015UC0045</v>
      </c>
      <c r="D88" s="25" t="str">
        <f>IFERROR(__xludf.DUMMYFUNCTION("""COMPUTED_VALUE"""),"FITA ADESIVA 69MM X 100M")</f>
        <v>FITA ADESIVA 69MM X 100M</v>
      </c>
      <c r="E88" s="23">
        <v>10.0</v>
      </c>
      <c r="G88" s="22" t="s">
        <v>635</v>
      </c>
      <c r="H88" s="22" t="s">
        <v>343</v>
      </c>
      <c r="I88" s="22" t="s">
        <v>663</v>
      </c>
      <c r="J88" s="22" t="s">
        <v>946</v>
      </c>
    </row>
    <row r="89" hidden="1">
      <c r="A89" s="71">
        <v>45979.0</v>
      </c>
      <c r="B89" s="22" t="s">
        <v>224</v>
      </c>
      <c r="C89" s="25" t="str">
        <f>IFERROR(__xludf.DUMMYFUNCTION("""COMPUTED_VALUE"""),"MCC015UC0045")</f>
        <v>MCC015UC0045</v>
      </c>
      <c r="D89" s="25" t="str">
        <f>IFERROR(__xludf.DUMMYFUNCTION("""COMPUTED_VALUE"""),"FITA ADESIVA 69MM X 100M")</f>
        <v>FITA ADESIVA 69MM X 100M</v>
      </c>
      <c r="E89" s="23">
        <v>3.0</v>
      </c>
      <c r="G89" s="22" t="s">
        <v>635</v>
      </c>
      <c r="H89" s="22" t="s">
        <v>270</v>
      </c>
      <c r="I89" s="22" t="s">
        <v>667</v>
      </c>
      <c r="J89" s="22" t="s">
        <v>946</v>
      </c>
    </row>
    <row r="90" hidden="1">
      <c r="A90" s="71">
        <v>45980.0</v>
      </c>
      <c r="B90" s="22" t="s">
        <v>224</v>
      </c>
      <c r="C90" s="25" t="str">
        <f>IFERROR(__xludf.DUMMYFUNCTION("""COMPUTED_VALUE"""),"MCC015UC0045")</f>
        <v>MCC015UC0045</v>
      </c>
      <c r="D90" s="25" t="str">
        <f>IFERROR(__xludf.DUMMYFUNCTION("""COMPUTED_VALUE"""),"FITA ADESIVA 69MM X 100M")</f>
        <v>FITA ADESIVA 69MM X 100M</v>
      </c>
      <c r="E90" s="23">
        <v>4.0</v>
      </c>
      <c r="G90" s="22" t="s">
        <v>913</v>
      </c>
      <c r="H90" s="22" t="s">
        <v>258</v>
      </c>
      <c r="I90" s="22" t="s">
        <v>670</v>
      </c>
      <c r="J90" s="22" t="s">
        <v>946</v>
      </c>
    </row>
    <row r="91" hidden="1">
      <c r="A91" s="71">
        <v>45980.0</v>
      </c>
      <c r="B91" s="22" t="s">
        <v>224</v>
      </c>
      <c r="C91" s="25" t="str">
        <f>IFERROR(__xludf.DUMMYFUNCTION("""COMPUTED_VALUE"""),"MCC015UC0045")</f>
        <v>MCC015UC0045</v>
      </c>
      <c r="D91" s="25" t="str">
        <f>IFERROR(__xludf.DUMMYFUNCTION("""COMPUTED_VALUE"""),"FITA ADESIVA 69MM X 100M")</f>
        <v>FITA ADESIVA 69MM X 100M</v>
      </c>
      <c r="E91" s="23">
        <v>25.0</v>
      </c>
      <c r="G91" s="22" t="s">
        <v>913</v>
      </c>
      <c r="H91" s="22" t="s">
        <v>200</v>
      </c>
      <c r="I91" s="22" t="s">
        <v>672</v>
      </c>
      <c r="J91" s="22" t="s">
        <v>946</v>
      </c>
    </row>
    <row r="92" hidden="1">
      <c r="A92" s="71">
        <v>45981.0</v>
      </c>
      <c r="B92" s="22" t="s">
        <v>224</v>
      </c>
      <c r="C92" s="25" t="str">
        <f>IFERROR(__xludf.DUMMYFUNCTION("""COMPUTED_VALUE"""),"MCC015UC0045")</f>
        <v>MCC015UC0045</v>
      </c>
      <c r="D92" s="25" t="str">
        <f>IFERROR(__xludf.DUMMYFUNCTION("""COMPUTED_VALUE"""),"FITA ADESIVA 69MM X 100M")</f>
        <v>FITA ADESIVA 69MM X 100M</v>
      </c>
      <c r="E92" s="23">
        <v>24.0</v>
      </c>
      <c r="G92" s="22" t="s">
        <v>913</v>
      </c>
      <c r="H92" s="22" t="s">
        <v>305</v>
      </c>
      <c r="I92" s="22" t="s">
        <v>619</v>
      </c>
      <c r="J92" s="22" t="s">
        <v>946</v>
      </c>
    </row>
    <row r="93" hidden="1">
      <c r="A93" s="71">
        <v>45983.0</v>
      </c>
      <c r="B93" s="22" t="s">
        <v>224</v>
      </c>
      <c r="C93" s="25" t="str">
        <f>IFERROR(__xludf.DUMMYFUNCTION("""COMPUTED_VALUE"""),"MCC015UC0045")</f>
        <v>MCC015UC0045</v>
      </c>
      <c r="D93" s="25" t="str">
        <f>IFERROR(__xludf.DUMMYFUNCTION("""COMPUTED_VALUE"""),"FITA ADESIVA 69MM X 100M")</f>
        <v>FITA ADESIVA 69MM X 100M</v>
      </c>
      <c r="E93" s="23">
        <v>10.0</v>
      </c>
      <c r="G93" s="22" t="s">
        <v>913</v>
      </c>
      <c r="H93" s="22" t="s">
        <v>401</v>
      </c>
      <c r="I93" s="22" t="s">
        <v>681</v>
      </c>
      <c r="J93" s="22" t="s">
        <v>946</v>
      </c>
    </row>
    <row r="94" hidden="1">
      <c r="A94" s="71">
        <v>45985.0</v>
      </c>
      <c r="B94" s="22" t="s">
        <v>224</v>
      </c>
      <c r="C94" s="25" t="str">
        <f>IFERROR(__xludf.DUMMYFUNCTION("""COMPUTED_VALUE"""),"MCC015UC0045")</f>
        <v>MCC015UC0045</v>
      </c>
      <c r="D94" s="25" t="str">
        <f>IFERROR(__xludf.DUMMYFUNCTION("""COMPUTED_VALUE"""),"FITA ADESIVA 69MM X 100M")</f>
        <v>FITA ADESIVA 69MM X 100M</v>
      </c>
      <c r="E94" s="23">
        <v>10.0</v>
      </c>
      <c r="G94" s="22" t="s">
        <v>913</v>
      </c>
      <c r="H94" s="22" t="s">
        <v>401</v>
      </c>
      <c r="I94" s="22" t="s">
        <v>683</v>
      </c>
      <c r="J94" s="22" t="s">
        <v>946</v>
      </c>
    </row>
    <row r="95" hidden="1">
      <c r="A95" s="71">
        <v>45985.0</v>
      </c>
      <c r="B95" s="22" t="s">
        <v>224</v>
      </c>
      <c r="C95" s="25" t="str">
        <f>IFERROR(__xludf.DUMMYFUNCTION("""COMPUTED_VALUE"""),"MCC015UC0045")</f>
        <v>MCC015UC0045</v>
      </c>
      <c r="D95" s="25" t="str">
        <f>IFERROR(__xludf.DUMMYFUNCTION("""COMPUTED_VALUE"""),"FITA ADESIVA 69MM X 100M")</f>
        <v>FITA ADESIVA 69MM X 100M</v>
      </c>
      <c r="E95" s="23">
        <v>1.0</v>
      </c>
      <c r="G95" s="22" t="s">
        <v>913</v>
      </c>
      <c r="H95" s="22" t="s">
        <v>239</v>
      </c>
      <c r="I95" s="22" t="s">
        <v>684</v>
      </c>
      <c r="J95" s="22" t="s">
        <v>946</v>
      </c>
    </row>
    <row r="96" hidden="1">
      <c r="A96" s="71">
        <v>45986.0</v>
      </c>
      <c r="B96" s="22" t="s">
        <v>224</v>
      </c>
      <c r="C96" s="25" t="str">
        <f>IFERROR(__xludf.DUMMYFUNCTION("""COMPUTED_VALUE"""),"MCC015UC0045")</f>
        <v>MCC015UC0045</v>
      </c>
      <c r="D96" s="25" t="str">
        <f>IFERROR(__xludf.DUMMYFUNCTION("""COMPUTED_VALUE"""),"FITA ADESIVA 69MM X 100M")</f>
        <v>FITA ADESIVA 69MM X 100M</v>
      </c>
      <c r="E96" s="23">
        <v>25.0</v>
      </c>
      <c r="G96" s="22" t="s">
        <v>913</v>
      </c>
      <c r="H96" s="22" t="s">
        <v>258</v>
      </c>
      <c r="I96" s="22" t="s">
        <v>693</v>
      </c>
      <c r="J96" s="22" t="s">
        <v>946</v>
      </c>
    </row>
    <row r="97" hidden="1">
      <c r="A97" s="71">
        <v>45987.0</v>
      </c>
      <c r="B97" s="22" t="s">
        <v>224</v>
      </c>
      <c r="C97" s="25" t="str">
        <f>IFERROR(__xludf.DUMMYFUNCTION("""COMPUTED_VALUE"""),"MCC015UC0045")</f>
        <v>MCC015UC0045</v>
      </c>
      <c r="D97" s="25" t="str">
        <f>IFERROR(__xludf.DUMMYFUNCTION("""COMPUTED_VALUE"""),"FITA ADESIVA 69MM X 100M")</f>
        <v>FITA ADESIVA 69MM X 100M</v>
      </c>
      <c r="E97" s="23">
        <v>12.0</v>
      </c>
      <c r="G97" s="22" t="s">
        <v>635</v>
      </c>
      <c r="H97" s="22" t="s">
        <v>343</v>
      </c>
      <c r="I97" s="22" t="s">
        <v>696</v>
      </c>
      <c r="J97" s="22" t="s">
        <v>946</v>
      </c>
    </row>
    <row r="98" hidden="1">
      <c r="A98" s="71">
        <v>45988.0</v>
      </c>
      <c r="B98" s="22" t="s">
        <v>224</v>
      </c>
      <c r="C98" s="25" t="str">
        <f>IFERROR(__xludf.DUMMYFUNCTION("""COMPUTED_VALUE"""),"MCC015UC0045")</f>
        <v>MCC015UC0045</v>
      </c>
      <c r="D98" s="25" t="str">
        <f>IFERROR(__xludf.DUMMYFUNCTION("""COMPUTED_VALUE"""),"FITA ADESIVA 69MM X 100M")</f>
        <v>FITA ADESIVA 69MM X 100M</v>
      </c>
      <c r="E98" s="23">
        <v>15.0</v>
      </c>
      <c r="G98" s="22" t="s">
        <v>913</v>
      </c>
      <c r="H98" s="22" t="s">
        <v>401</v>
      </c>
      <c r="I98" s="22" t="s">
        <v>698</v>
      </c>
      <c r="J98" s="22" t="s">
        <v>946</v>
      </c>
    </row>
    <row r="99" hidden="1">
      <c r="A99" s="71">
        <v>45988.0</v>
      </c>
      <c r="B99" s="22" t="s">
        <v>224</v>
      </c>
      <c r="C99" s="25" t="str">
        <f>IFERROR(__xludf.DUMMYFUNCTION("""COMPUTED_VALUE"""),"MCC015UC0045")</f>
        <v>MCC015UC0045</v>
      </c>
      <c r="D99" s="25" t="str">
        <f>IFERROR(__xludf.DUMMYFUNCTION("""COMPUTED_VALUE"""),"FITA ADESIVA 69MM X 100M")</f>
        <v>FITA ADESIVA 69MM X 100M</v>
      </c>
      <c r="E99" s="23">
        <v>50.0</v>
      </c>
      <c r="G99" s="22" t="s">
        <v>913</v>
      </c>
      <c r="H99" s="22" t="s">
        <v>376</v>
      </c>
      <c r="I99" s="22" t="s">
        <v>700</v>
      </c>
      <c r="J99" s="22" t="s">
        <v>946</v>
      </c>
    </row>
    <row r="100" hidden="1">
      <c r="A100" s="71">
        <v>45989.0</v>
      </c>
      <c r="B100" s="22" t="s">
        <v>224</v>
      </c>
      <c r="C100" s="25" t="str">
        <f>IFERROR(__xludf.DUMMYFUNCTION("""COMPUTED_VALUE"""),"MCC015UC0045")</f>
        <v>MCC015UC0045</v>
      </c>
      <c r="D100" s="25" t="str">
        <f>IFERROR(__xludf.DUMMYFUNCTION("""COMPUTED_VALUE"""),"FITA ADESIVA 69MM X 100M")</f>
        <v>FITA ADESIVA 69MM X 100M</v>
      </c>
      <c r="E100" s="23">
        <v>1.0</v>
      </c>
      <c r="G100" s="22" t="s">
        <v>923</v>
      </c>
      <c r="H100" s="22" t="s">
        <v>244</v>
      </c>
      <c r="I100" s="22" t="s">
        <v>712</v>
      </c>
      <c r="J100" s="22" t="s">
        <v>946</v>
      </c>
    </row>
    <row r="101" hidden="1">
      <c r="A101" s="71">
        <v>45992.0</v>
      </c>
      <c r="B101" s="22" t="s">
        <v>224</v>
      </c>
      <c r="C101" s="25" t="str">
        <f>IFERROR(__xludf.DUMMYFUNCTION("""COMPUTED_VALUE"""),"MCC015UC0045")</f>
        <v>MCC015UC0045</v>
      </c>
      <c r="D101" s="25" t="str">
        <f>IFERROR(__xludf.DUMMYFUNCTION("""COMPUTED_VALUE"""),"FITA ADESIVA 69MM X 100M")</f>
        <v>FITA ADESIVA 69MM X 100M</v>
      </c>
      <c r="E101" s="23">
        <v>24.0</v>
      </c>
      <c r="G101" s="22" t="s">
        <v>913</v>
      </c>
      <c r="H101" s="22" t="s">
        <v>455</v>
      </c>
      <c r="I101" s="22" t="s">
        <v>714</v>
      </c>
      <c r="J101" s="22" t="s">
        <v>946</v>
      </c>
    </row>
    <row r="102" hidden="1">
      <c r="A102" s="71">
        <v>45993.0</v>
      </c>
      <c r="B102" s="22" t="s">
        <v>224</v>
      </c>
      <c r="C102" s="25" t="str">
        <f>IFERROR(__xludf.DUMMYFUNCTION("""COMPUTED_VALUE"""),"MCC015UC0045")</f>
        <v>MCC015UC0045</v>
      </c>
      <c r="D102" s="25" t="str">
        <f>IFERROR(__xludf.DUMMYFUNCTION("""COMPUTED_VALUE"""),"FITA ADESIVA 69MM X 100M")</f>
        <v>FITA ADESIVA 69MM X 100M</v>
      </c>
      <c r="E102" s="23">
        <v>3.0</v>
      </c>
      <c r="G102" s="22" t="s">
        <v>567</v>
      </c>
      <c r="H102" s="22" t="s">
        <v>322</v>
      </c>
      <c r="I102" s="22" t="s">
        <v>588</v>
      </c>
      <c r="J102" s="22" t="s">
        <v>946</v>
      </c>
    </row>
    <row r="103" hidden="1">
      <c r="A103" s="71">
        <v>45993.0</v>
      </c>
      <c r="B103" s="22" t="s">
        <v>224</v>
      </c>
      <c r="C103" s="25" t="str">
        <f>IFERROR(__xludf.DUMMYFUNCTION("""COMPUTED_VALUE"""),"MCC015UC0045")</f>
        <v>MCC015UC0045</v>
      </c>
      <c r="D103" s="25" t="str">
        <f>IFERROR(__xludf.DUMMYFUNCTION("""COMPUTED_VALUE"""),"FITA ADESIVA 69MM X 100M")</f>
        <v>FITA ADESIVA 69MM X 100M</v>
      </c>
      <c r="E103" s="23">
        <v>6.0</v>
      </c>
      <c r="G103" s="22" t="s">
        <v>913</v>
      </c>
      <c r="H103" s="22" t="s">
        <v>455</v>
      </c>
      <c r="I103" s="22" t="s">
        <v>714</v>
      </c>
      <c r="J103" s="22" t="s">
        <v>946</v>
      </c>
    </row>
    <row r="104" hidden="1">
      <c r="A104" s="71">
        <v>45995.0</v>
      </c>
      <c r="B104" s="22" t="s">
        <v>224</v>
      </c>
      <c r="C104" s="25" t="str">
        <f>IFERROR(__xludf.DUMMYFUNCTION("""COMPUTED_VALUE"""),"MCC015UC0045")</f>
        <v>MCC015UC0045</v>
      </c>
      <c r="D104" s="25" t="str">
        <f>IFERROR(__xludf.DUMMYFUNCTION("""COMPUTED_VALUE"""),"FITA ADESIVA 69MM X 100M")</f>
        <v>FITA ADESIVA 69MM X 100M</v>
      </c>
      <c r="E104" s="23">
        <v>24.0</v>
      </c>
      <c r="G104" s="22" t="s">
        <v>913</v>
      </c>
      <c r="H104" s="22" t="s">
        <v>455</v>
      </c>
      <c r="I104" s="22" t="s">
        <v>727</v>
      </c>
      <c r="J104" s="22" t="s">
        <v>946</v>
      </c>
    </row>
    <row r="105" hidden="1">
      <c r="A105" s="71">
        <v>45995.0</v>
      </c>
      <c r="B105" s="22" t="s">
        <v>224</v>
      </c>
      <c r="C105" s="25" t="str">
        <f>IFERROR(__xludf.DUMMYFUNCTION("""COMPUTED_VALUE"""),"MCC015UC0045")</f>
        <v>MCC015UC0045</v>
      </c>
      <c r="D105" s="25" t="str">
        <f>IFERROR(__xludf.DUMMYFUNCTION("""COMPUTED_VALUE"""),"FITA ADESIVA 69MM X 100M")</f>
        <v>FITA ADESIVA 69MM X 100M</v>
      </c>
      <c r="E105" s="23">
        <v>20.0</v>
      </c>
      <c r="G105" s="22" t="s">
        <v>567</v>
      </c>
      <c r="H105" s="22" t="s">
        <v>232</v>
      </c>
      <c r="I105" s="22" t="s">
        <v>729</v>
      </c>
      <c r="J105" s="22" t="s">
        <v>946</v>
      </c>
    </row>
    <row r="106" hidden="1">
      <c r="A106" s="71">
        <v>45999.0</v>
      </c>
      <c r="B106" s="22" t="s">
        <v>224</v>
      </c>
      <c r="C106" s="25" t="str">
        <f>IFERROR(__xludf.DUMMYFUNCTION("""COMPUTED_VALUE"""),"MCC015UC0045")</f>
        <v>MCC015UC0045</v>
      </c>
      <c r="D106" s="25" t="str">
        <f>IFERROR(__xludf.DUMMYFUNCTION("""COMPUTED_VALUE"""),"FITA ADESIVA 69MM X 100M")</f>
        <v>FITA ADESIVA 69MM X 100M</v>
      </c>
      <c r="E106" s="23">
        <v>24.0</v>
      </c>
      <c r="G106" s="22" t="s">
        <v>913</v>
      </c>
      <c r="H106" s="22" t="s">
        <v>305</v>
      </c>
      <c r="I106" s="22" t="s">
        <v>619</v>
      </c>
      <c r="J106" s="22" t="s">
        <v>946</v>
      </c>
    </row>
    <row r="107" hidden="1">
      <c r="A107" s="71">
        <v>45999.0</v>
      </c>
      <c r="B107" s="22" t="s">
        <v>224</v>
      </c>
      <c r="C107" s="25" t="str">
        <f>IFERROR(__xludf.DUMMYFUNCTION("""COMPUTED_VALUE"""),"MCC015UC0045")</f>
        <v>MCC015UC0045</v>
      </c>
      <c r="D107" s="25" t="str">
        <f>IFERROR(__xludf.DUMMYFUNCTION("""COMPUTED_VALUE"""),"FITA ADESIVA 69MM X 100M")</f>
        <v>FITA ADESIVA 69MM X 100M</v>
      </c>
      <c r="E107" s="23">
        <v>1.0</v>
      </c>
      <c r="G107" s="22" t="s">
        <v>913</v>
      </c>
      <c r="H107" s="22" t="s">
        <v>239</v>
      </c>
      <c r="I107" s="22" t="s">
        <v>734</v>
      </c>
      <c r="J107" s="22" t="s">
        <v>946</v>
      </c>
    </row>
    <row r="108" hidden="1">
      <c r="A108" s="71">
        <v>46001.0</v>
      </c>
      <c r="B108" s="22" t="s">
        <v>224</v>
      </c>
      <c r="C108" s="25" t="str">
        <f>IFERROR(__xludf.DUMMYFUNCTION("""COMPUTED_VALUE"""),"MCC015UC0045")</f>
        <v>MCC015UC0045</v>
      </c>
      <c r="D108" s="25" t="str">
        <f>IFERROR(__xludf.DUMMYFUNCTION("""COMPUTED_VALUE"""),"FITA ADESIVA 69MM X 100M")</f>
        <v>FITA ADESIVA 69MM X 100M</v>
      </c>
      <c r="E108" s="23">
        <v>20.0</v>
      </c>
      <c r="G108" s="22" t="s">
        <v>913</v>
      </c>
      <c r="H108" s="22" t="s">
        <v>214</v>
      </c>
      <c r="I108" s="22" t="s">
        <v>736</v>
      </c>
      <c r="J108" s="22" t="s">
        <v>946</v>
      </c>
    </row>
    <row r="109" hidden="1">
      <c r="A109" s="71">
        <v>46001.0</v>
      </c>
      <c r="B109" s="22" t="s">
        <v>224</v>
      </c>
      <c r="C109" s="25" t="str">
        <f>IFERROR(__xludf.DUMMYFUNCTION("""COMPUTED_VALUE"""),"MCC015UC0045")</f>
        <v>MCC015UC0045</v>
      </c>
      <c r="D109" s="25" t="str">
        <f>IFERROR(__xludf.DUMMYFUNCTION("""COMPUTED_VALUE"""),"FITA ADESIVA 69MM X 100M")</f>
        <v>FITA ADESIVA 69MM X 100M</v>
      </c>
      <c r="E109" s="23">
        <v>24.0</v>
      </c>
      <c r="G109" s="22" t="s">
        <v>913</v>
      </c>
      <c r="H109" s="22" t="s">
        <v>455</v>
      </c>
      <c r="I109" s="22" t="s">
        <v>714</v>
      </c>
      <c r="J109" s="22" t="s">
        <v>946</v>
      </c>
    </row>
    <row r="110" hidden="1">
      <c r="A110" s="71">
        <v>46006.0</v>
      </c>
      <c r="B110" s="22" t="s">
        <v>224</v>
      </c>
      <c r="C110" s="25" t="str">
        <f>IFERROR(__xludf.DUMMYFUNCTION("""COMPUTED_VALUE"""),"MCC015UC0045")</f>
        <v>MCC015UC0045</v>
      </c>
      <c r="D110" s="25" t="str">
        <f>IFERROR(__xludf.DUMMYFUNCTION("""COMPUTED_VALUE"""),"FITA ADESIVA 69MM X 100M")</f>
        <v>FITA ADESIVA 69MM X 100M</v>
      </c>
      <c r="E110" s="23">
        <v>25.0</v>
      </c>
      <c r="G110" s="22" t="s">
        <v>913</v>
      </c>
      <c r="H110" s="22" t="s">
        <v>401</v>
      </c>
      <c r="I110" s="22" t="s">
        <v>741</v>
      </c>
      <c r="J110" s="22" t="s">
        <v>946</v>
      </c>
    </row>
    <row r="111" hidden="1">
      <c r="A111" s="71">
        <v>46008.0</v>
      </c>
      <c r="B111" s="22" t="s">
        <v>224</v>
      </c>
      <c r="C111" s="25" t="str">
        <f>IFERROR(__xludf.DUMMYFUNCTION("""COMPUTED_VALUE"""),"MCC015UC0045")</f>
        <v>MCC015UC0045</v>
      </c>
      <c r="D111" s="25" t="str">
        <f>IFERROR(__xludf.DUMMYFUNCTION("""COMPUTED_VALUE"""),"FITA ADESIVA 69MM X 100M")</f>
        <v>FITA ADESIVA 69MM X 100M</v>
      </c>
      <c r="E111" s="23">
        <v>1.0</v>
      </c>
      <c r="G111" s="22" t="s">
        <v>923</v>
      </c>
      <c r="H111" s="22" t="s">
        <v>244</v>
      </c>
      <c r="I111" s="22" t="s">
        <v>744</v>
      </c>
      <c r="J111" s="22" t="s">
        <v>946</v>
      </c>
    </row>
    <row r="112" hidden="1">
      <c r="A112" s="71">
        <v>46028.0</v>
      </c>
      <c r="B112" s="22" t="s">
        <v>224</v>
      </c>
      <c r="C112" s="25" t="str">
        <f>IFERROR(__xludf.DUMMYFUNCTION("""COMPUTED_VALUE"""),"MCC015UC0045")</f>
        <v>MCC015UC0045</v>
      </c>
      <c r="D112" s="25" t="str">
        <f>IFERROR(__xludf.DUMMYFUNCTION("""COMPUTED_VALUE"""),"FITA ADESIVA 69MM X 100M")</f>
        <v>FITA ADESIVA 69MM X 100M</v>
      </c>
      <c r="E112" s="23">
        <v>24.0</v>
      </c>
      <c r="G112" s="22" t="s">
        <v>913</v>
      </c>
      <c r="H112" s="22" t="s">
        <v>455</v>
      </c>
      <c r="I112" s="22" t="s">
        <v>735</v>
      </c>
      <c r="J112" s="22" t="s">
        <v>946</v>
      </c>
    </row>
    <row r="113" hidden="1">
      <c r="A113" s="71">
        <v>46028.0</v>
      </c>
      <c r="B113" s="22" t="s">
        <v>224</v>
      </c>
      <c r="C113" s="25" t="str">
        <f>IFERROR(__xludf.DUMMYFUNCTION("""COMPUTED_VALUE"""),"MCC015UC0045")</f>
        <v>MCC015UC0045</v>
      </c>
      <c r="D113" s="25" t="str">
        <f>IFERROR(__xludf.DUMMYFUNCTION("""COMPUTED_VALUE"""),"FITA ADESIVA 69MM X 100M")</f>
        <v>FITA ADESIVA 69MM X 100M</v>
      </c>
      <c r="E113" s="23">
        <v>12.0</v>
      </c>
      <c r="G113" s="22" t="s">
        <v>916</v>
      </c>
      <c r="H113" s="22" t="s">
        <v>366</v>
      </c>
      <c r="I113" s="22" t="s">
        <v>751</v>
      </c>
      <c r="J113" s="22" t="s">
        <v>946</v>
      </c>
    </row>
    <row r="114" hidden="1">
      <c r="A114" s="71">
        <v>46030.0</v>
      </c>
      <c r="B114" s="22" t="s">
        <v>224</v>
      </c>
      <c r="C114" s="25" t="str">
        <f>IFERROR(__xludf.DUMMYFUNCTION("""COMPUTED_VALUE"""),"MCC015UC0045")</f>
        <v>MCC015UC0045</v>
      </c>
      <c r="D114" s="25" t="str">
        <f>IFERROR(__xludf.DUMMYFUNCTION("""COMPUTED_VALUE"""),"FITA ADESIVA 69MM X 100M")</f>
        <v>FITA ADESIVA 69MM X 100M</v>
      </c>
      <c r="E114" s="23">
        <v>3.0</v>
      </c>
      <c r="G114" s="22" t="s">
        <v>635</v>
      </c>
      <c r="H114" s="22" t="s">
        <v>270</v>
      </c>
      <c r="I114" s="22" t="s">
        <v>760</v>
      </c>
      <c r="J114" s="22" t="s">
        <v>946</v>
      </c>
    </row>
    <row r="115" hidden="1">
      <c r="A115" s="71">
        <v>46034.0</v>
      </c>
      <c r="B115" s="22" t="s">
        <v>224</v>
      </c>
      <c r="C115" s="25" t="str">
        <f>IFERROR(__xludf.DUMMYFUNCTION("""COMPUTED_VALUE"""),"MCC015UC0045")</f>
        <v>MCC015UC0045</v>
      </c>
      <c r="D115" s="25" t="str">
        <f>IFERROR(__xludf.DUMMYFUNCTION("""COMPUTED_VALUE"""),"FITA ADESIVA 69MM X 100M")</f>
        <v>FITA ADESIVA 69MM X 100M</v>
      </c>
      <c r="E115" s="23">
        <v>8.0</v>
      </c>
      <c r="G115" s="22" t="s">
        <v>923</v>
      </c>
      <c r="H115" s="22" t="s">
        <v>359</v>
      </c>
      <c r="I115" s="22" t="s">
        <v>765</v>
      </c>
      <c r="J115" s="22" t="s">
        <v>946</v>
      </c>
    </row>
    <row r="116" hidden="1">
      <c r="A116" s="71">
        <v>46042.0</v>
      </c>
      <c r="B116" s="22" t="s">
        <v>224</v>
      </c>
      <c r="C116" s="25" t="str">
        <f>IFERROR(__xludf.DUMMYFUNCTION("""COMPUTED_VALUE"""),"MCC015UC0045")</f>
        <v>MCC015UC0045</v>
      </c>
      <c r="D116" s="25" t="str">
        <f>IFERROR(__xludf.DUMMYFUNCTION("""COMPUTED_VALUE"""),"FITA ADESIVA 69MM X 100M")</f>
        <v>FITA ADESIVA 69MM X 100M</v>
      </c>
      <c r="E116" s="23">
        <v>10.0</v>
      </c>
      <c r="G116" s="22" t="s">
        <v>635</v>
      </c>
      <c r="H116" s="22" t="s">
        <v>343</v>
      </c>
      <c r="I116" s="22" t="s">
        <v>778</v>
      </c>
      <c r="J116" s="22" t="s">
        <v>946</v>
      </c>
    </row>
    <row r="117" hidden="1">
      <c r="A117" s="71">
        <v>46042.0</v>
      </c>
      <c r="B117" s="22" t="s">
        <v>224</v>
      </c>
      <c r="C117" s="25" t="str">
        <f>IFERROR(__xludf.DUMMYFUNCTION("""COMPUTED_VALUE"""),"MCC015UC0045")</f>
        <v>MCC015UC0045</v>
      </c>
      <c r="D117" s="25" t="str">
        <f>IFERROR(__xludf.DUMMYFUNCTION("""COMPUTED_VALUE"""),"FITA ADESIVA 69MM X 100M")</f>
        <v>FITA ADESIVA 69MM X 100M</v>
      </c>
      <c r="E117" s="23">
        <v>2.0</v>
      </c>
      <c r="G117" s="22" t="s">
        <v>635</v>
      </c>
      <c r="H117" s="22" t="s">
        <v>343</v>
      </c>
      <c r="I117" s="22" t="s">
        <v>761</v>
      </c>
      <c r="J117" s="22" t="s">
        <v>946</v>
      </c>
    </row>
    <row r="118" hidden="1">
      <c r="A118" s="71">
        <v>46044.0</v>
      </c>
      <c r="B118" s="22" t="s">
        <v>224</v>
      </c>
      <c r="C118" s="25" t="str">
        <f>IFERROR(__xludf.DUMMYFUNCTION("""COMPUTED_VALUE"""),"MCC015UC0045")</f>
        <v>MCC015UC0045</v>
      </c>
      <c r="D118" s="25" t="str">
        <f>IFERROR(__xludf.DUMMYFUNCTION("""COMPUTED_VALUE"""),"FITA ADESIVA 69MM X 100M")</f>
        <v>FITA ADESIVA 69MM X 100M</v>
      </c>
      <c r="E118" s="23">
        <v>20.0</v>
      </c>
      <c r="G118" s="22" t="s">
        <v>913</v>
      </c>
      <c r="H118" s="22" t="s">
        <v>214</v>
      </c>
      <c r="I118" s="22" t="s">
        <v>789</v>
      </c>
      <c r="J118" s="22" t="s">
        <v>946</v>
      </c>
    </row>
    <row r="119" hidden="1">
      <c r="A119" s="71">
        <v>46044.0</v>
      </c>
      <c r="B119" s="22" t="s">
        <v>224</v>
      </c>
      <c r="C119" s="25" t="str">
        <f>IFERROR(__xludf.DUMMYFUNCTION("""COMPUTED_VALUE"""),"MCC015UC0045")</f>
        <v>MCC015UC0045</v>
      </c>
      <c r="D119" s="25" t="str">
        <f>IFERROR(__xludf.DUMMYFUNCTION("""COMPUTED_VALUE"""),"FITA ADESIVA 69MM X 100M")</f>
        <v>FITA ADESIVA 69MM X 100M</v>
      </c>
      <c r="E119" s="23">
        <v>4.0</v>
      </c>
      <c r="G119" s="22" t="s">
        <v>913</v>
      </c>
      <c r="H119" s="22" t="s">
        <v>214</v>
      </c>
      <c r="I119" s="22" t="s">
        <v>790</v>
      </c>
      <c r="J119" s="22" t="s">
        <v>946</v>
      </c>
    </row>
    <row r="120" hidden="1">
      <c r="A120" s="71">
        <v>46049.0</v>
      </c>
      <c r="B120" s="22" t="s">
        <v>224</v>
      </c>
      <c r="C120" s="25" t="str">
        <f>IFERROR(__xludf.DUMMYFUNCTION("""COMPUTED_VALUE"""),"MCC015UC0045")</f>
        <v>MCC015UC0045</v>
      </c>
      <c r="D120" s="25" t="str">
        <f>IFERROR(__xludf.DUMMYFUNCTION("""COMPUTED_VALUE"""),"FITA ADESIVA 69MM X 100M")</f>
        <v>FITA ADESIVA 69MM X 100M</v>
      </c>
      <c r="E120" s="23">
        <v>10.0</v>
      </c>
      <c r="G120" s="22" t="s">
        <v>635</v>
      </c>
      <c r="H120" s="22" t="s">
        <v>297</v>
      </c>
      <c r="I120" s="22" t="s">
        <v>799</v>
      </c>
      <c r="J120" s="22" t="s">
        <v>946</v>
      </c>
    </row>
    <row r="121" hidden="1">
      <c r="A121" s="71">
        <v>46050.0</v>
      </c>
      <c r="B121" s="22" t="s">
        <v>224</v>
      </c>
      <c r="C121" s="25" t="str">
        <f>IFERROR(__xludf.DUMMYFUNCTION("""COMPUTED_VALUE"""),"MCC015UC0045")</f>
        <v>MCC015UC0045</v>
      </c>
      <c r="D121" s="25" t="str">
        <f>IFERROR(__xludf.DUMMYFUNCTION("""COMPUTED_VALUE"""),"FITA ADESIVA 69MM X 100M")</f>
        <v>FITA ADESIVA 69MM X 100M</v>
      </c>
      <c r="E121" s="23">
        <v>12.0</v>
      </c>
      <c r="G121" s="22" t="s">
        <v>913</v>
      </c>
      <c r="H121" s="22" t="s">
        <v>235</v>
      </c>
      <c r="I121" s="22" t="s">
        <v>609</v>
      </c>
      <c r="J121" s="22" t="s">
        <v>946</v>
      </c>
    </row>
    <row r="122" hidden="1">
      <c r="A122" s="71">
        <v>46050.0</v>
      </c>
      <c r="B122" s="22" t="s">
        <v>224</v>
      </c>
      <c r="C122" s="25" t="str">
        <f>IFERROR(__xludf.DUMMYFUNCTION("""COMPUTED_VALUE"""),"MCC015UC0045")</f>
        <v>MCC015UC0045</v>
      </c>
      <c r="D122" s="25" t="str">
        <f>IFERROR(__xludf.DUMMYFUNCTION("""COMPUTED_VALUE"""),"FITA ADESIVA 69MM X 100M")</f>
        <v>FITA ADESIVA 69MM X 100M</v>
      </c>
      <c r="E122" s="23">
        <v>12.0</v>
      </c>
      <c r="G122" s="22" t="s">
        <v>913</v>
      </c>
      <c r="H122" s="22" t="s">
        <v>235</v>
      </c>
      <c r="I122" s="22" t="s">
        <v>800</v>
      </c>
      <c r="J122" s="22" t="s">
        <v>946</v>
      </c>
    </row>
    <row r="123" hidden="1">
      <c r="A123" s="71">
        <v>46051.0</v>
      </c>
      <c r="B123" s="22" t="s">
        <v>224</v>
      </c>
      <c r="C123" s="25" t="str">
        <f>IFERROR(__xludf.DUMMYFUNCTION("""COMPUTED_VALUE"""),"MCC015UC0045")</f>
        <v>MCC015UC0045</v>
      </c>
      <c r="D123" s="25" t="str">
        <f>IFERROR(__xludf.DUMMYFUNCTION("""COMPUTED_VALUE"""),"FITA ADESIVA 69MM X 100M")</f>
        <v>FITA ADESIVA 69MM X 100M</v>
      </c>
      <c r="E123" s="23">
        <v>5.0</v>
      </c>
      <c r="G123" s="22" t="s">
        <v>567</v>
      </c>
      <c r="H123" s="22" t="s">
        <v>468</v>
      </c>
      <c r="I123" s="22" t="s">
        <v>469</v>
      </c>
      <c r="J123" s="22" t="s">
        <v>946</v>
      </c>
    </row>
    <row r="124" hidden="1">
      <c r="A124" s="71">
        <v>46058.0</v>
      </c>
      <c r="B124" s="22" t="s">
        <v>224</v>
      </c>
      <c r="C124" s="25" t="str">
        <f>IFERROR(__xludf.DUMMYFUNCTION("""COMPUTED_VALUE"""),"MCC015UC0045")</f>
        <v>MCC015UC0045</v>
      </c>
      <c r="D124" s="25" t="str">
        <f>IFERROR(__xludf.DUMMYFUNCTION("""COMPUTED_VALUE"""),"FITA ADESIVA 69MM X 100M")</f>
        <v>FITA ADESIVA 69MM X 100M</v>
      </c>
      <c r="E124" s="23">
        <v>24.0</v>
      </c>
      <c r="G124" s="22" t="s">
        <v>913</v>
      </c>
      <c r="H124" s="22" t="s">
        <v>455</v>
      </c>
      <c r="I124" s="22" t="s">
        <v>727</v>
      </c>
      <c r="J124" s="22" t="s">
        <v>946</v>
      </c>
    </row>
    <row r="125" hidden="1">
      <c r="A125" s="71">
        <v>46063.0</v>
      </c>
      <c r="B125" s="22" t="s">
        <v>224</v>
      </c>
      <c r="C125" s="25" t="str">
        <f>IFERROR(__xludf.DUMMYFUNCTION("""COMPUTED_VALUE"""),"MCC015UC0045")</f>
        <v>MCC015UC0045</v>
      </c>
      <c r="D125" s="25" t="str">
        <f>IFERROR(__xludf.DUMMYFUNCTION("""COMPUTED_VALUE"""),"FITA ADESIVA 69MM X 100M")</f>
        <v>FITA ADESIVA 69MM X 100M</v>
      </c>
      <c r="E125" s="23">
        <v>10.0</v>
      </c>
      <c r="G125" s="22" t="s">
        <v>913</v>
      </c>
      <c r="H125" s="22" t="s">
        <v>214</v>
      </c>
      <c r="I125" s="22" t="s">
        <v>451</v>
      </c>
      <c r="J125" s="22" t="s">
        <v>946</v>
      </c>
    </row>
    <row r="126" hidden="1">
      <c r="A126" s="71">
        <v>46063.0</v>
      </c>
      <c r="B126" s="22" t="s">
        <v>224</v>
      </c>
      <c r="C126" s="25" t="str">
        <f>IFERROR(__xludf.DUMMYFUNCTION("""COMPUTED_VALUE"""),"MCC015UC0045")</f>
        <v>MCC015UC0045</v>
      </c>
      <c r="D126" s="25" t="str">
        <f>IFERROR(__xludf.DUMMYFUNCTION("""COMPUTED_VALUE"""),"FITA ADESIVA 69MM X 100M")</f>
        <v>FITA ADESIVA 69MM X 100M</v>
      </c>
      <c r="E126" s="23">
        <v>10.0</v>
      </c>
      <c r="G126" s="22" t="s">
        <v>635</v>
      </c>
      <c r="H126" s="22" t="s">
        <v>297</v>
      </c>
      <c r="I126" s="22" t="s">
        <v>827</v>
      </c>
      <c r="J126" s="22" t="s">
        <v>946</v>
      </c>
    </row>
    <row r="127" hidden="1">
      <c r="A127" s="71">
        <v>46063.0</v>
      </c>
      <c r="B127" s="22" t="s">
        <v>224</v>
      </c>
      <c r="C127" s="25" t="str">
        <f>IFERROR(__xludf.DUMMYFUNCTION("""COMPUTED_VALUE"""),"MCC015UC0045")</f>
        <v>MCC015UC0045</v>
      </c>
      <c r="D127" s="25" t="str">
        <f>IFERROR(__xludf.DUMMYFUNCTION("""COMPUTED_VALUE"""),"FITA ADESIVA 69MM X 100M")</f>
        <v>FITA ADESIVA 69MM X 100M</v>
      </c>
      <c r="E127" s="23">
        <v>4.0</v>
      </c>
      <c r="G127" s="22" t="s">
        <v>923</v>
      </c>
      <c r="H127" s="22" t="s">
        <v>359</v>
      </c>
      <c r="I127" s="22" t="s">
        <v>765</v>
      </c>
      <c r="J127" s="22" t="s">
        <v>946</v>
      </c>
    </row>
    <row r="128" hidden="1">
      <c r="A128" s="71">
        <v>46063.0</v>
      </c>
      <c r="B128" s="22" t="s">
        <v>224</v>
      </c>
      <c r="C128" s="25" t="str">
        <f>IFERROR(__xludf.DUMMYFUNCTION("""COMPUTED_VALUE"""),"MCC015UC0045")</f>
        <v>MCC015UC0045</v>
      </c>
      <c r="D128" s="25" t="str">
        <f>IFERROR(__xludf.DUMMYFUNCTION("""COMPUTED_VALUE"""),"FITA ADESIVA 69MM X 100M")</f>
        <v>FITA ADESIVA 69MM X 100M</v>
      </c>
      <c r="E128" s="23">
        <v>24.0</v>
      </c>
      <c r="G128" s="22" t="s">
        <v>567</v>
      </c>
      <c r="H128" s="22" t="s">
        <v>232</v>
      </c>
      <c r="I128" s="22" t="s">
        <v>824</v>
      </c>
      <c r="J128" s="22" t="s">
        <v>946</v>
      </c>
    </row>
    <row r="129" hidden="1">
      <c r="A129" s="71">
        <v>46065.0</v>
      </c>
      <c r="B129" s="22" t="s">
        <v>224</v>
      </c>
      <c r="C129" s="25" t="str">
        <f>IFERROR(__xludf.DUMMYFUNCTION("""COMPUTED_VALUE"""),"MCC015UC0045")</f>
        <v>MCC015UC0045</v>
      </c>
      <c r="D129" s="25" t="str">
        <f>IFERROR(__xludf.DUMMYFUNCTION("""COMPUTED_VALUE"""),"FITA ADESIVA 69MM X 100M")</f>
        <v>FITA ADESIVA 69MM X 100M</v>
      </c>
      <c r="E129" s="23">
        <v>10.0</v>
      </c>
      <c r="G129" s="22" t="s">
        <v>635</v>
      </c>
      <c r="H129" s="22" t="s">
        <v>297</v>
      </c>
      <c r="I129" s="22" t="s">
        <v>838</v>
      </c>
      <c r="J129" s="22" t="s">
        <v>946</v>
      </c>
    </row>
    <row r="130" hidden="1">
      <c r="A130" s="71">
        <v>46076.0</v>
      </c>
      <c r="B130" s="22" t="s">
        <v>224</v>
      </c>
      <c r="C130" s="25" t="str">
        <f>IFERROR(__xludf.DUMMYFUNCTION("""COMPUTED_VALUE"""),"MCC015UC0045")</f>
        <v>MCC015UC0045</v>
      </c>
      <c r="D130" s="25" t="str">
        <f>IFERROR(__xludf.DUMMYFUNCTION("""COMPUTED_VALUE"""),"FITA ADESIVA 69MM X 100M")</f>
        <v>FITA ADESIVA 69MM X 100M</v>
      </c>
      <c r="E130" s="23">
        <v>24.0</v>
      </c>
      <c r="G130" s="22" t="s">
        <v>913</v>
      </c>
      <c r="H130" s="22" t="s">
        <v>305</v>
      </c>
      <c r="I130" s="22" t="s">
        <v>486</v>
      </c>
      <c r="J130" s="22" t="s">
        <v>946</v>
      </c>
    </row>
    <row r="131" hidden="1">
      <c r="A131" s="71">
        <v>46077.0</v>
      </c>
      <c r="B131" s="22" t="s">
        <v>224</v>
      </c>
      <c r="C131" s="25" t="str">
        <f>IFERROR(__xludf.DUMMYFUNCTION("""COMPUTED_VALUE"""),"MCC015UC0045")</f>
        <v>MCC015UC0045</v>
      </c>
      <c r="D131" s="25" t="str">
        <f>IFERROR(__xludf.DUMMYFUNCTION("""COMPUTED_VALUE"""),"FITA ADESIVA 69MM X 100M")</f>
        <v>FITA ADESIVA 69MM X 100M</v>
      </c>
      <c r="E131" s="23">
        <v>12.0</v>
      </c>
      <c r="G131" s="22" t="s">
        <v>916</v>
      </c>
      <c r="H131" s="22" t="s">
        <v>366</v>
      </c>
      <c r="I131" s="22" t="s">
        <v>545</v>
      </c>
      <c r="J131" s="22" t="s">
        <v>946</v>
      </c>
    </row>
    <row r="132" hidden="1">
      <c r="A132" s="71">
        <v>46078.0</v>
      </c>
      <c r="B132" s="22" t="s">
        <v>224</v>
      </c>
      <c r="C132" s="25" t="str">
        <f>IFERROR(__xludf.DUMMYFUNCTION("""COMPUTED_VALUE"""),"MCC015UC0045")</f>
        <v>MCC015UC0045</v>
      </c>
      <c r="D132" s="25" t="str">
        <f>IFERROR(__xludf.DUMMYFUNCTION("""COMPUTED_VALUE"""),"FITA ADESIVA 69MM X 100M")</f>
        <v>FITA ADESIVA 69MM X 100M</v>
      </c>
      <c r="E132" s="23">
        <v>24.0</v>
      </c>
      <c r="G132" s="22" t="s">
        <v>913</v>
      </c>
      <c r="H132" s="22" t="s">
        <v>305</v>
      </c>
      <c r="I132" s="22" t="s">
        <v>486</v>
      </c>
      <c r="J132" s="22" t="s">
        <v>946</v>
      </c>
    </row>
    <row r="133" hidden="1">
      <c r="A133" s="71">
        <v>46080.0</v>
      </c>
      <c r="B133" s="22" t="s">
        <v>224</v>
      </c>
      <c r="C133" s="25" t="str">
        <f>IFERROR(__xludf.DUMMYFUNCTION("""COMPUTED_VALUE"""),"MCC015UC0045")</f>
        <v>MCC015UC0045</v>
      </c>
      <c r="D133" s="25" t="str">
        <f>IFERROR(__xludf.DUMMYFUNCTION("""COMPUTED_VALUE"""),"FITA ADESIVA 69MM X 100M")</f>
        <v>FITA ADESIVA 69MM X 100M</v>
      </c>
      <c r="E133" s="23">
        <v>24.0</v>
      </c>
      <c r="G133" s="22" t="s">
        <v>635</v>
      </c>
      <c r="H133" s="22" t="s">
        <v>343</v>
      </c>
      <c r="I133" s="22" t="s">
        <v>819</v>
      </c>
      <c r="J133" s="22" t="s">
        <v>946</v>
      </c>
    </row>
    <row r="134" hidden="1">
      <c r="A134" s="71">
        <v>46083.0</v>
      </c>
      <c r="B134" s="22" t="s">
        <v>224</v>
      </c>
      <c r="C134" s="25" t="str">
        <f>IFERROR(__xludf.DUMMYFUNCTION("""COMPUTED_VALUE"""),"MCC015UC0045")</f>
        <v>MCC015UC0045</v>
      </c>
      <c r="D134" s="25" t="str">
        <f>IFERROR(__xludf.DUMMYFUNCTION("""COMPUTED_VALUE"""),"FITA ADESIVA 69MM X 100M")</f>
        <v>FITA ADESIVA 69MM X 100M</v>
      </c>
      <c r="E134" s="23">
        <v>8.0</v>
      </c>
      <c r="G134" s="22" t="s">
        <v>635</v>
      </c>
      <c r="H134" s="22" t="s">
        <v>297</v>
      </c>
      <c r="I134" s="22" t="s">
        <v>864</v>
      </c>
      <c r="J134" s="22" t="s">
        <v>946</v>
      </c>
    </row>
    <row r="135" hidden="1">
      <c r="A135" s="71">
        <v>46085.0</v>
      </c>
      <c r="B135" s="22" t="s">
        <v>224</v>
      </c>
      <c r="C135" s="25" t="str">
        <f>IFERROR(__xludf.DUMMYFUNCTION("""COMPUTED_VALUE"""),"MCC015UC0045")</f>
        <v>MCC015UC0045</v>
      </c>
      <c r="D135" s="25" t="str">
        <f>IFERROR(__xludf.DUMMYFUNCTION("""COMPUTED_VALUE"""),"FITA ADESIVA 69MM X 100M")</f>
        <v>FITA ADESIVA 69MM X 100M</v>
      </c>
      <c r="E135" s="23">
        <v>1.0</v>
      </c>
      <c r="G135" s="22" t="s">
        <v>923</v>
      </c>
      <c r="H135" s="22" t="s">
        <v>244</v>
      </c>
      <c r="I135" s="22" t="s">
        <v>829</v>
      </c>
      <c r="J135" s="22" t="s">
        <v>946</v>
      </c>
    </row>
    <row r="136" hidden="1">
      <c r="A136" s="71">
        <v>46086.0</v>
      </c>
      <c r="B136" s="22" t="s">
        <v>224</v>
      </c>
      <c r="C136" s="25" t="str">
        <f>IFERROR(__xludf.DUMMYFUNCTION("""COMPUTED_VALUE"""),"MCC015UC0045")</f>
        <v>MCC015UC0045</v>
      </c>
      <c r="D136" s="25" t="str">
        <f>IFERROR(__xludf.DUMMYFUNCTION("""COMPUTED_VALUE"""),"FITA ADESIVA 69MM X 100M")</f>
        <v>FITA ADESIVA 69MM X 100M</v>
      </c>
      <c r="E136" s="23">
        <v>24.0</v>
      </c>
      <c r="G136" s="22" t="s">
        <v>913</v>
      </c>
      <c r="H136" s="22" t="s">
        <v>455</v>
      </c>
      <c r="I136" s="22" t="s">
        <v>727</v>
      </c>
      <c r="J136" s="22" t="s">
        <v>946</v>
      </c>
    </row>
    <row r="137" hidden="1">
      <c r="A137" s="71">
        <v>46090.0</v>
      </c>
      <c r="B137" s="22" t="s">
        <v>224</v>
      </c>
      <c r="C137" s="25" t="str">
        <f>IFERROR(__xludf.DUMMYFUNCTION("""COMPUTED_VALUE"""),"MCC015UC0045")</f>
        <v>MCC015UC0045</v>
      </c>
      <c r="D137" s="25" t="str">
        <f>IFERROR(__xludf.DUMMYFUNCTION("""COMPUTED_VALUE"""),"FITA ADESIVA 69MM X 100M")</f>
        <v>FITA ADESIVA 69MM X 100M</v>
      </c>
      <c r="E137" s="23">
        <v>10.0</v>
      </c>
      <c r="G137" s="22" t="s">
        <v>913</v>
      </c>
      <c r="H137" s="22" t="s">
        <v>214</v>
      </c>
      <c r="I137" s="22" t="s">
        <v>882</v>
      </c>
      <c r="J137" s="22" t="s">
        <v>946</v>
      </c>
    </row>
    <row r="138" hidden="1">
      <c r="A138" s="71">
        <v>46091.0</v>
      </c>
      <c r="B138" s="22" t="s">
        <v>224</v>
      </c>
      <c r="C138" s="25" t="str">
        <f>IFERROR(__xludf.DUMMYFUNCTION("""COMPUTED_VALUE"""),"MCC015UC0045")</f>
        <v>MCC015UC0045</v>
      </c>
      <c r="D138" s="25" t="str">
        <f>IFERROR(__xludf.DUMMYFUNCTION("""COMPUTED_VALUE"""),"FITA ADESIVA 69MM X 100M")</f>
        <v>FITA ADESIVA 69MM X 100M</v>
      </c>
      <c r="E138" s="23">
        <v>6.0</v>
      </c>
      <c r="G138" s="22" t="s">
        <v>913</v>
      </c>
      <c r="H138" s="22" t="s">
        <v>235</v>
      </c>
      <c r="I138" s="22" t="s">
        <v>237</v>
      </c>
      <c r="J138" s="22" t="s">
        <v>946</v>
      </c>
    </row>
    <row r="139" hidden="1">
      <c r="A139" s="71">
        <v>46091.0</v>
      </c>
      <c r="B139" s="22" t="s">
        <v>224</v>
      </c>
      <c r="C139" s="25" t="str">
        <f>IFERROR(__xludf.DUMMYFUNCTION("""COMPUTED_VALUE"""),"MCC015UC0045")</f>
        <v>MCC015UC0045</v>
      </c>
      <c r="D139" s="25" t="str">
        <f>IFERROR(__xludf.DUMMYFUNCTION("""COMPUTED_VALUE"""),"FITA ADESIVA 69MM X 100M")</f>
        <v>FITA ADESIVA 69MM X 100M</v>
      </c>
      <c r="E139" s="23">
        <v>8.0</v>
      </c>
      <c r="G139" s="22" t="s">
        <v>916</v>
      </c>
      <c r="H139" s="22" t="s">
        <v>366</v>
      </c>
      <c r="I139" s="22" t="s">
        <v>704</v>
      </c>
      <c r="J139" s="22" t="s">
        <v>946</v>
      </c>
    </row>
    <row r="140" hidden="1">
      <c r="A140" s="71">
        <v>46092.0</v>
      </c>
      <c r="B140" s="22" t="s">
        <v>224</v>
      </c>
      <c r="C140" s="25" t="str">
        <f>IFERROR(__xludf.DUMMYFUNCTION("""COMPUTED_VALUE"""),"MCC015UC0045")</f>
        <v>MCC015UC0045</v>
      </c>
      <c r="D140" s="25" t="str">
        <f>IFERROR(__xludf.DUMMYFUNCTION("""COMPUTED_VALUE"""),"FITA ADESIVA 69MM X 100M")</f>
        <v>FITA ADESIVA 69MM X 100M</v>
      </c>
      <c r="E140" s="23">
        <v>18.0</v>
      </c>
      <c r="G140" s="22" t="s">
        <v>913</v>
      </c>
      <c r="H140" s="22" t="s">
        <v>235</v>
      </c>
      <c r="I140" s="22" t="s">
        <v>884</v>
      </c>
      <c r="J140" s="22" t="s">
        <v>946</v>
      </c>
    </row>
    <row r="141" hidden="1">
      <c r="A141" s="71">
        <v>46093.0</v>
      </c>
      <c r="B141" s="22" t="s">
        <v>224</v>
      </c>
      <c r="C141" s="25" t="str">
        <f>IFERROR(__xludf.DUMMYFUNCTION("""COMPUTED_VALUE"""),"MCC015UC0045")</f>
        <v>MCC015UC0045</v>
      </c>
      <c r="D141" s="25" t="str">
        <f>IFERROR(__xludf.DUMMYFUNCTION("""COMPUTED_VALUE"""),"FITA ADESIVA 69MM X 100M")</f>
        <v>FITA ADESIVA 69MM X 100M</v>
      </c>
      <c r="E141" s="23">
        <v>24.0</v>
      </c>
      <c r="G141" s="22" t="s">
        <v>913</v>
      </c>
      <c r="H141" s="22" t="s">
        <v>235</v>
      </c>
      <c r="I141" s="22" t="s">
        <v>893</v>
      </c>
      <c r="J141" s="22" t="s">
        <v>946</v>
      </c>
    </row>
    <row r="142" hidden="1">
      <c r="A142" s="71">
        <v>46094.0</v>
      </c>
      <c r="B142" s="22" t="s">
        <v>224</v>
      </c>
      <c r="C142" s="25" t="str">
        <f>IFERROR(__xludf.DUMMYFUNCTION("""COMPUTED_VALUE"""),"MCC015UC0045")</f>
        <v>MCC015UC0045</v>
      </c>
      <c r="D142" s="25" t="str">
        <f>IFERROR(__xludf.DUMMYFUNCTION("""COMPUTED_VALUE"""),"FITA ADESIVA 69MM X 100M")</f>
        <v>FITA ADESIVA 69MM X 100M</v>
      </c>
      <c r="E142" s="23">
        <v>4.0</v>
      </c>
      <c r="G142" s="22" t="s">
        <v>635</v>
      </c>
      <c r="H142" s="22" t="s">
        <v>270</v>
      </c>
      <c r="I142" s="22" t="s">
        <v>897</v>
      </c>
      <c r="J142" s="22" t="s">
        <v>946</v>
      </c>
    </row>
    <row r="143" hidden="1">
      <c r="A143" s="71">
        <v>46094.0</v>
      </c>
      <c r="B143" s="22" t="s">
        <v>224</v>
      </c>
      <c r="C143" s="25" t="str">
        <f>IFERROR(__xludf.DUMMYFUNCTION("""COMPUTED_VALUE"""),"MCC015UC0045")</f>
        <v>MCC015UC0045</v>
      </c>
      <c r="D143" s="25" t="str">
        <f>IFERROR(__xludf.DUMMYFUNCTION("""COMPUTED_VALUE"""),"FITA ADESIVA 69MM X 100M")</f>
        <v>FITA ADESIVA 69MM X 100M</v>
      </c>
      <c r="E143" s="23">
        <v>24.0</v>
      </c>
      <c r="G143" s="22" t="s">
        <v>913</v>
      </c>
      <c r="H143" s="22" t="s">
        <v>455</v>
      </c>
      <c r="I143" s="22" t="s">
        <v>301</v>
      </c>
      <c r="J143" s="22" t="s">
        <v>946</v>
      </c>
    </row>
    <row r="144" hidden="1">
      <c r="A144" s="71">
        <v>46097.0</v>
      </c>
      <c r="B144" s="22" t="s">
        <v>224</v>
      </c>
      <c r="C144" s="25" t="str">
        <f>IFERROR(__xludf.DUMMYFUNCTION("""COMPUTED_VALUE"""),"MCC015UC0045")</f>
        <v>MCC015UC0045</v>
      </c>
      <c r="D144" s="25" t="str">
        <f>IFERROR(__xludf.DUMMYFUNCTION("""COMPUTED_VALUE"""),"FITA ADESIVA 69MM X 100M")</f>
        <v>FITA ADESIVA 69MM X 100M</v>
      </c>
      <c r="E144" s="23">
        <v>24.0</v>
      </c>
      <c r="G144" s="22" t="s">
        <v>913</v>
      </c>
      <c r="H144" s="22" t="s">
        <v>235</v>
      </c>
      <c r="I144" s="22" t="s">
        <v>899</v>
      </c>
      <c r="J144" s="22" t="s">
        <v>946</v>
      </c>
    </row>
    <row r="145" hidden="1">
      <c r="A145" s="71">
        <v>46098.0</v>
      </c>
      <c r="B145" s="22" t="s">
        <v>242</v>
      </c>
      <c r="C145" s="25" t="str">
        <f>IFERROR(__xludf.DUMMYFUNCTION("""COMPUTED_VALUE"""),"MCC046UC0687")</f>
        <v>MCC046UC0687</v>
      </c>
      <c r="D145" s="25" t="str">
        <f>IFERROR(__xludf.DUMMYFUNCTION("""COMPUTED_VALUE"""),"ETIQUETA COUCHE - 100X100X 1")</f>
        <v>ETIQUETA COUCHE - 100X100X 1</v>
      </c>
      <c r="E145" s="23">
        <v>10.0</v>
      </c>
      <c r="G145" s="22" t="s">
        <v>913</v>
      </c>
      <c r="H145" s="22" t="s">
        <v>900</v>
      </c>
      <c r="I145" s="22" t="s">
        <v>901</v>
      </c>
      <c r="J145" s="22" t="s">
        <v>946</v>
      </c>
    </row>
    <row r="146" hidden="1">
      <c r="A146" s="71">
        <v>46098.0</v>
      </c>
      <c r="B146" s="22" t="s">
        <v>498</v>
      </c>
      <c r="C146" s="25" t="str">
        <f>IFERROR(__xludf.DUMMYFUNCTION("""COMPUTED_VALUE"""),"MCC049UC0607")</f>
        <v>MCC049UC0607</v>
      </c>
      <c r="D146" s="25" t="str">
        <f>IFERROR(__xludf.DUMMYFUNCTION("""COMPUTED_VALUE"""),"PAPEL A3 RESMA COM 500 FLS")</f>
        <v>PAPEL A3 RESMA COM 500 FLS</v>
      </c>
      <c r="E146" s="23">
        <v>20.0</v>
      </c>
      <c r="G146" s="22" t="s">
        <v>913</v>
      </c>
      <c r="H146" s="22" t="s">
        <v>214</v>
      </c>
      <c r="I146" s="22" t="s">
        <v>903</v>
      </c>
      <c r="J146" s="22" t="s">
        <v>946</v>
      </c>
    </row>
    <row r="147" hidden="1">
      <c r="A147" s="71">
        <v>46098.0</v>
      </c>
      <c r="B147" s="22" t="s">
        <v>242</v>
      </c>
      <c r="C147" s="25" t="str">
        <f>IFERROR(__xludf.DUMMYFUNCTION("""COMPUTED_VALUE"""),"MCC046UC0687")</f>
        <v>MCC046UC0687</v>
      </c>
      <c r="D147" s="25" t="str">
        <f>IFERROR(__xludf.DUMMYFUNCTION("""COMPUTED_VALUE"""),"ETIQUETA COUCHE - 100X100X 1")</f>
        <v>ETIQUETA COUCHE - 100X100X 1</v>
      </c>
      <c r="E147" s="23">
        <v>24.0</v>
      </c>
      <c r="G147" s="22" t="s">
        <v>913</v>
      </c>
      <c r="H147" s="22" t="s">
        <v>214</v>
      </c>
      <c r="I147" s="22" t="s">
        <v>903</v>
      </c>
      <c r="J147" s="22" t="s">
        <v>946</v>
      </c>
    </row>
    <row r="148" hidden="1">
      <c r="A148" s="71">
        <v>46098.0</v>
      </c>
      <c r="B148" s="22" t="s">
        <v>224</v>
      </c>
      <c r="C148" s="25" t="str">
        <f>IFERROR(__xludf.DUMMYFUNCTION("""COMPUTED_VALUE"""),"MCC015UC0045")</f>
        <v>MCC015UC0045</v>
      </c>
      <c r="D148" s="25" t="str">
        <f>IFERROR(__xludf.DUMMYFUNCTION("""COMPUTED_VALUE"""),"FITA ADESIVA 69MM X 100M")</f>
        <v>FITA ADESIVA 69MM X 100M</v>
      </c>
      <c r="E148" s="23">
        <v>10.0</v>
      </c>
      <c r="G148" s="22" t="s">
        <v>913</v>
      </c>
      <c r="H148" s="22" t="s">
        <v>214</v>
      </c>
      <c r="I148" s="22" t="s">
        <v>903</v>
      </c>
      <c r="J148" s="22" t="s">
        <v>946</v>
      </c>
    </row>
    <row r="149" hidden="1">
      <c r="A149" s="71">
        <v>46098.0</v>
      </c>
      <c r="B149" s="22" t="s">
        <v>224</v>
      </c>
      <c r="C149" s="25" t="str">
        <f>IFERROR(__xludf.DUMMYFUNCTION("""COMPUTED_VALUE"""),"MCC015UC0045")</f>
        <v>MCC015UC0045</v>
      </c>
      <c r="D149" s="25" t="str">
        <f>IFERROR(__xludf.DUMMYFUNCTION("""COMPUTED_VALUE"""),"FITA ADESIVA 69MM X 100M")</f>
        <v>FITA ADESIVA 69MM X 100M</v>
      </c>
      <c r="E149" s="23">
        <v>20.0</v>
      </c>
      <c r="G149" s="22" t="s">
        <v>913</v>
      </c>
      <c r="H149" s="22" t="s">
        <v>214</v>
      </c>
      <c r="I149" s="22" t="s">
        <v>903</v>
      </c>
      <c r="J149" s="22" t="s">
        <v>946</v>
      </c>
    </row>
    <row r="150" hidden="1">
      <c r="A150" s="71">
        <v>46098.0</v>
      </c>
      <c r="B150" s="22" t="s">
        <v>263</v>
      </c>
      <c r="C150" s="25" t="str">
        <f>IFERROR(__xludf.DUMMYFUNCTION("""COMPUTED_VALUE"""),"MCC015UC0038")</f>
        <v>MCC015UC0038</v>
      </c>
      <c r="D150" s="25" t="str">
        <f>IFERROR(__xludf.DUMMYFUNCTION("""COMPUTED_VALUE"""),"BOBINA SHRINK 500MM")</f>
        <v>BOBINA SHRINK 500MM</v>
      </c>
      <c r="E150" s="23">
        <v>1.0</v>
      </c>
      <c r="G150" s="22" t="s">
        <v>916</v>
      </c>
      <c r="H150" s="22" t="s">
        <v>366</v>
      </c>
      <c r="I150" s="22" t="s">
        <v>904</v>
      </c>
      <c r="J150" s="22" t="s">
        <v>946</v>
      </c>
    </row>
    <row r="151" hidden="1">
      <c r="A151" s="71">
        <v>46099.0</v>
      </c>
      <c r="B151" s="22" t="s">
        <v>271</v>
      </c>
      <c r="C151" s="25" t="str">
        <f>IFERROR(__xludf.DUMMYFUNCTION("""COMPUTED_VALUE"""),"MCC046UC0216")</f>
        <v>MCC046UC0216</v>
      </c>
      <c r="D151" s="25" t="str">
        <f>IFERROR(__xludf.DUMMYFUNCTION("""COMPUTED_VALUE"""),"CANETA ESFEROGRAFICA ECONOMIC PRETA BIC")</f>
        <v>CANETA ESFEROGRAFICA ECONOMIC PRETA BIC</v>
      </c>
      <c r="E151" s="23">
        <v>2.0</v>
      </c>
      <c r="G151" s="22" t="s">
        <v>923</v>
      </c>
      <c r="H151" s="22" t="s">
        <v>210</v>
      </c>
      <c r="I151" s="22" t="s">
        <v>905</v>
      </c>
      <c r="J151" s="22" t="s">
        <v>946</v>
      </c>
    </row>
    <row r="152" hidden="1">
      <c r="A152" s="71">
        <v>46099.0</v>
      </c>
      <c r="B152" s="22" t="s">
        <v>261</v>
      </c>
      <c r="C152" s="25" t="str">
        <f>IFERROR(__xludf.DUMMYFUNCTION("""COMPUTED_VALUE"""),"EMC015MO0001")</f>
        <v>EMC015MO0001</v>
      </c>
      <c r="D152" s="25" t="str">
        <f>IFERROR(__xludf.DUMMYFUNCTION("""COMPUTED_VALUE"""),"RIBBON CERA PRETO 110MMX300M")</f>
        <v>RIBBON CERA PRETO 110MMX300M</v>
      </c>
      <c r="E152" s="23">
        <v>4.0</v>
      </c>
      <c r="G152" s="22" t="s">
        <v>567</v>
      </c>
      <c r="H152" s="22" t="s">
        <v>232</v>
      </c>
      <c r="I152" s="22" t="s">
        <v>906</v>
      </c>
      <c r="J152" s="22" t="s">
        <v>946</v>
      </c>
    </row>
    <row r="153" hidden="1">
      <c r="A153" s="71">
        <v>46099.0</v>
      </c>
      <c r="B153" s="22" t="s">
        <v>291</v>
      </c>
      <c r="C153" s="25" t="str">
        <f>IFERROR(__xludf.DUMMYFUNCTION("""COMPUTED_VALUE"""),"MCC046UC0695")</f>
        <v>MCC046UC0695</v>
      </c>
      <c r="D153" s="25" t="str">
        <f>IFERROR(__xludf.DUMMYFUNCTION("""COMPUTED_VALUE"""),"ETIQUETA COUCHE 98X50X1")</f>
        <v>ETIQUETA COUCHE 98X50X1</v>
      </c>
      <c r="E153" s="23">
        <v>30.0</v>
      </c>
      <c r="G153" s="22" t="s">
        <v>567</v>
      </c>
      <c r="H153" s="22" t="s">
        <v>232</v>
      </c>
      <c r="I153" s="22" t="s">
        <v>907</v>
      </c>
      <c r="J153" s="22" t="s">
        <v>946</v>
      </c>
    </row>
    <row r="154">
      <c r="A154" s="71">
        <v>46099.0</v>
      </c>
      <c r="B154" s="22" t="s">
        <v>245</v>
      </c>
      <c r="C154" s="25" t="str">
        <f>IFERROR(__xludf.DUMMYFUNCTION("""COMPUTED_VALUE"""),"MCC015UC0008")</f>
        <v>MCC015UC0008</v>
      </c>
      <c r="D154" s="25" t="str">
        <f>IFERROR(__xludf.DUMMYFUNCTION("""COMPUTED_VALUE"""),"FILME STRETCH 500X25")</f>
        <v>FILME STRETCH 500X25</v>
      </c>
      <c r="E154" s="23">
        <v>17.0</v>
      </c>
      <c r="G154" s="22" t="s">
        <v>635</v>
      </c>
      <c r="H154" s="22" t="s">
        <v>343</v>
      </c>
      <c r="I154" s="22" t="s">
        <v>844</v>
      </c>
      <c r="J154" s="22" t="s">
        <v>946</v>
      </c>
    </row>
    <row r="155" hidden="1">
      <c r="A155" s="71">
        <v>46100.0</v>
      </c>
      <c r="B155" s="22" t="s">
        <v>224</v>
      </c>
      <c r="C155" s="25" t="str">
        <f>IFERROR(__xludf.DUMMYFUNCTION("""COMPUTED_VALUE"""),"MCC015UC0045")</f>
        <v>MCC015UC0045</v>
      </c>
      <c r="D155" s="25" t="str">
        <f>IFERROR(__xludf.DUMMYFUNCTION("""COMPUTED_VALUE"""),"FITA ADESIVA 69MM X 100M")</f>
        <v>FITA ADESIVA 69MM X 100M</v>
      </c>
      <c r="E155" s="23">
        <v>30.0</v>
      </c>
      <c r="G155" s="22" t="s">
        <v>913</v>
      </c>
      <c r="H155" s="22" t="s">
        <v>455</v>
      </c>
      <c r="I155" s="22" t="s">
        <v>908</v>
      </c>
      <c r="J155" s="22" t="s">
        <v>946</v>
      </c>
    </row>
    <row r="156" hidden="1">
      <c r="A156" s="71">
        <v>46100.0</v>
      </c>
      <c r="B156" s="22" t="s">
        <v>230</v>
      </c>
      <c r="C156" s="25" t="str">
        <f>IFERROR(__xludf.DUMMYFUNCTION("""COMPUTED_VALUE"""),"MCC046UC0658")</f>
        <v>MCC046UC0658</v>
      </c>
      <c r="D156" s="25" t="str">
        <f>IFERROR(__xludf.DUMMYFUNCTION("""COMPUTED_VALUE"""),"ETIQUETA ADESIVA COUCHE LARANJA 100X150X1")</f>
        <v>ETIQUETA ADESIVA COUCHE LARANJA 100X150X1</v>
      </c>
      <c r="E156" s="23">
        <v>2.0</v>
      </c>
      <c r="G156" s="22" t="s">
        <v>567</v>
      </c>
      <c r="H156" s="22" t="s">
        <v>232</v>
      </c>
      <c r="I156" s="22" t="s">
        <v>783</v>
      </c>
      <c r="J156" s="22" t="s">
        <v>946</v>
      </c>
    </row>
    <row r="157" hidden="1">
      <c r="A157" s="71">
        <v>46100.0</v>
      </c>
      <c r="B157" s="22" t="s">
        <v>398</v>
      </c>
      <c r="C157" s="25" t="str">
        <f>IFERROR(__xludf.DUMMYFUNCTION("""COMPUTED_VALUE"""),"MCC046UC0360")</f>
        <v>MCC046UC0360</v>
      </c>
      <c r="D157" s="25" t="str">
        <f>IFERROR(__xludf.DUMMYFUNCTION("""COMPUTED_VALUE"""),"FITA ADESIVA DUPLA FACE 12mm X 20m 4910 VHB 3M")</f>
        <v>FITA ADESIVA DUPLA FACE 12mm X 20m 4910 VHB 3M</v>
      </c>
      <c r="E157" s="23">
        <v>1.0</v>
      </c>
      <c r="G157" s="22" t="s">
        <v>567</v>
      </c>
      <c r="H157" s="22" t="s">
        <v>232</v>
      </c>
      <c r="I157" s="22" t="s">
        <v>909</v>
      </c>
      <c r="J157" s="22" t="s">
        <v>946</v>
      </c>
    </row>
    <row r="158">
      <c r="A158" s="71">
        <v>46101.0</v>
      </c>
      <c r="B158" s="22" t="s">
        <v>245</v>
      </c>
      <c r="C158" s="25" t="str">
        <f>IFERROR(__xludf.DUMMYFUNCTION("""COMPUTED_VALUE"""),"MCC015UC0008")</f>
        <v>MCC015UC0008</v>
      </c>
      <c r="D158" s="25" t="str">
        <f>IFERROR(__xludf.DUMMYFUNCTION("""COMPUTED_VALUE"""),"FILME STRETCH 500X25")</f>
        <v>FILME STRETCH 500X25</v>
      </c>
      <c r="E158" s="23">
        <v>6.0</v>
      </c>
      <c r="G158" s="22" t="s">
        <v>635</v>
      </c>
      <c r="H158" s="22" t="s">
        <v>297</v>
      </c>
      <c r="I158" s="22" t="s">
        <v>910</v>
      </c>
      <c r="J158" s="22" t="s">
        <v>946</v>
      </c>
    </row>
    <row r="159" hidden="1">
      <c r="A159" s="71">
        <v>46101.0</v>
      </c>
      <c r="B159" s="22" t="s">
        <v>507</v>
      </c>
      <c r="C159" s="25" t="str">
        <f>IFERROR(__xludf.DUMMYFUNCTION("""COMPUTED_VALUE"""),"MCC046UC0540")</f>
        <v>MCC046UC0540</v>
      </c>
      <c r="D159" s="25" t="str">
        <f>IFERROR(__xludf.DUMMYFUNCTION("""COMPUTED_VALUE"""),"POST-IT 653 C/4 BL 38X50MM VERDE/ROSA 100FLS 3M")</f>
        <v>POST-IT 653 C/4 BL 38X50MM VERDE/ROSA 100FLS 3M</v>
      </c>
      <c r="E159" s="23">
        <v>2.0</v>
      </c>
      <c r="G159" s="22" t="s">
        <v>913</v>
      </c>
      <c r="H159" s="22" t="s">
        <v>900</v>
      </c>
      <c r="I159" s="22" t="s">
        <v>911</v>
      </c>
      <c r="J159" s="22" t="s">
        <v>946</v>
      </c>
    </row>
    <row r="160">
      <c r="A160" s="71">
        <v>46101.0</v>
      </c>
      <c r="B160" s="22" t="s">
        <v>245</v>
      </c>
      <c r="C160" s="25" t="str">
        <f>IFERROR(__xludf.DUMMYFUNCTION("""COMPUTED_VALUE"""),"MCC015UC0008")</f>
        <v>MCC015UC0008</v>
      </c>
      <c r="D160" s="25" t="str">
        <f>IFERROR(__xludf.DUMMYFUNCTION("""COMPUTED_VALUE"""),"FILME STRETCH 500X25")</f>
        <v>FILME STRETCH 500X25</v>
      </c>
      <c r="E160" s="23">
        <v>4.0</v>
      </c>
      <c r="G160" s="22" t="s">
        <v>635</v>
      </c>
      <c r="H160" s="22" t="s">
        <v>297</v>
      </c>
      <c r="I160" s="22" t="s">
        <v>720</v>
      </c>
      <c r="J160" s="22" t="s">
        <v>946</v>
      </c>
    </row>
    <row r="161" hidden="1">
      <c r="A161" s="71">
        <v>46101.0</v>
      </c>
      <c r="B161" s="22" t="s">
        <v>224</v>
      </c>
      <c r="C161" s="25" t="str">
        <f>IFERROR(__xludf.DUMMYFUNCTION("""COMPUTED_VALUE"""),"MCC015UC0045")</f>
        <v>MCC015UC0045</v>
      </c>
      <c r="D161" s="25" t="str">
        <f>IFERROR(__xludf.DUMMYFUNCTION("""COMPUTED_VALUE"""),"FITA ADESIVA 69MM X 100M")</f>
        <v>FITA ADESIVA 69MM X 100M</v>
      </c>
      <c r="E161" s="23">
        <v>30.0</v>
      </c>
      <c r="G161" s="22" t="s">
        <v>913</v>
      </c>
      <c r="H161" s="22" t="s">
        <v>455</v>
      </c>
      <c r="I161" s="22" t="s">
        <v>908</v>
      </c>
      <c r="J161" s="22" t="s">
        <v>946</v>
      </c>
    </row>
    <row r="162" hidden="1">
      <c r="A162" s="71">
        <v>46101.0</v>
      </c>
      <c r="B162" s="22" t="s">
        <v>242</v>
      </c>
      <c r="C162" s="25" t="str">
        <f>IFERROR(__xludf.DUMMYFUNCTION("""COMPUTED_VALUE"""),"MCC046UC0687")</f>
        <v>MCC046UC0687</v>
      </c>
      <c r="D162" s="25" t="str">
        <f>IFERROR(__xludf.DUMMYFUNCTION("""COMPUTED_VALUE"""),"ETIQUETA COUCHE - 100X100X 1")</f>
        <v>ETIQUETA COUCHE - 100X100X 1</v>
      </c>
      <c r="E162" s="23">
        <v>10.0</v>
      </c>
      <c r="G162" s="22" t="s">
        <v>913</v>
      </c>
      <c r="H162" s="22" t="s">
        <v>900</v>
      </c>
      <c r="I162" s="22" t="s">
        <v>901</v>
      </c>
      <c r="J162" s="22" t="s">
        <v>946</v>
      </c>
    </row>
    <row r="163" hidden="1">
      <c r="A163" s="71">
        <v>46101.0</v>
      </c>
      <c r="B163" s="22" t="s">
        <v>215</v>
      </c>
      <c r="C163" s="25" t="str">
        <f>IFERROR(__xludf.DUMMYFUNCTION("""COMPUTED_VALUE"""),"MCC046UC0082")</f>
        <v>MCC046UC0082</v>
      </c>
      <c r="D163" s="25" t="str">
        <f>IFERROR(__xludf.DUMMYFUNCTION("""COMPUTED_VALUE"""),"PAPEL SULFITE A4 75G 500 FOLHAS")</f>
        <v>PAPEL SULFITE A4 75G 500 FOLHAS</v>
      </c>
      <c r="E163" s="23">
        <v>10.0</v>
      </c>
      <c r="G163" s="22" t="s">
        <v>567</v>
      </c>
      <c r="H163" s="22" t="s">
        <v>232</v>
      </c>
      <c r="I163" s="22" t="s">
        <v>906</v>
      </c>
      <c r="J163" s="22" t="s">
        <v>946</v>
      </c>
    </row>
    <row r="164" hidden="1">
      <c r="A164" s="71">
        <v>46104.0</v>
      </c>
      <c r="B164" s="22" t="s">
        <v>498</v>
      </c>
      <c r="C164" s="25" t="str">
        <f>IFERROR(__xludf.DUMMYFUNCTION("""COMPUTED_VALUE"""),"MCC049UC0607")</f>
        <v>MCC049UC0607</v>
      </c>
      <c r="D164" s="25" t="str">
        <f>IFERROR(__xludf.DUMMYFUNCTION("""COMPUTED_VALUE"""),"PAPEL A3 RESMA COM 500 FLS")</f>
        <v>PAPEL A3 RESMA COM 500 FLS</v>
      </c>
      <c r="E164" s="23">
        <v>1.0</v>
      </c>
      <c r="G164" s="22" t="s">
        <v>913</v>
      </c>
      <c r="H164" s="22" t="s">
        <v>900</v>
      </c>
      <c r="I164" s="22" t="s">
        <v>901</v>
      </c>
      <c r="J164" s="22" t="s">
        <v>946</v>
      </c>
    </row>
    <row r="165" hidden="1">
      <c r="A165" s="71">
        <v>46104.0</v>
      </c>
      <c r="B165" s="22" t="s">
        <v>253</v>
      </c>
      <c r="C165" s="25" t="str">
        <f>IFERROR(__xludf.DUMMYFUNCTION("""COMPUTED_VALUE"""),"MCC046UC0599")</f>
        <v>MCC046UC0599</v>
      </c>
      <c r="D165" s="25" t="str">
        <f>IFERROR(__xludf.DUMMYFUNCTION("""COMPUTED_VALUE"""),"ETIQUETA ADESIVA COUCHE AMARELA - 105X150MM SAS")</f>
        <v>ETIQUETA ADESIVA COUCHE AMARELA - 105X150MM SAS</v>
      </c>
      <c r="E165" s="23">
        <v>6.0</v>
      </c>
      <c r="G165" s="22" t="s">
        <v>913</v>
      </c>
      <c r="H165" s="22" t="s">
        <v>235</v>
      </c>
      <c r="I165" s="22" t="s">
        <v>896</v>
      </c>
      <c r="J165" s="22" t="s">
        <v>946</v>
      </c>
    </row>
    <row r="166" hidden="1">
      <c r="A166" s="71">
        <v>46104.0</v>
      </c>
      <c r="B166" s="22" t="s">
        <v>498</v>
      </c>
      <c r="C166" s="25" t="str">
        <f>IFERROR(__xludf.DUMMYFUNCTION("""COMPUTED_VALUE"""),"MCC049UC0607")</f>
        <v>MCC049UC0607</v>
      </c>
      <c r="D166" s="25" t="str">
        <f>IFERROR(__xludf.DUMMYFUNCTION("""COMPUTED_VALUE"""),"PAPEL A3 RESMA COM 500 FLS")</f>
        <v>PAPEL A3 RESMA COM 500 FLS</v>
      </c>
      <c r="E166" s="23">
        <v>9.0</v>
      </c>
      <c r="G166" s="22" t="s">
        <v>913</v>
      </c>
      <c r="H166" s="22" t="s">
        <v>900</v>
      </c>
      <c r="I166" s="22" t="s">
        <v>901</v>
      </c>
      <c r="J166" s="22" t="s">
        <v>946</v>
      </c>
    </row>
    <row r="167" hidden="1">
      <c r="A167" s="71">
        <v>46104.0</v>
      </c>
      <c r="B167" s="22" t="s">
        <v>224</v>
      </c>
      <c r="C167" s="25" t="str">
        <f>IFERROR(__xludf.DUMMYFUNCTION("""COMPUTED_VALUE"""),"MCC015UC0045")</f>
        <v>MCC015UC0045</v>
      </c>
      <c r="D167" s="25" t="str">
        <f>IFERROR(__xludf.DUMMYFUNCTION("""COMPUTED_VALUE"""),"FITA ADESIVA 69MM X 100M")</f>
        <v>FITA ADESIVA 69MM X 100M</v>
      </c>
      <c r="E167" s="23">
        <v>30.0</v>
      </c>
      <c r="G167" s="22" t="s">
        <v>913</v>
      </c>
      <c r="H167" s="22" t="s">
        <v>455</v>
      </c>
      <c r="I167" s="22" t="s">
        <v>735</v>
      </c>
      <c r="J167" s="22" t="s">
        <v>946</v>
      </c>
    </row>
    <row r="168" hidden="1">
      <c r="A168" s="71">
        <v>46104.0</v>
      </c>
      <c r="B168" s="22" t="s">
        <v>218</v>
      </c>
      <c r="C168" s="25" t="str">
        <f>IFERROR(__xludf.DUMMYFUNCTION("""COMPUTED_VALUE"""),"MCC046UC0398")</f>
        <v>MCC046UC0398</v>
      </c>
      <c r="D168" s="25" t="str">
        <f>IFERROR(__xludf.DUMMYFUNCTION("""COMPUTED_VALUE"""),"GRAMPO 26/6 COBREADO CX.C/5000 BACCHI")</f>
        <v>GRAMPO 26/6 COBREADO CX.C/5000 BACCHI</v>
      </c>
      <c r="E168" s="23">
        <v>1.0</v>
      </c>
      <c r="G168" s="22" t="s">
        <v>913</v>
      </c>
      <c r="H168" s="22" t="s">
        <v>455</v>
      </c>
      <c r="I168" s="22" t="s">
        <v>912</v>
      </c>
      <c r="J168" s="22" t="s">
        <v>946</v>
      </c>
    </row>
    <row r="169" hidden="1">
      <c r="A169" s="71">
        <v>46104.0</v>
      </c>
      <c r="B169" s="22" t="s">
        <v>218</v>
      </c>
      <c r="C169" s="25" t="str">
        <f>IFERROR(__xludf.DUMMYFUNCTION("""COMPUTED_VALUE"""),"MCC046UC0398")</f>
        <v>MCC046UC0398</v>
      </c>
      <c r="D169" s="25" t="str">
        <f>IFERROR(__xludf.DUMMYFUNCTION("""COMPUTED_VALUE"""),"GRAMPO 26/6 COBREADO CX.C/5000 BACCHI")</f>
        <v>GRAMPO 26/6 COBREADO CX.C/5000 BACCHI</v>
      </c>
      <c r="E169" s="23">
        <v>1.0</v>
      </c>
      <c r="G169" s="22" t="s">
        <v>913</v>
      </c>
      <c r="H169" s="22" t="s">
        <v>235</v>
      </c>
      <c r="I169" s="22" t="s">
        <v>884</v>
      </c>
      <c r="J169" s="22" t="s">
        <v>946</v>
      </c>
    </row>
    <row r="170">
      <c r="A170" s="71">
        <v>46104.0</v>
      </c>
      <c r="B170" s="22" t="s">
        <v>245</v>
      </c>
      <c r="C170" s="25" t="str">
        <f>IFERROR(__xludf.DUMMYFUNCTION("""COMPUTED_VALUE"""),"MCC015UC0008")</f>
        <v>MCC015UC0008</v>
      </c>
      <c r="D170" s="25" t="str">
        <f>IFERROR(__xludf.DUMMYFUNCTION("""COMPUTED_VALUE"""),"FILME STRETCH 500X25")</f>
        <v>FILME STRETCH 500X25</v>
      </c>
      <c r="E170" s="23">
        <v>10.0</v>
      </c>
      <c r="G170" s="22" t="s">
        <v>913</v>
      </c>
      <c r="H170" s="22" t="s">
        <v>455</v>
      </c>
      <c r="I170" s="22" t="s">
        <v>914</v>
      </c>
      <c r="J170" s="22" t="s">
        <v>946</v>
      </c>
    </row>
    <row r="171" hidden="1">
      <c r="A171" s="71">
        <v>46105.0</v>
      </c>
      <c r="B171" s="22" t="s">
        <v>255</v>
      </c>
      <c r="C171" s="25" t="str">
        <f>IFERROR(__xludf.DUMMYFUNCTION("""COMPUTED_VALUE"""),"MCC046UC0215")</f>
        <v>MCC046UC0215</v>
      </c>
      <c r="D171" s="25" t="str">
        <f>IFERROR(__xludf.DUMMYFUNCTION("""COMPUTED_VALUE"""),"CANETA ESFEROGRAFICA ECONOMIC AZUL BIC")</f>
        <v>CANETA ESFEROGRAFICA ECONOMIC AZUL BIC</v>
      </c>
      <c r="E171" s="23">
        <v>5.0</v>
      </c>
      <c r="G171" s="22" t="s">
        <v>913</v>
      </c>
      <c r="H171" s="22" t="s">
        <v>235</v>
      </c>
      <c r="I171" s="22" t="s">
        <v>609</v>
      </c>
      <c r="J171" s="22" t="s">
        <v>946</v>
      </c>
    </row>
    <row r="172">
      <c r="A172" s="71">
        <v>46105.0</v>
      </c>
      <c r="B172" s="22" t="s">
        <v>245</v>
      </c>
      <c r="C172" s="25" t="str">
        <f>IFERROR(__xludf.DUMMYFUNCTION("""COMPUTED_VALUE"""),"MCC015UC0008")</f>
        <v>MCC015UC0008</v>
      </c>
      <c r="D172" s="25" t="str">
        <f>IFERROR(__xludf.DUMMYFUNCTION("""COMPUTED_VALUE"""),"FILME STRETCH 500X25")</f>
        <v>FILME STRETCH 500X25</v>
      </c>
      <c r="E172" s="23">
        <v>3.0</v>
      </c>
      <c r="G172" s="22" t="s">
        <v>913</v>
      </c>
      <c r="H172" s="22" t="s">
        <v>455</v>
      </c>
      <c r="I172" s="22" t="s">
        <v>915</v>
      </c>
      <c r="J172" s="22" t="s">
        <v>946</v>
      </c>
    </row>
    <row r="173">
      <c r="A173" s="71">
        <v>46107.0</v>
      </c>
      <c r="B173" s="22" t="s">
        <v>245</v>
      </c>
      <c r="C173" s="25" t="str">
        <f>IFERROR(__xludf.DUMMYFUNCTION("""COMPUTED_VALUE"""),"MCC015UC0008")</f>
        <v>MCC015UC0008</v>
      </c>
      <c r="D173" s="25" t="str">
        <f>IFERROR(__xludf.DUMMYFUNCTION("""COMPUTED_VALUE"""),"FILME STRETCH 500X25")</f>
        <v>FILME STRETCH 500X25</v>
      </c>
      <c r="E173" s="23">
        <v>6.0</v>
      </c>
      <c r="G173" s="22" t="s">
        <v>916</v>
      </c>
      <c r="H173" s="22" t="s">
        <v>366</v>
      </c>
      <c r="I173" s="22" t="s">
        <v>917</v>
      </c>
      <c r="J173" s="22" t="s">
        <v>946</v>
      </c>
    </row>
    <row r="174" hidden="1">
      <c r="A174" s="71">
        <v>46107.0</v>
      </c>
      <c r="B174" s="22" t="s">
        <v>224</v>
      </c>
      <c r="C174" s="25" t="str">
        <f>IFERROR(__xludf.DUMMYFUNCTION("""COMPUTED_VALUE"""),"MCC015UC0045")</f>
        <v>MCC015UC0045</v>
      </c>
      <c r="D174" s="25" t="str">
        <f>IFERROR(__xludf.DUMMYFUNCTION("""COMPUTED_VALUE"""),"FITA ADESIVA 69MM X 100M")</f>
        <v>FITA ADESIVA 69MM X 100M</v>
      </c>
      <c r="E174" s="23">
        <v>8.0</v>
      </c>
      <c r="G174" s="22" t="s">
        <v>916</v>
      </c>
      <c r="H174" s="22" t="s">
        <v>366</v>
      </c>
      <c r="I174" s="22" t="s">
        <v>704</v>
      </c>
      <c r="J174" s="22" t="s">
        <v>946</v>
      </c>
    </row>
    <row r="175">
      <c r="A175" s="71">
        <v>46107.0</v>
      </c>
      <c r="B175" s="22" t="s">
        <v>245</v>
      </c>
      <c r="C175" s="25" t="str">
        <f>IFERROR(__xludf.DUMMYFUNCTION("""COMPUTED_VALUE"""),"MCC015UC0008")</f>
        <v>MCC015UC0008</v>
      </c>
      <c r="D175" s="25" t="str">
        <f>IFERROR(__xludf.DUMMYFUNCTION("""COMPUTED_VALUE"""),"FILME STRETCH 500X25")</f>
        <v>FILME STRETCH 500X25</v>
      </c>
      <c r="E175" s="23">
        <v>90.0</v>
      </c>
      <c r="G175" s="22" t="s">
        <v>635</v>
      </c>
      <c r="H175" s="22" t="s">
        <v>343</v>
      </c>
      <c r="I175" s="22" t="s">
        <v>918</v>
      </c>
      <c r="J175" s="22" t="s">
        <v>946</v>
      </c>
    </row>
    <row r="176" hidden="1">
      <c r="A176" s="71">
        <v>46107.0</v>
      </c>
      <c r="B176" s="22" t="s">
        <v>221</v>
      </c>
      <c r="C176" s="25" t="str">
        <f>IFERROR(__xludf.DUMMYFUNCTION("""COMPUTED_VALUE"""),"MCC049UC0600")</f>
        <v>MCC049UC0600</v>
      </c>
      <c r="D176" s="25" t="str">
        <f>IFERROR(__xludf.DUMMYFUNCTION("""COMPUTED_VALUE"""),"FITA ADESIVA P/ CACHORRO PERSONALIZADA")</f>
        <v>FITA ADESIVA P/ CACHORRO PERSONALIZADA</v>
      </c>
      <c r="E176" s="23">
        <v>8.0</v>
      </c>
      <c r="G176" s="22" t="s">
        <v>913</v>
      </c>
      <c r="H176" s="22" t="s">
        <v>214</v>
      </c>
      <c r="I176" s="22" t="s">
        <v>903</v>
      </c>
      <c r="J176" s="22" t="s">
        <v>946</v>
      </c>
    </row>
    <row r="177" hidden="1">
      <c r="A177" s="71">
        <v>46108.0</v>
      </c>
      <c r="B177" s="22" t="s">
        <v>919</v>
      </c>
      <c r="C177" s="25" t="str">
        <f>IFERROR(__xludf.DUMMYFUNCTION("""COMPUTED_VALUE"""),"MCC046UC0598")</f>
        <v>MCC046UC0598</v>
      </c>
      <c r="D177" s="25" t="str">
        <f>IFERROR(__xludf.DUMMYFUNCTION("""COMPUTED_VALUE"""),"ETIQUETA ADESIVA COUCHE AZUL - 105X150MM SAS")</f>
        <v>ETIQUETA ADESIVA COUCHE AZUL - 105X150MM SAS</v>
      </c>
      <c r="E177" s="23">
        <v>2.0</v>
      </c>
      <c r="G177" s="22" t="s">
        <v>567</v>
      </c>
      <c r="H177" s="22" t="s">
        <v>232</v>
      </c>
      <c r="I177" s="22" t="s">
        <v>920</v>
      </c>
      <c r="J177" s="22" t="s">
        <v>946</v>
      </c>
    </row>
    <row r="178" hidden="1">
      <c r="A178" s="71">
        <v>46108.0</v>
      </c>
      <c r="B178" s="22" t="s">
        <v>921</v>
      </c>
      <c r="C178" s="25" t="str">
        <f>IFERROR(__xludf.DUMMYFUNCTION("""COMPUTED_VALUE"""),"MCC015UC0045")</f>
        <v>MCC015UC0045</v>
      </c>
      <c r="D178" s="25" t="str">
        <f>IFERROR(__xludf.DUMMYFUNCTION("""COMPUTED_VALUE"""),"FITA ADESIVA 69MM X 100M")</f>
        <v>FITA ADESIVA 69MM X 100M</v>
      </c>
      <c r="E178" s="23">
        <v>24.0</v>
      </c>
      <c r="G178" s="22" t="s">
        <v>913</v>
      </c>
      <c r="H178" s="22" t="s">
        <v>235</v>
      </c>
      <c r="I178" s="22" t="s">
        <v>884</v>
      </c>
      <c r="J178" s="22" t="s">
        <v>946</v>
      </c>
    </row>
    <row r="179">
      <c r="A179" s="71">
        <v>46108.0</v>
      </c>
      <c r="B179" s="22" t="s">
        <v>922</v>
      </c>
      <c r="C179" s="25" t="str">
        <f>IFERROR(__xludf.DUMMYFUNCTION("""COMPUTED_VALUE"""),"MCC015UC0008")</f>
        <v>MCC015UC0008</v>
      </c>
      <c r="D179" s="25" t="str">
        <f>IFERROR(__xludf.DUMMYFUNCTION("""COMPUTED_VALUE"""),"FILME STRETCH 500X25")</f>
        <v>FILME STRETCH 500X25</v>
      </c>
      <c r="E179" s="23">
        <v>38.0</v>
      </c>
      <c r="G179" s="22" t="s">
        <v>923</v>
      </c>
      <c r="H179" s="22" t="s">
        <v>515</v>
      </c>
      <c r="I179" s="22" t="s">
        <v>924</v>
      </c>
      <c r="J179" s="22" t="s">
        <v>946</v>
      </c>
    </row>
    <row r="180">
      <c r="A180" s="71">
        <v>46111.0</v>
      </c>
      <c r="B180" s="22" t="s">
        <v>922</v>
      </c>
      <c r="C180" s="25" t="str">
        <f>IFERROR(__xludf.DUMMYFUNCTION("""COMPUTED_VALUE"""),"MCC015UC0008")</f>
        <v>MCC015UC0008</v>
      </c>
      <c r="D180" s="25" t="str">
        <f>IFERROR(__xludf.DUMMYFUNCTION("""COMPUTED_VALUE"""),"FILME STRETCH 500X25")</f>
        <v>FILME STRETCH 500X25</v>
      </c>
      <c r="E180" s="22">
        <v>4.0</v>
      </c>
      <c r="G180" s="22" t="s">
        <v>913</v>
      </c>
      <c r="H180" s="22" t="s">
        <v>235</v>
      </c>
      <c r="I180" s="22" t="s">
        <v>947</v>
      </c>
      <c r="J180" s="22" t="s">
        <v>946</v>
      </c>
    </row>
    <row r="181" hidden="1">
      <c r="A181" s="71">
        <v>46118.0</v>
      </c>
      <c r="B181" s="22" t="s">
        <v>921</v>
      </c>
      <c r="C181" s="25" t="str">
        <f>IFERROR(__xludf.DUMMYFUNCTION("""COMPUTED_VALUE"""),"MCC015UC0045")</f>
        <v>MCC015UC0045</v>
      </c>
      <c r="D181" s="25" t="str">
        <f>IFERROR(__xludf.DUMMYFUNCTION("""COMPUTED_VALUE"""),"FITA ADESIVA 69MM X 100M")</f>
        <v>FITA ADESIVA 69MM X 100M</v>
      </c>
      <c r="E181" s="22">
        <v>5.0</v>
      </c>
      <c r="G181" s="22" t="s">
        <v>635</v>
      </c>
      <c r="H181" s="22" t="s">
        <v>270</v>
      </c>
      <c r="I181" s="22" t="s">
        <v>624</v>
      </c>
      <c r="J181" s="22" t="s">
        <v>946</v>
      </c>
    </row>
    <row r="182" hidden="1">
      <c r="A182" s="71">
        <v>46119.0</v>
      </c>
      <c r="B182" s="22" t="s">
        <v>948</v>
      </c>
      <c r="C182" s="25" t="str">
        <f>IFERROR(__xludf.DUMMYFUNCTION("""COMPUTED_VALUE"""),"MCC046UC0687")</f>
        <v>MCC046UC0687</v>
      </c>
      <c r="D182" s="25" t="str">
        <f>IFERROR(__xludf.DUMMYFUNCTION("""COMPUTED_VALUE"""),"ETIQUETA COUCHE - 100X100X 1")</f>
        <v>ETIQUETA COUCHE - 100X100X 1</v>
      </c>
      <c r="E182" s="22">
        <v>10.0</v>
      </c>
      <c r="G182" s="22" t="s">
        <v>913</v>
      </c>
      <c r="H182" s="22" t="s">
        <v>900</v>
      </c>
      <c r="I182" s="22" t="s">
        <v>901</v>
      </c>
      <c r="J182" s="22" t="s">
        <v>946</v>
      </c>
    </row>
    <row r="183" hidden="1">
      <c r="A183" s="71">
        <v>46119.0</v>
      </c>
      <c r="B183" s="22" t="s">
        <v>949</v>
      </c>
      <c r="C183" s="25" t="str">
        <f>IFERROR(__xludf.DUMMYFUNCTION("""COMPUTED_VALUE"""),"MCC046UC0082")</f>
        <v>MCC046UC0082</v>
      </c>
      <c r="D183" s="25" t="str">
        <f>IFERROR(__xludf.DUMMYFUNCTION("""COMPUTED_VALUE"""),"PAPEL SULFITE A4 75G 500 FOLHAS")</f>
        <v>PAPEL SULFITE A4 75G 500 FOLHAS</v>
      </c>
      <c r="E183" s="22">
        <v>10.0</v>
      </c>
      <c r="G183" s="22" t="s">
        <v>913</v>
      </c>
      <c r="H183" s="22" t="s">
        <v>900</v>
      </c>
      <c r="I183" s="22" t="s">
        <v>901</v>
      </c>
      <c r="J183" s="22" t="s">
        <v>946</v>
      </c>
    </row>
    <row r="184" hidden="1">
      <c r="A184" s="71">
        <v>46120.0</v>
      </c>
      <c r="B184" s="22" t="s">
        <v>950</v>
      </c>
      <c r="C184" s="25" t="str">
        <f>IFERROR(__xludf.DUMMYFUNCTION("""COMPUTED_VALUE"""),"MCC046UC0695")</f>
        <v>MCC046UC0695</v>
      </c>
      <c r="D184" s="25" t="str">
        <f>IFERROR(__xludf.DUMMYFUNCTION("""COMPUTED_VALUE"""),"ETIQUETA COUCHE 98X50X1")</f>
        <v>ETIQUETA COUCHE 98X50X1</v>
      </c>
      <c r="E184" s="22">
        <v>30.0</v>
      </c>
      <c r="G184" s="22" t="s">
        <v>635</v>
      </c>
      <c r="H184" s="22" t="s">
        <v>343</v>
      </c>
      <c r="I184" s="22" t="s">
        <v>805</v>
      </c>
      <c r="J184" s="22" t="s">
        <v>946</v>
      </c>
    </row>
    <row r="185" hidden="1">
      <c r="A185" s="71">
        <v>46120.0</v>
      </c>
      <c r="B185" s="22" t="s">
        <v>951</v>
      </c>
      <c r="C185" s="25" t="str">
        <f>IFERROR(__xludf.DUMMYFUNCTION("""COMPUTED_VALUE"""),"MCC046UC0525")</f>
        <v>MCC046UC0525</v>
      </c>
      <c r="D185" s="25" t="str">
        <f>IFERROR(__xludf.DUMMYFUNCTION("""COMPUTED_VALUE"""),"CANETA PINCEL ATOMICO AZUL PILOT 1100")</f>
        <v>CANETA PINCEL ATOMICO AZUL PILOT 1100</v>
      </c>
      <c r="E185" s="22">
        <v>1.0</v>
      </c>
      <c r="G185" s="22" t="s">
        <v>567</v>
      </c>
      <c r="H185" s="22" t="s">
        <v>232</v>
      </c>
      <c r="I185" s="22" t="s">
        <v>952</v>
      </c>
      <c r="J185" s="22" t="s">
        <v>946</v>
      </c>
    </row>
    <row r="186" hidden="1">
      <c r="A186" s="71">
        <v>46120.0</v>
      </c>
      <c r="B186" s="22" t="s">
        <v>953</v>
      </c>
      <c r="C186" s="25" t="str">
        <f>IFERROR(__xludf.DUMMYFUNCTION("""COMPUTED_VALUE"""),"MCC046UC0526")</f>
        <v>MCC046UC0526</v>
      </c>
      <c r="D186" s="25" t="str">
        <f>IFERROR(__xludf.DUMMYFUNCTION("""COMPUTED_VALUE"""),"CANETA PINCEL ATOMICO PRETA PILOT 1100")</f>
        <v>CANETA PINCEL ATOMICO PRETA PILOT 1100</v>
      </c>
      <c r="E186" s="22">
        <v>1.0</v>
      </c>
      <c r="G186" s="22" t="s">
        <v>567</v>
      </c>
      <c r="H186" s="22" t="s">
        <v>232</v>
      </c>
      <c r="I186" s="22" t="s">
        <v>952</v>
      </c>
      <c r="J186" s="22" t="s">
        <v>946</v>
      </c>
    </row>
    <row r="187" hidden="1">
      <c r="A187" s="71">
        <v>46120.0</v>
      </c>
      <c r="B187" s="22" t="s">
        <v>954</v>
      </c>
      <c r="C187" s="25" t="str">
        <f>IFERROR(__xludf.DUMMYFUNCTION("""COMPUTED_VALUE"""),"MCC049UC0603")</f>
        <v>MCC049UC0603</v>
      </c>
      <c r="D187" s="25" t="str">
        <f>IFERROR(__xludf.DUMMYFUNCTION("""COMPUTED_VALUE"""),"PLASTICO PLASTIF. A-4 220/307 C/100 UN PROLAM")</f>
        <v>PLASTICO PLASTIF. A-4 220/307 C/100 UN PROLAM</v>
      </c>
      <c r="E187" s="22">
        <v>1.0</v>
      </c>
      <c r="G187" s="22" t="s">
        <v>567</v>
      </c>
      <c r="H187" s="22" t="s">
        <v>232</v>
      </c>
      <c r="I187" s="22" t="s">
        <v>955</v>
      </c>
      <c r="J187" s="22" t="s">
        <v>946</v>
      </c>
    </row>
    <row r="188" hidden="1">
      <c r="A188" s="71">
        <v>46120.0</v>
      </c>
      <c r="B188" s="22" t="s">
        <v>956</v>
      </c>
      <c r="C188" s="25" t="str">
        <f>IFERROR(__xludf.DUMMYFUNCTION("""COMPUTED_VALUE"""),"MCC046UC0638")</f>
        <v>MCC046UC0638</v>
      </c>
      <c r="D188" s="25" t="str">
        <f>IFERROR(__xludf.DUMMYFUNCTION("""COMPUTED_VALUE"""),"PILHA ALCALINA ELGIN PALITO AAA")</f>
        <v>PILHA ALCALINA ELGIN PALITO AAA</v>
      </c>
      <c r="E188" s="22">
        <v>4.0</v>
      </c>
      <c r="G188" s="22" t="s">
        <v>635</v>
      </c>
      <c r="H188" s="22" t="s">
        <v>337</v>
      </c>
      <c r="I188" s="22" t="s">
        <v>957</v>
      </c>
      <c r="J188" s="22" t="s">
        <v>946</v>
      </c>
    </row>
    <row r="189" hidden="1">
      <c r="A189" s="71">
        <v>46120.0</v>
      </c>
      <c r="B189" s="22" t="s">
        <v>958</v>
      </c>
      <c r="C189" s="25" t="str">
        <f>IFERROR(__xludf.DUMMYFUNCTION("""COMPUTED_VALUE"""),"MCC046UC0398")</f>
        <v>MCC046UC0398</v>
      </c>
      <c r="D189" s="25" t="str">
        <f>IFERROR(__xludf.DUMMYFUNCTION("""COMPUTED_VALUE"""),"GRAMPO 26/6 COBREADO CX.C/5000 BACCHI")</f>
        <v>GRAMPO 26/6 COBREADO CX.C/5000 BACCHI</v>
      </c>
      <c r="E189" s="22">
        <v>1.0</v>
      </c>
      <c r="G189" s="22" t="s">
        <v>913</v>
      </c>
      <c r="H189" s="22" t="s">
        <v>214</v>
      </c>
      <c r="I189" s="22" t="s">
        <v>451</v>
      </c>
      <c r="J189" s="22" t="s">
        <v>946</v>
      </c>
    </row>
    <row r="190" hidden="1">
      <c r="A190" s="71">
        <v>46121.0</v>
      </c>
      <c r="B190" s="22" t="s">
        <v>959</v>
      </c>
      <c r="C190" s="25" t="str">
        <f>IFERROR(__xludf.DUMMYFUNCTION("""COMPUTED_VALUE"""),"MCC046UC0639")</f>
        <v>MCC046UC0639</v>
      </c>
      <c r="D190" s="25" t="str">
        <f>IFERROR(__xludf.DUMMYFUNCTION("""COMPUTED_VALUE"""),"PILHA ALCALINA ELGIN PEQ.AA")</f>
        <v>PILHA ALCALINA ELGIN PEQ.AA</v>
      </c>
      <c r="E190" s="22">
        <v>2.0</v>
      </c>
      <c r="G190" s="22" t="s">
        <v>923</v>
      </c>
      <c r="H190" s="22" t="s">
        <v>210</v>
      </c>
      <c r="I190" s="22" t="s">
        <v>312</v>
      </c>
      <c r="J190" s="22" t="s">
        <v>946</v>
      </c>
    </row>
    <row r="191">
      <c r="A191" s="71">
        <v>46121.0</v>
      </c>
      <c r="B191" s="22" t="s">
        <v>922</v>
      </c>
      <c r="C191" s="25" t="str">
        <f>IFERROR(__xludf.DUMMYFUNCTION("""COMPUTED_VALUE"""),"MCC015UC0008")</f>
        <v>MCC015UC0008</v>
      </c>
      <c r="D191" s="25" t="str">
        <f>IFERROR(__xludf.DUMMYFUNCTION("""COMPUTED_VALUE"""),"FILME STRETCH 500X25")</f>
        <v>FILME STRETCH 500X25</v>
      </c>
      <c r="E191" s="22">
        <v>2.0</v>
      </c>
      <c r="G191" s="22" t="s">
        <v>916</v>
      </c>
      <c r="H191" s="22" t="s">
        <v>366</v>
      </c>
      <c r="I191" s="22" t="s">
        <v>704</v>
      </c>
      <c r="J191" s="22" t="s">
        <v>946</v>
      </c>
    </row>
    <row r="192" hidden="1">
      <c r="A192" s="71">
        <v>46121.0</v>
      </c>
      <c r="B192" s="22" t="s">
        <v>921</v>
      </c>
      <c r="C192" s="25" t="str">
        <f>IFERROR(__xludf.DUMMYFUNCTION("""COMPUTED_VALUE"""),"MCC015UC0045")</f>
        <v>MCC015UC0045</v>
      </c>
      <c r="D192" s="25" t="str">
        <f>IFERROR(__xludf.DUMMYFUNCTION("""COMPUTED_VALUE"""),"FITA ADESIVA 69MM X 100M")</f>
        <v>FITA ADESIVA 69MM X 100M</v>
      </c>
      <c r="E192" s="22">
        <v>4.0</v>
      </c>
      <c r="G192" s="22" t="s">
        <v>916</v>
      </c>
      <c r="H192" s="22" t="s">
        <v>366</v>
      </c>
      <c r="I192" s="22" t="s">
        <v>960</v>
      </c>
      <c r="J192" s="22" t="s">
        <v>946</v>
      </c>
    </row>
    <row r="193" hidden="1">
      <c r="A193" s="71">
        <v>46121.0</v>
      </c>
      <c r="B193" s="22" t="s">
        <v>959</v>
      </c>
      <c r="C193" s="25" t="str">
        <f>IFERROR(__xludf.DUMMYFUNCTION("""COMPUTED_VALUE"""),"MCC046UC0639")</f>
        <v>MCC046UC0639</v>
      </c>
      <c r="D193" s="25" t="str">
        <f>IFERROR(__xludf.DUMMYFUNCTION("""COMPUTED_VALUE"""),"PILHA ALCALINA ELGIN PEQ.AA")</f>
        <v>PILHA ALCALINA ELGIN PEQ.AA</v>
      </c>
      <c r="E193" s="22">
        <v>1.0</v>
      </c>
      <c r="G193" s="22" t="s">
        <v>635</v>
      </c>
      <c r="H193" s="22" t="s">
        <v>270</v>
      </c>
      <c r="I193" s="22" t="s">
        <v>961</v>
      </c>
      <c r="J193" s="22" t="s">
        <v>946</v>
      </c>
    </row>
    <row r="194" hidden="1">
      <c r="A194" s="71">
        <v>46121.0</v>
      </c>
      <c r="B194" s="22" t="s">
        <v>921</v>
      </c>
      <c r="C194" s="25" t="str">
        <f>IFERROR(__xludf.DUMMYFUNCTION("""COMPUTED_VALUE"""),"MCC015UC0045")</f>
        <v>MCC015UC0045</v>
      </c>
      <c r="D194" s="25" t="str">
        <f>IFERROR(__xludf.DUMMYFUNCTION("""COMPUTED_VALUE"""),"FITA ADESIVA 69MM X 100M")</f>
        <v>FITA ADESIVA 69MM X 100M</v>
      </c>
      <c r="E194" s="22">
        <v>24.0</v>
      </c>
      <c r="G194" s="22" t="s">
        <v>913</v>
      </c>
      <c r="H194" s="22" t="s">
        <v>235</v>
      </c>
      <c r="I194" s="22" t="s">
        <v>893</v>
      </c>
      <c r="J194" s="22" t="s">
        <v>946</v>
      </c>
    </row>
    <row r="195" hidden="1">
      <c r="A195" s="71">
        <v>46121.0</v>
      </c>
      <c r="B195" s="22" t="s">
        <v>962</v>
      </c>
      <c r="C195" s="25" t="str">
        <f>IFERROR(__xludf.DUMMYFUNCTION("""COMPUTED_VALUE"""),"MCC046UC0210")</f>
        <v>MCC046UC0210</v>
      </c>
      <c r="D195" s="25" t="str">
        <f>IFERROR(__xludf.DUMMYFUNCTION("""COMPUTED_VALUE"""),"CALCULADORA MESA 12 DIGITOS ZT 712 ZETA")</f>
        <v>CALCULADORA MESA 12 DIGITOS ZT 712 ZETA</v>
      </c>
      <c r="E195" s="22">
        <v>1.0</v>
      </c>
      <c r="G195" s="22" t="s">
        <v>635</v>
      </c>
      <c r="H195" s="22" t="s">
        <v>337</v>
      </c>
      <c r="I195" s="22" t="s">
        <v>963</v>
      </c>
      <c r="J195" s="22" t="s">
        <v>946</v>
      </c>
    </row>
    <row r="196" hidden="1">
      <c r="A196" s="71">
        <v>46121.0</v>
      </c>
      <c r="B196" s="22" t="s">
        <v>964</v>
      </c>
      <c r="C196" s="25" t="str">
        <f>IFERROR(__xludf.DUMMYFUNCTION("""COMPUTED_VALUE"""),"MCC046UC0596")</f>
        <v>MCC046UC0596</v>
      </c>
      <c r="D196" s="25" t="str">
        <f>IFERROR(__xludf.DUMMYFUNCTION("""COMPUTED_VALUE"""),"ETIQUETA ADESIVA COUCHE BRANCA - 105X150MM SAS")</f>
        <v>ETIQUETA ADESIVA COUCHE BRANCA - 105X150MM SAS</v>
      </c>
      <c r="E196" s="22">
        <v>15.0</v>
      </c>
      <c r="G196" s="22" t="s">
        <v>913</v>
      </c>
      <c r="H196" s="22" t="s">
        <v>235</v>
      </c>
      <c r="I196" s="22" t="s">
        <v>965</v>
      </c>
      <c r="J196" s="22" t="s">
        <v>946</v>
      </c>
    </row>
    <row r="197" hidden="1">
      <c r="A197" s="71">
        <v>46122.0</v>
      </c>
      <c r="B197" s="22" t="s">
        <v>964</v>
      </c>
      <c r="C197" s="25" t="str">
        <f>IFERROR(__xludf.DUMMYFUNCTION("""COMPUTED_VALUE"""),"MCC046UC0596")</f>
        <v>MCC046UC0596</v>
      </c>
      <c r="D197" s="25" t="str">
        <f>IFERROR(__xludf.DUMMYFUNCTION("""COMPUTED_VALUE"""),"ETIQUETA ADESIVA COUCHE BRANCA - 105X150MM SAS")</f>
        <v>ETIQUETA ADESIVA COUCHE BRANCA - 105X150MM SAS</v>
      </c>
      <c r="E197" s="22">
        <v>6.0</v>
      </c>
      <c r="G197" s="22" t="s">
        <v>923</v>
      </c>
      <c r="H197" s="22" t="s">
        <v>232</v>
      </c>
      <c r="I197" s="22" t="s">
        <v>966</v>
      </c>
      <c r="J197" s="22" t="s">
        <v>946</v>
      </c>
    </row>
    <row r="198" hidden="1">
      <c r="A198" s="71">
        <v>46122.0</v>
      </c>
      <c r="B198" s="22" t="s">
        <v>949</v>
      </c>
      <c r="C198" s="25" t="str">
        <f>IFERROR(__xludf.DUMMYFUNCTION("""COMPUTED_VALUE"""),"MCC046UC0082")</f>
        <v>MCC046UC0082</v>
      </c>
      <c r="D198" s="25" t="str">
        <f>IFERROR(__xludf.DUMMYFUNCTION("""COMPUTED_VALUE"""),"PAPEL SULFITE A4 75G 500 FOLHAS")</f>
        <v>PAPEL SULFITE A4 75G 500 FOLHAS</v>
      </c>
      <c r="E198" s="22">
        <v>4.0</v>
      </c>
      <c r="G198" s="22" t="s">
        <v>913</v>
      </c>
      <c r="H198" s="22" t="s">
        <v>967</v>
      </c>
      <c r="I198" s="22" t="s">
        <v>968</v>
      </c>
      <c r="J198" s="22" t="s">
        <v>946</v>
      </c>
    </row>
    <row r="199" hidden="1">
      <c r="A199" s="71">
        <v>46126.0</v>
      </c>
      <c r="B199" s="22" t="s">
        <v>949</v>
      </c>
      <c r="C199" s="25" t="str">
        <f>IFERROR(__xludf.DUMMYFUNCTION("""COMPUTED_VALUE"""),"MCC046UC0082")</f>
        <v>MCC046UC0082</v>
      </c>
      <c r="D199" s="25" t="str">
        <f>IFERROR(__xludf.DUMMYFUNCTION("""COMPUTED_VALUE"""),"PAPEL SULFITE A4 75G 500 FOLHAS")</f>
        <v>PAPEL SULFITE A4 75G 500 FOLHAS</v>
      </c>
      <c r="E199" s="22">
        <v>1.0</v>
      </c>
      <c r="G199" s="22" t="s">
        <v>635</v>
      </c>
      <c r="H199" s="22" t="s">
        <v>900</v>
      </c>
      <c r="I199" s="22" t="s">
        <v>969</v>
      </c>
      <c r="J199" s="22" t="s">
        <v>946</v>
      </c>
    </row>
    <row r="200" hidden="1">
      <c r="A200" s="71">
        <v>46127.0</v>
      </c>
      <c r="B200" s="22" t="s">
        <v>970</v>
      </c>
      <c r="C200" s="25" t="str">
        <f>IFERROR(__xludf.DUMMYFUNCTION("""COMPUTED_VALUE"""),"MCC046UC0668")</f>
        <v>MCC046UC0668</v>
      </c>
      <c r="D200" s="25" t="str">
        <f>IFERROR(__xludf.DUMMYFUNCTION("""COMPUTED_VALUE"""),"ETIQUETA ADESIVA COUCHE CINZA 100X150X1")</f>
        <v>ETIQUETA ADESIVA COUCHE CINZA 100X150X1</v>
      </c>
      <c r="E200" s="22">
        <v>133.0</v>
      </c>
      <c r="G200" s="22" t="s">
        <v>923</v>
      </c>
      <c r="H200" s="22" t="s">
        <v>337</v>
      </c>
      <c r="I200" s="22" t="s">
        <v>477</v>
      </c>
      <c r="J200" s="22" t="s">
        <v>946</v>
      </c>
    </row>
    <row r="201" hidden="1">
      <c r="A201" s="71">
        <v>46127.0</v>
      </c>
      <c r="B201" s="22" t="s">
        <v>971</v>
      </c>
      <c r="C201" s="25" t="str">
        <f>IFERROR(__xludf.DUMMYFUNCTION("""COMPUTED_VALUE"""),"EMC015MO0001")</f>
        <v>EMC015MO0001</v>
      </c>
      <c r="D201" s="25" t="str">
        <f>IFERROR(__xludf.DUMMYFUNCTION("""COMPUTED_VALUE"""),"RIBBON CERA PRETO 110MMX300M")</f>
        <v>RIBBON CERA PRETO 110MMX300M</v>
      </c>
      <c r="E201" s="22">
        <v>338.0</v>
      </c>
      <c r="G201" s="22" t="s">
        <v>923</v>
      </c>
      <c r="H201" s="22" t="s">
        <v>337</v>
      </c>
      <c r="I201" s="22" t="s">
        <v>477</v>
      </c>
      <c r="J201" s="22" t="s">
        <v>946</v>
      </c>
    </row>
    <row r="202" hidden="1">
      <c r="A202" s="71">
        <v>46127.0</v>
      </c>
      <c r="B202" s="22" t="s">
        <v>949</v>
      </c>
      <c r="C202" s="25" t="str">
        <f>IFERROR(__xludf.DUMMYFUNCTION("""COMPUTED_VALUE"""),"MCC046UC0082")</f>
        <v>MCC046UC0082</v>
      </c>
      <c r="D202" s="25" t="str">
        <f>IFERROR(__xludf.DUMMYFUNCTION("""COMPUTED_VALUE"""),"PAPEL SULFITE A4 75G 500 FOLHAS")</f>
        <v>PAPEL SULFITE A4 75G 500 FOLHAS</v>
      </c>
      <c r="E202" s="22">
        <v>341.0</v>
      </c>
      <c r="G202" s="22" t="s">
        <v>913</v>
      </c>
      <c r="H202" s="22" t="s">
        <v>337</v>
      </c>
      <c r="I202" s="22" t="s">
        <v>477</v>
      </c>
      <c r="J202" s="22" t="s">
        <v>946</v>
      </c>
    </row>
    <row r="203" hidden="1">
      <c r="A203" s="71">
        <v>46127.0</v>
      </c>
      <c r="B203" s="22" t="s">
        <v>972</v>
      </c>
      <c r="C203" s="25" t="str">
        <f>IFERROR(__xludf.DUMMYFUNCTION("""COMPUTED_VALUE"""),"MCC046UC0599")</f>
        <v>MCC046UC0599</v>
      </c>
      <c r="D203" s="25" t="str">
        <f>IFERROR(__xludf.DUMMYFUNCTION("""COMPUTED_VALUE"""),"ETIQUETA ADESIVA COUCHE AMARELA - 105X150MM SAS")</f>
        <v>ETIQUETA ADESIVA COUCHE AMARELA - 105X150MM SAS</v>
      </c>
      <c r="E203" s="22">
        <v>59.0</v>
      </c>
      <c r="G203" s="22" t="s">
        <v>923</v>
      </c>
      <c r="H203" s="22" t="s">
        <v>337</v>
      </c>
      <c r="I203" s="22" t="s">
        <v>477</v>
      </c>
      <c r="J203" s="22" t="s">
        <v>946</v>
      </c>
    </row>
    <row r="204" hidden="1">
      <c r="A204" s="71">
        <v>46127.0</v>
      </c>
      <c r="B204" s="22" t="s">
        <v>973</v>
      </c>
      <c r="C204" s="25" t="str">
        <f>IFERROR(__xludf.DUMMYFUNCTION("""COMPUTED_VALUE"""),"MCC015UC0038")</f>
        <v>MCC015UC0038</v>
      </c>
      <c r="D204" s="25" t="str">
        <f>IFERROR(__xludf.DUMMYFUNCTION("""COMPUTED_VALUE"""),"BOBINA SHRINK 500MM")</f>
        <v>BOBINA SHRINK 500MM</v>
      </c>
      <c r="E204" s="22">
        <v>47.0</v>
      </c>
      <c r="G204" s="22" t="s">
        <v>567</v>
      </c>
      <c r="H204" s="22" t="s">
        <v>337</v>
      </c>
      <c r="I204" s="22" t="s">
        <v>477</v>
      </c>
      <c r="J204" s="22" t="s">
        <v>946</v>
      </c>
    </row>
    <row r="205" hidden="1">
      <c r="A205" s="71">
        <v>46127.0</v>
      </c>
      <c r="B205" s="22" t="s">
        <v>974</v>
      </c>
      <c r="C205" s="25" t="str">
        <f>IFERROR(__xludf.DUMMYFUNCTION("""COMPUTED_VALUE"""),"MCC046UC0659")</f>
        <v>MCC046UC0659</v>
      </c>
      <c r="D205" s="25" t="str">
        <f>IFERROR(__xludf.DUMMYFUNCTION("""COMPUTED_VALUE"""),"ETIQUETA 70MM PROFESSOR")</f>
        <v>ETIQUETA 70MM PROFESSOR</v>
      </c>
      <c r="E205" s="22">
        <v>33.0</v>
      </c>
      <c r="G205" s="22" t="s">
        <v>913</v>
      </c>
      <c r="H205" s="22" t="s">
        <v>337</v>
      </c>
      <c r="I205" s="22" t="s">
        <v>477</v>
      </c>
      <c r="J205" s="22" t="s">
        <v>946</v>
      </c>
    </row>
    <row r="206" hidden="1">
      <c r="A206" s="71">
        <v>46127.0</v>
      </c>
      <c r="B206" s="22" t="s">
        <v>975</v>
      </c>
      <c r="C206" s="25" t="str">
        <f>IFERROR(__xludf.DUMMYFUNCTION("""COMPUTED_VALUE"""),"MCC046UC0660")</f>
        <v>MCC046UC0660</v>
      </c>
      <c r="D206" s="25" t="str">
        <f>IFERROR(__xludf.DUMMYFUNCTION("""COMPUTED_VALUE"""),"ETIQUETA 70MM COORDENACAO")</f>
        <v>ETIQUETA 70MM COORDENACAO</v>
      </c>
      <c r="E206" s="22">
        <v>15.0</v>
      </c>
      <c r="G206" s="22" t="s">
        <v>913</v>
      </c>
      <c r="H206" s="22" t="s">
        <v>337</v>
      </c>
      <c r="I206" s="22" t="s">
        <v>477</v>
      </c>
      <c r="J206" s="22" t="s">
        <v>946</v>
      </c>
    </row>
    <row r="207" hidden="1">
      <c r="A207" s="71">
        <v>46127.0</v>
      </c>
      <c r="B207" s="22" t="s">
        <v>959</v>
      </c>
      <c r="C207" s="25" t="str">
        <f>IFERROR(__xludf.DUMMYFUNCTION("""COMPUTED_VALUE"""),"MCC046UC0639")</f>
        <v>MCC046UC0639</v>
      </c>
      <c r="D207" s="25" t="str">
        <f>IFERROR(__xludf.DUMMYFUNCTION("""COMPUTED_VALUE"""),"PILHA ALCALINA ELGIN PEQ.AA")</f>
        <v>PILHA ALCALINA ELGIN PEQ.AA</v>
      </c>
      <c r="E207" s="22">
        <v>2.0</v>
      </c>
      <c r="G207" s="22" t="s">
        <v>923</v>
      </c>
      <c r="H207" s="22" t="s">
        <v>322</v>
      </c>
      <c r="I207" s="22" t="s">
        <v>976</v>
      </c>
      <c r="J207" s="22" t="s">
        <v>946</v>
      </c>
    </row>
    <row r="208" hidden="1">
      <c r="A208" s="71">
        <v>46127.0</v>
      </c>
      <c r="B208" s="22" t="s">
        <v>948</v>
      </c>
      <c r="C208" s="25" t="str">
        <f>IFERROR(__xludf.DUMMYFUNCTION("""COMPUTED_VALUE"""),"MCC046UC0687")</f>
        <v>MCC046UC0687</v>
      </c>
      <c r="D208" s="25" t="str">
        <f>IFERROR(__xludf.DUMMYFUNCTION("""COMPUTED_VALUE"""),"ETIQUETA COUCHE - 100X100X 1")</f>
        <v>ETIQUETA COUCHE - 100X100X 1</v>
      </c>
      <c r="E208" s="22">
        <v>213.0</v>
      </c>
      <c r="G208" s="22" t="s">
        <v>923</v>
      </c>
      <c r="H208" s="22" t="s">
        <v>337</v>
      </c>
      <c r="I208" s="22" t="s">
        <v>477</v>
      </c>
      <c r="J208" s="22" t="s">
        <v>946</v>
      </c>
    </row>
    <row r="209" hidden="1">
      <c r="A209" s="71">
        <v>46127.0</v>
      </c>
      <c r="B209" s="22" t="s">
        <v>977</v>
      </c>
      <c r="C209" s="25" t="str">
        <f>IFERROR(__xludf.DUMMYFUNCTION("""COMPUTED_VALUE"""),"MCC046UC0696")</f>
        <v>MCC046UC0696</v>
      </c>
      <c r="D209" s="25" t="str">
        <f>IFERROR(__xludf.DUMMYFUNCTION("""COMPUTED_VALUE"""),"PAPEL ESCOLAR SENNINHA C/100 FLS CORES DIVERSOS")</f>
        <v>PAPEL ESCOLAR SENNINHA C/100 FLS CORES DIVERSOS</v>
      </c>
      <c r="E209" s="22">
        <v>27.0</v>
      </c>
      <c r="G209" s="22" t="s">
        <v>923</v>
      </c>
      <c r="H209" s="22" t="s">
        <v>337</v>
      </c>
      <c r="I209" s="22" t="s">
        <v>477</v>
      </c>
      <c r="J209" s="22" t="s">
        <v>946</v>
      </c>
    </row>
    <row r="210" hidden="1">
      <c r="A210" s="71">
        <v>46127.0</v>
      </c>
      <c r="B210" s="22" t="s">
        <v>978</v>
      </c>
      <c r="C210" s="25" t="str">
        <f>IFERROR(__xludf.DUMMYFUNCTION("""COMPUTED_VALUE"""),"MCC049UC0516")</f>
        <v>MCC049UC0516</v>
      </c>
      <c r="D210" s="25" t="str">
        <f>IFERROR(__xludf.DUMMYFUNCTION("""COMPUTED_VALUE"""),"ETIQUETA ADESIVA COUCHE VERDE CLARO - 105X150MM")</f>
        <v>ETIQUETA ADESIVA COUCHE VERDE CLARO - 105X150MM</v>
      </c>
      <c r="E210" s="22">
        <v>17.0</v>
      </c>
      <c r="G210" s="22" t="s">
        <v>923</v>
      </c>
      <c r="H210" s="22" t="s">
        <v>337</v>
      </c>
      <c r="I210" s="22" t="s">
        <v>477</v>
      </c>
      <c r="J210" s="22" t="s">
        <v>946</v>
      </c>
    </row>
    <row r="211" hidden="1">
      <c r="A211" s="71">
        <v>46127.0</v>
      </c>
      <c r="B211" s="22" t="s">
        <v>979</v>
      </c>
      <c r="C211" s="25" t="str">
        <f>IFERROR(__xludf.DUMMYFUNCTION("""COMPUTED_VALUE"""),"MCC049UC0600")</f>
        <v>MCC049UC0600</v>
      </c>
      <c r="D211" s="25" t="str">
        <f>IFERROR(__xludf.DUMMYFUNCTION("""COMPUTED_VALUE"""),"FITA ADESIVA P/ CACHORRO PERSONALIZADA")</f>
        <v>FITA ADESIVA P/ CACHORRO PERSONALIZADA</v>
      </c>
      <c r="E211" s="22">
        <v>210.0</v>
      </c>
      <c r="G211" s="22" t="s">
        <v>923</v>
      </c>
      <c r="H211" s="22" t="s">
        <v>337</v>
      </c>
      <c r="I211" s="22" t="s">
        <v>477</v>
      </c>
      <c r="J211" s="22" t="s">
        <v>946</v>
      </c>
    </row>
    <row r="212" hidden="1">
      <c r="A212" s="71">
        <v>46127.0</v>
      </c>
      <c r="B212" s="22" t="s">
        <v>950</v>
      </c>
      <c r="C212" s="25" t="str">
        <f>IFERROR(__xludf.DUMMYFUNCTION("""COMPUTED_VALUE"""),"MCC046UC0695")</f>
        <v>MCC046UC0695</v>
      </c>
      <c r="D212" s="25" t="str">
        <f>IFERROR(__xludf.DUMMYFUNCTION("""COMPUTED_VALUE"""),"ETIQUETA COUCHE 98X50X1")</f>
        <v>ETIQUETA COUCHE 98X50X1</v>
      </c>
      <c r="E212" s="22">
        <v>336.0</v>
      </c>
      <c r="G212" s="22" t="s">
        <v>923</v>
      </c>
      <c r="H212" s="22" t="s">
        <v>337</v>
      </c>
      <c r="I212" s="22" t="s">
        <v>477</v>
      </c>
      <c r="J212" s="22" t="s">
        <v>946</v>
      </c>
    </row>
    <row r="213" hidden="1">
      <c r="A213" s="71">
        <v>46128.0</v>
      </c>
      <c r="B213" s="22" t="s">
        <v>980</v>
      </c>
      <c r="C213" s="25" t="str">
        <f>IFERROR(__xludf.DUMMYFUNCTION("""COMPUTED_VALUE"""),"30000107")</f>
        <v>30000107</v>
      </c>
      <c r="D213" s="25" t="str">
        <f>IFERROR(__xludf.DUMMYFUNCTION("""COMPUTED_VALUE"""),"- CAIXA 7")</f>
        <v>- CAIXA 7</v>
      </c>
      <c r="E213" s="22">
        <v>1200.0</v>
      </c>
      <c r="G213" s="22" t="s">
        <v>913</v>
      </c>
      <c r="H213" s="22" t="s">
        <v>615</v>
      </c>
      <c r="I213" s="22" t="s">
        <v>981</v>
      </c>
      <c r="J213" s="22" t="s">
        <v>946</v>
      </c>
    </row>
    <row r="214" hidden="1">
      <c r="A214" s="71">
        <v>46129.0</v>
      </c>
      <c r="B214" s="22" t="s">
        <v>982</v>
      </c>
      <c r="C214" s="25" t="str">
        <f>IFERROR(__xludf.DUMMYFUNCTION("""COMPUTED_VALUE"""),"MCC046UC0215")</f>
        <v>MCC046UC0215</v>
      </c>
      <c r="D214" s="25" t="str">
        <f>IFERROR(__xludf.DUMMYFUNCTION("""COMPUTED_VALUE"""),"CANETA ESFEROGRAFICA ECONOMIC AZUL BIC")</f>
        <v>CANETA ESFEROGRAFICA ECONOMIC AZUL BIC</v>
      </c>
      <c r="E214" s="22">
        <v>5.0</v>
      </c>
      <c r="G214" s="22" t="s">
        <v>913</v>
      </c>
      <c r="H214" s="22" t="s">
        <v>235</v>
      </c>
      <c r="I214" s="22" t="s">
        <v>251</v>
      </c>
      <c r="J214" s="22" t="s">
        <v>946</v>
      </c>
    </row>
    <row r="215" hidden="1">
      <c r="A215" s="71">
        <v>46129.0</v>
      </c>
      <c r="B215" s="22" t="s">
        <v>921</v>
      </c>
      <c r="C215" s="25" t="str">
        <f>IFERROR(__xludf.DUMMYFUNCTION("""COMPUTED_VALUE"""),"MCC015UC0045")</f>
        <v>MCC015UC0045</v>
      </c>
      <c r="D215" s="25" t="str">
        <f>IFERROR(__xludf.DUMMYFUNCTION("""COMPUTED_VALUE"""),"FITA ADESIVA 69MM X 100M")</f>
        <v>FITA ADESIVA 69MM X 100M</v>
      </c>
      <c r="E215" s="22">
        <v>24.0</v>
      </c>
      <c r="G215" s="22" t="s">
        <v>635</v>
      </c>
      <c r="H215" s="22" t="s">
        <v>343</v>
      </c>
      <c r="I215" s="22" t="s">
        <v>826</v>
      </c>
      <c r="J215" s="22" t="s">
        <v>946</v>
      </c>
    </row>
    <row r="216" hidden="1">
      <c r="A216" s="71">
        <v>46129.0</v>
      </c>
      <c r="B216" s="22" t="s">
        <v>921</v>
      </c>
      <c r="C216" s="25" t="str">
        <f>IFERROR(__xludf.DUMMYFUNCTION("""COMPUTED_VALUE"""),"MCC015UC0045")</f>
        <v>MCC015UC0045</v>
      </c>
      <c r="D216" s="25" t="str">
        <f>IFERROR(__xludf.DUMMYFUNCTION("""COMPUTED_VALUE"""),"FITA ADESIVA 69MM X 100M")</f>
        <v>FITA ADESIVA 69MM X 100M</v>
      </c>
      <c r="E216" s="22">
        <v>3.0</v>
      </c>
      <c r="G216" s="22" t="s">
        <v>913</v>
      </c>
      <c r="H216" s="22" t="s">
        <v>615</v>
      </c>
      <c r="I216" s="22" t="s">
        <v>983</v>
      </c>
      <c r="J216" s="22" t="s">
        <v>946</v>
      </c>
    </row>
    <row r="217" hidden="1">
      <c r="A217" s="71">
        <v>46129.0</v>
      </c>
      <c r="B217" s="22" t="s">
        <v>921</v>
      </c>
      <c r="C217" s="25" t="str">
        <f>IFERROR(__xludf.DUMMYFUNCTION("""COMPUTED_VALUE"""),"MCC015UC0045")</f>
        <v>MCC015UC0045</v>
      </c>
      <c r="D217" s="25" t="str">
        <f>IFERROR(__xludf.DUMMYFUNCTION("""COMPUTED_VALUE"""),"FITA ADESIVA 69MM X 100M")</f>
        <v>FITA ADESIVA 69MM X 100M</v>
      </c>
      <c r="E217" s="22">
        <v>9.0</v>
      </c>
      <c r="G217" s="22" t="s">
        <v>913</v>
      </c>
      <c r="H217" s="22" t="s">
        <v>615</v>
      </c>
      <c r="I217" s="22" t="s">
        <v>983</v>
      </c>
      <c r="J217" s="22" t="s">
        <v>946</v>
      </c>
    </row>
    <row r="218">
      <c r="A218" s="71">
        <v>46129.0</v>
      </c>
      <c r="B218" s="22" t="s">
        <v>922</v>
      </c>
      <c r="C218" s="25" t="str">
        <f>IFERROR(__xludf.DUMMYFUNCTION("""COMPUTED_VALUE"""),"MCC015UC0008")</f>
        <v>MCC015UC0008</v>
      </c>
      <c r="D218" s="25" t="str">
        <f>IFERROR(__xludf.DUMMYFUNCTION("""COMPUTED_VALUE"""),"FILME STRETCH 500X25")</f>
        <v>FILME STRETCH 500X25</v>
      </c>
      <c r="E218" s="22">
        <v>3.0</v>
      </c>
      <c r="G218" s="22" t="s">
        <v>913</v>
      </c>
      <c r="H218" s="22" t="s">
        <v>235</v>
      </c>
      <c r="I218" s="22" t="s">
        <v>984</v>
      </c>
      <c r="J218" s="22" t="s">
        <v>946</v>
      </c>
    </row>
    <row r="219" hidden="1">
      <c r="A219" s="71">
        <v>46134.0</v>
      </c>
      <c r="B219" s="22" t="s">
        <v>959</v>
      </c>
      <c r="C219" s="25" t="str">
        <f>IFERROR(__xludf.DUMMYFUNCTION("""COMPUTED_VALUE"""),"MCC046UC0639")</f>
        <v>MCC046UC0639</v>
      </c>
      <c r="D219" s="25" t="str">
        <f>IFERROR(__xludf.DUMMYFUNCTION("""COMPUTED_VALUE"""),"PILHA ALCALINA ELGIN PEQ.AA")</f>
        <v>PILHA ALCALINA ELGIN PEQ.AA</v>
      </c>
      <c r="E219" s="22">
        <v>1.0</v>
      </c>
      <c r="G219" s="22" t="s">
        <v>635</v>
      </c>
      <c r="H219" s="22" t="s">
        <v>985</v>
      </c>
      <c r="I219" s="22" t="s">
        <v>504</v>
      </c>
      <c r="J219" s="22" t="s">
        <v>946</v>
      </c>
    </row>
    <row r="220" hidden="1">
      <c r="A220" s="71">
        <v>46134.0</v>
      </c>
      <c r="B220" s="22" t="s">
        <v>948</v>
      </c>
      <c r="C220" s="25" t="str">
        <f>IFERROR(__xludf.DUMMYFUNCTION("""COMPUTED_VALUE"""),"MCC046UC0687")</f>
        <v>MCC046UC0687</v>
      </c>
      <c r="D220" s="25" t="str">
        <f>IFERROR(__xludf.DUMMYFUNCTION("""COMPUTED_VALUE"""),"ETIQUETA COUCHE - 100X100X 1")</f>
        <v>ETIQUETA COUCHE - 100X100X 1</v>
      </c>
      <c r="E220" s="22">
        <v>10.0</v>
      </c>
      <c r="G220" s="22" t="s">
        <v>913</v>
      </c>
      <c r="H220" s="22" t="s">
        <v>900</v>
      </c>
      <c r="I220" s="22" t="s">
        <v>901</v>
      </c>
      <c r="J220" s="22" t="s">
        <v>946</v>
      </c>
    </row>
    <row r="221" hidden="1">
      <c r="A221" s="71">
        <v>46134.0</v>
      </c>
      <c r="B221" s="22" t="s">
        <v>949</v>
      </c>
      <c r="C221" s="25" t="str">
        <f>IFERROR(__xludf.DUMMYFUNCTION("""COMPUTED_VALUE"""),"MCC046UC0082")</f>
        <v>MCC046UC0082</v>
      </c>
      <c r="D221" s="25" t="str">
        <f>IFERROR(__xludf.DUMMYFUNCTION("""COMPUTED_VALUE"""),"PAPEL SULFITE A4 75G 500 FOLHAS")</f>
        <v>PAPEL SULFITE A4 75G 500 FOLHAS</v>
      </c>
      <c r="E221" s="22">
        <v>10.0</v>
      </c>
      <c r="G221" s="22" t="s">
        <v>913</v>
      </c>
      <c r="H221" s="22" t="s">
        <v>900</v>
      </c>
      <c r="I221" s="22" t="s">
        <v>901</v>
      </c>
      <c r="J221" s="22" t="s">
        <v>946</v>
      </c>
    </row>
    <row r="222" hidden="1">
      <c r="A222" s="71">
        <v>46135.0</v>
      </c>
      <c r="B222" s="22" t="s">
        <v>921</v>
      </c>
      <c r="C222" s="25" t="str">
        <f>IFERROR(__xludf.DUMMYFUNCTION("""COMPUTED_VALUE"""),"MCC015UC0045")</f>
        <v>MCC015UC0045</v>
      </c>
      <c r="D222" s="25" t="str">
        <f>IFERROR(__xludf.DUMMYFUNCTION("""COMPUTED_VALUE"""),"FITA ADESIVA 69MM X 100M")</f>
        <v>FITA ADESIVA 69MM X 100M</v>
      </c>
      <c r="E222" s="22">
        <v>5.0</v>
      </c>
      <c r="G222" s="22" t="s">
        <v>635</v>
      </c>
      <c r="H222" s="22" t="s">
        <v>270</v>
      </c>
      <c r="I222" s="22" t="s">
        <v>624</v>
      </c>
      <c r="J222" s="22" t="s">
        <v>946</v>
      </c>
    </row>
    <row r="223" hidden="1">
      <c r="A223" s="71">
        <v>46135.0</v>
      </c>
      <c r="B223" s="22" t="s">
        <v>959</v>
      </c>
      <c r="C223" s="25" t="str">
        <f>IFERROR(__xludf.DUMMYFUNCTION("""COMPUTED_VALUE"""),"MCC046UC0639")</f>
        <v>MCC046UC0639</v>
      </c>
      <c r="D223" s="25" t="str">
        <f>IFERROR(__xludf.DUMMYFUNCTION("""COMPUTED_VALUE"""),"PILHA ALCALINA ELGIN PEQ.AA")</f>
        <v>PILHA ALCALINA ELGIN PEQ.AA</v>
      </c>
      <c r="E223" s="22">
        <v>2.0</v>
      </c>
      <c r="G223" s="22" t="s">
        <v>923</v>
      </c>
      <c r="H223" s="22" t="s">
        <v>210</v>
      </c>
      <c r="I223" s="22" t="s">
        <v>312</v>
      </c>
      <c r="J223" s="22" t="s">
        <v>946</v>
      </c>
    </row>
    <row r="224" hidden="1">
      <c r="A224" s="71">
        <v>46135.0</v>
      </c>
      <c r="B224" s="22" t="s">
        <v>978</v>
      </c>
      <c r="C224" s="25" t="str">
        <f>IFERROR(__xludf.DUMMYFUNCTION("""COMPUTED_VALUE"""),"MCC049UC0516")</f>
        <v>MCC049UC0516</v>
      </c>
      <c r="D224" s="25" t="str">
        <f>IFERROR(__xludf.DUMMYFUNCTION("""COMPUTED_VALUE"""),"ETIQUETA ADESIVA COUCHE VERDE CLARO - 105X150MM")</f>
        <v>ETIQUETA ADESIVA COUCHE VERDE CLARO - 105X150MM</v>
      </c>
      <c r="E224" s="22">
        <v>4.0</v>
      </c>
      <c r="G224" s="22" t="s">
        <v>913</v>
      </c>
      <c r="H224" s="22" t="s">
        <v>282</v>
      </c>
      <c r="I224" s="22" t="s">
        <v>986</v>
      </c>
      <c r="J224" s="22" t="s">
        <v>946</v>
      </c>
    </row>
    <row r="225" hidden="1">
      <c r="A225" s="71">
        <v>46135.0</v>
      </c>
      <c r="B225" s="22" t="s">
        <v>987</v>
      </c>
      <c r="C225" s="25" t="str">
        <f>IFERROR(__xludf.DUMMYFUNCTION("""COMPUTED_VALUE"""),"MCC046UC0597")</f>
        <v>MCC046UC0597</v>
      </c>
      <c r="D225" s="25" t="str">
        <f>IFERROR(__xludf.DUMMYFUNCTION("""COMPUTED_VALUE"""),"ETIQUETA ADESIVA COUCHE ROSA - SAS 105X150MM")</f>
        <v>ETIQUETA ADESIVA COUCHE ROSA - SAS 105X150MM</v>
      </c>
      <c r="E225" s="22">
        <v>4.0</v>
      </c>
      <c r="G225" s="22" t="s">
        <v>913</v>
      </c>
      <c r="H225" s="22" t="s">
        <v>282</v>
      </c>
      <c r="I225" s="22" t="s">
        <v>986</v>
      </c>
      <c r="J225" s="22" t="s">
        <v>946</v>
      </c>
    </row>
    <row r="226" hidden="1">
      <c r="A226" s="71">
        <v>46135.0</v>
      </c>
      <c r="B226" s="22" t="s">
        <v>988</v>
      </c>
      <c r="C226" s="25" t="str">
        <f>IFERROR(__xludf.DUMMYFUNCTION("""COMPUTED_VALUE"""),"MCC046UC0658")</f>
        <v>MCC046UC0658</v>
      </c>
      <c r="D226" s="25" t="str">
        <f>IFERROR(__xludf.DUMMYFUNCTION("""COMPUTED_VALUE"""),"ETIQUETA ADESIVA COUCHE LARANJA 100X150X1")</f>
        <v>ETIQUETA ADESIVA COUCHE LARANJA 100X150X1</v>
      </c>
      <c r="E226" s="22">
        <v>5.0</v>
      </c>
      <c r="G226" s="22" t="s">
        <v>913</v>
      </c>
      <c r="H226" s="22" t="s">
        <v>282</v>
      </c>
      <c r="I226" s="22" t="s">
        <v>986</v>
      </c>
      <c r="J226" s="22" t="s">
        <v>946</v>
      </c>
    </row>
    <row r="227" hidden="1">
      <c r="A227" s="71">
        <v>46135.0</v>
      </c>
      <c r="B227" s="22" t="s">
        <v>970</v>
      </c>
      <c r="C227" s="25" t="str">
        <f>IFERROR(__xludf.DUMMYFUNCTION("""COMPUTED_VALUE"""),"MCC046UC0668")</f>
        <v>MCC046UC0668</v>
      </c>
      <c r="D227" s="25" t="str">
        <f>IFERROR(__xludf.DUMMYFUNCTION("""COMPUTED_VALUE"""),"ETIQUETA ADESIVA COUCHE CINZA 100X150X1")</f>
        <v>ETIQUETA ADESIVA COUCHE CINZA 100X150X1</v>
      </c>
      <c r="E227" s="22">
        <v>5.0</v>
      </c>
      <c r="G227" s="22" t="s">
        <v>913</v>
      </c>
      <c r="H227" s="22" t="s">
        <v>282</v>
      </c>
      <c r="I227" s="22" t="s">
        <v>986</v>
      </c>
      <c r="J227" s="22" t="s">
        <v>946</v>
      </c>
    </row>
    <row r="228" hidden="1">
      <c r="A228" s="71">
        <v>46135.0</v>
      </c>
      <c r="B228" s="22" t="s">
        <v>964</v>
      </c>
      <c r="C228" s="25" t="str">
        <f>IFERROR(__xludf.DUMMYFUNCTION("""COMPUTED_VALUE"""),"MCC046UC0596")</f>
        <v>MCC046UC0596</v>
      </c>
      <c r="D228" s="25" t="str">
        <f>IFERROR(__xludf.DUMMYFUNCTION("""COMPUTED_VALUE"""),"ETIQUETA ADESIVA COUCHE BRANCA - 105X150MM SAS")</f>
        <v>ETIQUETA ADESIVA COUCHE BRANCA - 105X150MM SAS</v>
      </c>
      <c r="E228" s="22">
        <v>4.0</v>
      </c>
      <c r="G228" s="22" t="s">
        <v>913</v>
      </c>
      <c r="H228" s="22" t="s">
        <v>282</v>
      </c>
      <c r="I228" s="22" t="s">
        <v>986</v>
      </c>
      <c r="J228" s="22" t="s">
        <v>946</v>
      </c>
    </row>
    <row r="229" hidden="1">
      <c r="A229" s="71">
        <v>46135.0</v>
      </c>
      <c r="B229" s="22" t="s">
        <v>919</v>
      </c>
      <c r="C229" s="25" t="str">
        <f>IFERROR(__xludf.DUMMYFUNCTION("""COMPUTED_VALUE"""),"MCC046UC0598")</f>
        <v>MCC046UC0598</v>
      </c>
      <c r="D229" s="25" t="str">
        <f>IFERROR(__xludf.DUMMYFUNCTION("""COMPUTED_VALUE"""),"ETIQUETA ADESIVA COUCHE AZUL - 105X150MM SAS")</f>
        <v>ETIQUETA ADESIVA COUCHE AZUL - 105X150MM SAS</v>
      </c>
      <c r="E229" s="22">
        <v>4.0</v>
      </c>
      <c r="G229" s="22" t="s">
        <v>913</v>
      </c>
      <c r="H229" s="22" t="s">
        <v>282</v>
      </c>
      <c r="I229" s="22" t="s">
        <v>986</v>
      </c>
      <c r="J229" s="22" t="s">
        <v>946</v>
      </c>
    </row>
    <row r="230" hidden="1">
      <c r="A230" s="71">
        <v>46135.0</v>
      </c>
      <c r="B230" s="22" t="s">
        <v>972</v>
      </c>
      <c r="C230" s="25" t="str">
        <f>IFERROR(__xludf.DUMMYFUNCTION("""COMPUTED_VALUE"""),"MCC046UC0599")</f>
        <v>MCC046UC0599</v>
      </c>
      <c r="D230" s="25" t="str">
        <f>IFERROR(__xludf.DUMMYFUNCTION("""COMPUTED_VALUE"""),"ETIQUETA ADESIVA COUCHE AMARELA - 105X150MM SAS")</f>
        <v>ETIQUETA ADESIVA COUCHE AMARELA - 105X150MM SAS</v>
      </c>
      <c r="E230" s="22">
        <v>5.0</v>
      </c>
      <c r="G230" s="22" t="s">
        <v>913</v>
      </c>
      <c r="H230" s="22" t="s">
        <v>282</v>
      </c>
      <c r="I230" s="22" t="s">
        <v>989</v>
      </c>
      <c r="J230" s="22" t="s">
        <v>946</v>
      </c>
    </row>
    <row r="231" hidden="1">
      <c r="A231" s="71">
        <v>46135.0</v>
      </c>
      <c r="B231" s="22" t="s">
        <v>975</v>
      </c>
      <c r="C231" s="25" t="str">
        <f>IFERROR(__xludf.DUMMYFUNCTION("""COMPUTED_VALUE"""),"MCC046UC0660")</f>
        <v>MCC046UC0660</v>
      </c>
      <c r="D231" s="25" t="str">
        <f>IFERROR(__xludf.DUMMYFUNCTION("""COMPUTED_VALUE"""),"ETIQUETA 70MM COORDENACAO")</f>
        <v>ETIQUETA 70MM COORDENACAO</v>
      </c>
      <c r="E231" s="22">
        <v>2.0</v>
      </c>
      <c r="G231" s="22" t="s">
        <v>913</v>
      </c>
      <c r="H231" s="22" t="s">
        <v>282</v>
      </c>
      <c r="I231" s="22" t="s">
        <v>990</v>
      </c>
      <c r="J231" s="22" t="s">
        <v>946</v>
      </c>
    </row>
    <row r="232" hidden="1">
      <c r="A232" s="71">
        <v>46135.0</v>
      </c>
      <c r="B232" s="22" t="s">
        <v>974</v>
      </c>
      <c r="C232" s="25" t="str">
        <f>IFERROR(__xludf.DUMMYFUNCTION("""COMPUTED_VALUE"""),"MCC046UC0659")</f>
        <v>MCC046UC0659</v>
      </c>
      <c r="D232" s="25" t="str">
        <f>IFERROR(__xludf.DUMMYFUNCTION("""COMPUTED_VALUE"""),"ETIQUETA 70MM PROFESSOR")</f>
        <v>ETIQUETA 70MM PROFESSOR</v>
      </c>
      <c r="E232" s="22">
        <v>6.0</v>
      </c>
      <c r="G232" s="22" t="s">
        <v>913</v>
      </c>
      <c r="H232" s="22" t="s">
        <v>282</v>
      </c>
      <c r="I232" s="22" t="s">
        <v>986</v>
      </c>
      <c r="J232" s="22" t="s">
        <v>946</v>
      </c>
    </row>
    <row r="233" hidden="1">
      <c r="A233" s="71">
        <v>46135.0</v>
      </c>
      <c r="B233" s="22" t="s">
        <v>991</v>
      </c>
      <c r="C233" s="25" t="str">
        <f>IFERROR(__xludf.DUMMYFUNCTION("""COMPUTED_VALUE"""),"MCC015UC0047")</f>
        <v>MCC015UC0047</v>
      </c>
      <c r="D233" s="25" t="str">
        <f>IFERROR(__xludf.DUMMYFUNCTION("""COMPUTED_VALUE"""),"ETIQUETA CORTESIA")</f>
        <v>ETIQUETA CORTESIA</v>
      </c>
      <c r="E233" s="22">
        <v>5.0</v>
      </c>
      <c r="G233" s="22" t="s">
        <v>913</v>
      </c>
      <c r="H233" s="22" t="s">
        <v>282</v>
      </c>
      <c r="I233" s="22" t="s">
        <v>986</v>
      </c>
      <c r="J233" s="22" t="s">
        <v>946</v>
      </c>
    </row>
    <row r="234" hidden="1">
      <c r="A234" s="71">
        <v>46135.0</v>
      </c>
      <c r="B234" s="22" t="s">
        <v>921</v>
      </c>
      <c r="C234" s="25" t="str">
        <f>IFERROR(__xludf.DUMMYFUNCTION("""COMPUTED_VALUE"""),"MCC015UC0045")</f>
        <v>MCC015UC0045</v>
      </c>
      <c r="D234" s="25" t="str">
        <f>IFERROR(__xludf.DUMMYFUNCTION("""COMPUTED_VALUE"""),"FITA ADESIVA 69MM X 100M")</f>
        <v>FITA ADESIVA 69MM X 100M</v>
      </c>
      <c r="E234" s="22">
        <v>24.0</v>
      </c>
      <c r="G234" s="22" t="s">
        <v>913</v>
      </c>
      <c r="H234" s="22" t="s">
        <v>282</v>
      </c>
      <c r="I234" s="22" t="s">
        <v>986</v>
      </c>
      <c r="J234" s="22" t="s">
        <v>946</v>
      </c>
    </row>
    <row r="235">
      <c r="A235" s="71">
        <v>46136.0</v>
      </c>
      <c r="B235" s="22" t="s">
        <v>922</v>
      </c>
      <c r="C235" s="25" t="str">
        <f>IFERROR(__xludf.DUMMYFUNCTION("""COMPUTED_VALUE"""),"MCC015UC0008")</f>
        <v>MCC015UC0008</v>
      </c>
      <c r="D235" s="25" t="str">
        <f>IFERROR(__xludf.DUMMYFUNCTION("""COMPUTED_VALUE"""),"FILME STRETCH 500X25")</f>
        <v>FILME STRETCH 500X25</v>
      </c>
      <c r="E235" s="22">
        <v>20.0</v>
      </c>
      <c r="G235" s="22" t="s">
        <v>635</v>
      </c>
      <c r="H235" s="22" t="s">
        <v>297</v>
      </c>
      <c r="I235" s="22" t="s">
        <v>992</v>
      </c>
      <c r="J235" s="22" t="s">
        <v>946</v>
      </c>
    </row>
    <row r="236" hidden="1">
      <c r="A236" s="71">
        <v>46136.0</v>
      </c>
      <c r="B236" s="22" t="s">
        <v>921</v>
      </c>
      <c r="C236" s="25" t="str">
        <f>IFERROR(__xludf.DUMMYFUNCTION("""COMPUTED_VALUE"""),"MCC015UC0045")</f>
        <v>MCC015UC0045</v>
      </c>
      <c r="D236" s="25" t="str">
        <f>IFERROR(__xludf.DUMMYFUNCTION("""COMPUTED_VALUE"""),"FITA ADESIVA 69MM X 100M")</f>
        <v>FITA ADESIVA 69MM X 100M</v>
      </c>
      <c r="E236" s="22">
        <v>20.0</v>
      </c>
      <c r="G236" s="22" t="s">
        <v>635</v>
      </c>
      <c r="H236" s="22" t="s">
        <v>297</v>
      </c>
      <c r="I236" s="22" t="s">
        <v>993</v>
      </c>
      <c r="J236" s="22" t="s">
        <v>946</v>
      </c>
    </row>
    <row r="237">
      <c r="A237" s="71">
        <v>46136.0</v>
      </c>
      <c r="B237" s="22" t="s">
        <v>922</v>
      </c>
      <c r="C237" s="25" t="str">
        <f>IFERROR(__xludf.DUMMYFUNCTION("""COMPUTED_VALUE"""),"MCC015UC0008")</f>
        <v>MCC015UC0008</v>
      </c>
      <c r="D237" s="25" t="str">
        <f>IFERROR(__xludf.DUMMYFUNCTION("""COMPUTED_VALUE"""),"FILME STRETCH 500X25")</f>
        <v>FILME STRETCH 500X25</v>
      </c>
      <c r="E237" s="22">
        <v>36.0</v>
      </c>
      <c r="G237" s="22" t="s">
        <v>635</v>
      </c>
      <c r="H237" s="22" t="s">
        <v>343</v>
      </c>
      <c r="I237" s="22" t="s">
        <v>994</v>
      </c>
      <c r="J237" s="22" t="s">
        <v>946</v>
      </c>
    </row>
    <row r="238" hidden="1">
      <c r="A238" s="71">
        <v>46136.0</v>
      </c>
      <c r="B238" s="22" t="s">
        <v>950</v>
      </c>
      <c r="C238" s="25" t="str">
        <f>IFERROR(__xludf.DUMMYFUNCTION("""COMPUTED_VALUE"""),"MCC046UC0695")</f>
        <v>MCC046UC0695</v>
      </c>
      <c r="D238" s="25" t="str">
        <f>IFERROR(__xludf.DUMMYFUNCTION("""COMPUTED_VALUE"""),"ETIQUETA COUCHE 98X50X1")</f>
        <v>ETIQUETA COUCHE 98X50X1</v>
      </c>
      <c r="E238" s="22">
        <v>20.0</v>
      </c>
      <c r="G238" s="22" t="s">
        <v>567</v>
      </c>
      <c r="H238" s="22" t="s">
        <v>232</v>
      </c>
      <c r="I238" s="22" t="s">
        <v>995</v>
      </c>
      <c r="J238" s="22" t="s">
        <v>946</v>
      </c>
    </row>
    <row r="239" hidden="1">
      <c r="A239" s="71">
        <v>46136.0</v>
      </c>
      <c r="B239" s="22" t="s">
        <v>950</v>
      </c>
      <c r="C239" s="25" t="str">
        <f>IFERROR(__xludf.DUMMYFUNCTION("""COMPUTED_VALUE"""),"MCC046UC0695")</f>
        <v>MCC046UC0695</v>
      </c>
      <c r="D239" s="25" t="str">
        <f>IFERROR(__xludf.DUMMYFUNCTION("""COMPUTED_VALUE"""),"ETIQUETA COUCHE 98X50X1")</f>
        <v>ETIQUETA COUCHE 98X50X1</v>
      </c>
      <c r="E239" s="22">
        <v>8.0</v>
      </c>
      <c r="G239" s="22" t="s">
        <v>567</v>
      </c>
      <c r="H239" s="22" t="s">
        <v>232</v>
      </c>
      <c r="I239" s="22" t="s">
        <v>996</v>
      </c>
      <c r="J239" s="22" t="s">
        <v>946</v>
      </c>
    </row>
    <row r="240" hidden="1">
      <c r="A240" s="71">
        <v>46139.0</v>
      </c>
      <c r="B240" s="22" t="s">
        <v>997</v>
      </c>
      <c r="C240" s="25" t="str">
        <f>IFERROR(__xludf.DUMMYFUNCTION("""COMPUTED_VALUE"""),"MCC046UC0048")</f>
        <v>MCC046UC0048</v>
      </c>
      <c r="D240" s="25" t="str">
        <f>IFERROR(__xludf.DUMMYFUNCTION("""COMPUTED_VALUE"""),"PAPEL MACULATURA GROSSO - KRAFT - 1,20CM")</f>
        <v>PAPEL MACULATURA GROSSO - KRAFT - 1,20CM</v>
      </c>
      <c r="E240" s="22">
        <v>1.0</v>
      </c>
      <c r="G240" s="22" t="s">
        <v>916</v>
      </c>
      <c r="H240" s="22" t="s">
        <v>210</v>
      </c>
      <c r="I240" s="22" t="s">
        <v>998</v>
      </c>
      <c r="J240" s="22" t="s">
        <v>946</v>
      </c>
    </row>
    <row r="241">
      <c r="A241" s="71">
        <v>46139.0</v>
      </c>
      <c r="B241" s="22" t="s">
        <v>922</v>
      </c>
      <c r="C241" s="25" t="str">
        <f>IFERROR(__xludf.DUMMYFUNCTION("""COMPUTED_VALUE"""),"MCC015UC0008")</f>
        <v>MCC015UC0008</v>
      </c>
      <c r="D241" s="25" t="str">
        <f>IFERROR(__xludf.DUMMYFUNCTION("""COMPUTED_VALUE"""),"FILME STRETCH 500X25")</f>
        <v>FILME STRETCH 500X25</v>
      </c>
      <c r="E241" s="22">
        <v>20.0</v>
      </c>
      <c r="G241" s="22" t="s">
        <v>635</v>
      </c>
      <c r="H241" s="22" t="s">
        <v>270</v>
      </c>
      <c r="I241" s="22" t="s">
        <v>999</v>
      </c>
      <c r="J241" s="22" t="s">
        <v>946</v>
      </c>
    </row>
    <row r="242" hidden="1">
      <c r="A242" s="71">
        <v>46139.0</v>
      </c>
      <c r="B242" s="22" t="s">
        <v>980</v>
      </c>
      <c r="C242" s="25" t="str">
        <f>IFERROR(__xludf.DUMMYFUNCTION("""COMPUTED_VALUE"""),"30000107")</f>
        <v>30000107</v>
      </c>
      <c r="D242" s="25" t="str">
        <f>IFERROR(__xludf.DUMMYFUNCTION("""COMPUTED_VALUE"""),"- CAIXA 7")</f>
        <v>- CAIXA 7</v>
      </c>
      <c r="E242" s="22">
        <v>1.0</v>
      </c>
      <c r="G242" s="22" t="s">
        <v>913</v>
      </c>
      <c r="H242" s="22" t="s">
        <v>455</v>
      </c>
      <c r="I242" s="22" t="s">
        <v>1000</v>
      </c>
      <c r="J242" s="22" t="s">
        <v>946</v>
      </c>
    </row>
    <row r="243" hidden="1">
      <c r="A243" s="71">
        <v>46139.0</v>
      </c>
      <c r="B243" s="22" t="s">
        <v>1001</v>
      </c>
      <c r="C243" s="25" t="str">
        <f>IFERROR(__xludf.DUMMYFUNCTION("""COMPUTED_VALUE"""),"30000109")</f>
        <v>30000109</v>
      </c>
      <c r="D243" s="25" t="str">
        <f>IFERROR(__xludf.DUMMYFUNCTION("""COMPUTED_VALUE"""),"- CAIXA EMB PAPELÃO CV 295X255X70")</f>
        <v>- CAIXA EMB PAPELÃO CV 295X255X70</v>
      </c>
      <c r="E243" s="22">
        <v>1.0</v>
      </c>
      <c r="G243" s="22" t="s">
        <v>913</v>
      </c>
      <c r="H243" s="22" t="s">
        <v>455</v>
      </c>
      <c r="I243" s="22" t="s">
        <v>1002</v>
      </c>
      <c r="J243" s="22" t="s">
        <v>946</v>
      </c>
    </row>
    <row r="244" hidden="1">
      <c r="A244" s="71">
        <v>46139.0</v>
      </c>
      <c r="B244" s="22" t="s">
        <v>1003</v>
      </c>
      <c r="C244" s="25" t="str">
        <f>IFERROR(__xludf.DUMMYFUNCTION("""COMPUTED_VALUE"""),"30000102")</f>
        <v>30000102</v>
      </c>
      <c r="D244" s="25" t="str">
        <f>IFERROR(__xludf.DUMMYFUNCTION("""COMPUTED_VALUE"""),"- CAIXA EMB PAPELÃO TF 290X250X280")</f>
        <v>- CAIXA EMB PAPELÃO TF 290X250X280</v>
      </c>
      <c r="E244" s="22">
        <v>1.0</v>
      </c>
      <c r="G244" s="22" t="s">
        <v>913</v>
      </c>
      <c r="H244" s="22" t="s">
        <v>455</v>
      </c>
      <c r="I244" s="22" t="s">
        <v>1004</v>
      </c>
      <c r="J244" s="22" t="s">
        <v>946</v>
      </c>
    </row>
    <row r="245" hidden="1">
      <c r="A245" s="71">
        <v>46139.0</v>
      </c>
      <c r="B245" s="22" t="s">
        <v>964</v>
      </c>
      <c r="C245" s="25" t="str">
        <f>IFERROR(__xludf.DUMMYFUNCTION("""COMPUTED_VALUE"""),"MCC046UC0596")</f>
        <v>MCC046UC0596</v>
      </c>
      <c r="D245" s="25" t="str">
        <f>IFERROR(__xludf.DUMMYFUNCTION("""COMPUTED_VALUE"""),"ETIQUETA ADESIVA COUCHE BRANCA - 105X150MM SAS")</f>
        <v>ETIQUETA ADESIVA COUCHE BRANCA - 105X150MM SAS</v>
      </c>
      <c r="E245" s="22">
        <v>13.0</v>
      </c>
      <c r="G245" s="22" t="s">
        <v>913</v>
      </c>
      <c r="H245" s="22" t="s">
        <v>455</v>
      </c>
      <c r="I245" s="22" t="s">
        <v>727</v>
      </c>
      <c r="J245" s="22" t="s">
        <v>946</v>
      </c>
    </row>
    <row r="246">
      <c r="A246" s="71">
        <v>46140.0</v>
      </c>
      <c r="B246" s="22" t="s">
        <v>922</v>
      </c>
      <c r="C246" s="25" t="str">
        <f>IFERROR(__xludf.DUMMYFUNCTION("""COMPUTED_VALUE"""),"MCC015UC0008")</f>
        <v>MCC015UC0008</v>
      </c>
      <c r="D246" s="25" t="str">
        <f>IFERROR(__xludf.DUMMYFUNCTION("""COMPUTED_VALUE"""),"FILME STRETCH 500X25")</f>
        <v>FILME STRETCH 500X25</v>
      </c>
      <c r="E246" s="22">
        <v>50.0</v>
      </c>
      <c r="G246" s="22" t="s">
        <v>635</v>
      </c>
      <c r="H246" s="22" t="s">
        <v>340</v>
      </c>
      <c r="I246" s="22" t="s">
        <v>1005</v>
      </c>
      <c r="J246" s="22" t="s">
        <v>946</v>
      </c>
    </row>
    <row r="247">
      <c r="A247" s="71">
        <v>46140.0</v>
      </c>
      <c r="B247" s="22" t="s">
        <v>922</v>
      </c>
      <c r="C247" s="25" t="str">
        <f>IFERROR(__xludf.DUMMYFUNCTION("""COMPUTED_VALUE"""),"MCC015UC0008")</f>
        <v>MCC015UC0008</v>
      </c>
      <c r="D247" s="25" t="str">
        <f>IFERROR(__xludf.DUMMYFUNCTION("""COMPUTED_VALUE"""),"FILME STRETCH 500X25")</f>
        <v>FILME STRETCH 500X25</v>
      </c>
      <c r="E247" s="22">
        <v>27.0</v>
      </c>
      <c r="G247" s="22" t="s">
        <v>635</v>
      </c>
      <c r="H247" s="22" t="s">
        <v>340</v>
      </c>
      <c r="I247" s="22" t="s">
        <v>1006</v>
      </c>
      <c r="J247" s="22" t="s">
        <v>946</v>
      </c>
    </row>
    <row r="248">
      <c r="A248" s="71">
        <v>46141.0</v>
      </c>
      <c r="B248" s="22" t="s">
        <v>922</v>
      </c>
      <c r="C248" s="25" t="str">
        <f>IFERROR(__xludf.DUMMYFUNCTION("""COMPUTED_VALUE"""),"MCC015UC0008")</f>
        <v>MCC015UC0008</v>
      </c>
      <c r="D248" s="25" t="str">
        <f>IFERROR(__xludf.DUMMYFUNCTION("""COMPUTED_VALUE"""),"FILME STRETCH 500X25")</f>
        <v>FILME STRETCH 500X25</v>
      </c>
      <c r="E248" s="22">
        <v>1248.0</v>
      </c>
      <c r="G248" s="22" t="s">
        <v>923</v>
      </c>
      <c r="H248" s="22" t="s">
        <v>337</v>
      </c>
      <c r="I248" s="22" t="s">
        <v>818</v>
      </c>
      <c r="J248" s="22" t="s">
        <v>946</v>
      </c>
    </row>
    <row r="249">
      <c r="A249" s="71">
        <v>46146.0</v>
      </c>
      <c r="B249" s="22" t="s">
        <v>1007</v>
      </c>
      <c r="C249" s="25" t="str">
        <f>IFERROR(__xludf.DUMMYFUNCTION("""COMPUTED_VALUE"""),"MCC015UC0033")</f>
        <v>MCC015UC0033</v>
      </c>
      <c r="D249" s="25" t="str">
        <f>IFERROR(__xludf.DUMMYFUNCTION("""COMPUTED_VALUE"""),"FITA DE ARQUEAR PET VERDE 16MM X 0,8MM C/ 13KG")</f>
        <v>FITA DE ARQUEAR PET VERDE 16MM X 0,8MM C/ 13KG</v>
      </c>
      <c r="E249" s="22">
        <v>2.0</v>
      </c>
      <c r="G249" s="22" t="s">
        <v>635</v>
      </c>
      <c r="H249" s="22" t="s">
        <v>340</v>
      </c>
      <c r="I249" s="22" t="s">
        <v>1008</v>
      </c>
      <c r="J249" s="22" t="s">
        <v>946</v>
      </c>
    </row>
    <row r="250">
      <c r="A250" s="71">
        <v>46146.0</v>
      </c>
      <c r="B250" s="22" t="s">
        <v>973</v>
      </c>
      <c r="C250" s="25" t="str">
        <f>IFERROR(__xludf.DUMMYFUNCTION("""COMPUTED_VALUE"""),"MCC015UC0038")</f>
        <v>MCC015UC0038</v>
      </c>
      <c r="D250" s="25" t="str">
        <f>IFERROR(__xludf.DUMMYFUNCTION("""COMPUTED_VALUE"""),"BOBINA SHRINK 500MM")</f>
        <v>BOBINA SHRINK 500MM</v>
      </c>
      <c r="E250" s="22">
        <v>3.0</v>
      </c>
      <c r="G250" s="22" t="s">
        <v>923</v>
      </c>
      <c r="H250" s="22" t="s">
        <v>337</v>
      </c>
      <c r="I250" s="22" t="s">
        <v>818</v>
      </c>
      <c r="J250" s="22" t="s">
        <v>946</v>
      </c>
    </row>
    <row r="251">
      <c r="A251" s="71">
        <v>46147.0</v>
      </c>
      <c r="B251" s="22" t="s">
        <v>975</v>
      </c>
      <c r="C251" s="25" t="str">
        <f>IFERROR(__xludf.DUMMYFUNCTION("""COMPUTED_VALUE"""),"MCC046UC0660")</f>
        <v>MCC046UC0660</v>
      </c>
      <c r="D251" s="25" t="str">
        <f>IFERROR(__xludf.DUMMYFUNCTION("""COMPUTED_VALUE"""),"ETIQUETA 70MM COORDENACAO")</f>
        <v>ETIQUETA 70MM COORDENACAO</v>
      </c>
      <c r="E251" s="22">
        <v>1.0</v>
      </c>
      <c r="G251" s="22" t="s">
        <v>923</v>
      </c>
      <c r="H251" s="22" t="s">
        <v>337</v>
      </c>
      <c r="I251" s="22" t="s">
        <v>818</v>
      </c>
      <c r="J251" s="22" t="s">
        <v>946</v>
      </c>
    </row>
    <row r="252">
      <c r="A252" s="71">
        <v>46147.0</v>
      </c>
      <c r="B252" s="22" t="s">
        <v>974</v>
      </c>
      <c r="C252" s="25" t="str">
        <f>IFERROR(__xludf.DUMMYFUNCTION("""COMPUTED_VALUE"""),"MCC046UC0659")</f>
        <v>MCC046UC0659</v>
      </c>
      <c r="D252" s="25" t="str">
        <f>IFERROR(__xludf.DUMMYFUNCTION("""COMPUTED_VALUE"""),"ETIQUETA 70MM PROFESSOR")</f>
        <v>ETIQUETA 70MM PROFESSOR</v>
      </c>
      <c r="E252" s="22">
        <v>1.0</v>
      </c>
      <c r="G252" s="22" t="s">
        <v>923</v>
      </c>
      <c r="H252" s="22" t="s">
        <v>337</v>
      </c>
      <c r="I252" s="22" t="s">
        <v>818</v>
      </c>
      <c r="J252" s="22" t="s">
        <v>946</v>
      </c>
    </row>
    <row r="253">
      <c r="A253" s="71">
        <v>46147.0</v>
      </c>
      <c r="B253" s="22" t="s">
        <v>972</v>
      </c>
      <c r="C253" s="25" t="str">
        <f>IFERROR(__xludf.DUMMYFUNCTION("""COMPUTED_VALUE"""),"MCC046UC0599")</f>
        <v>MCC046UC0599</v>
      </c>
      <c r="D253" s="25" t="str">
        <f>IFERROR(__xludf.DUMMYFUNCTION("""COMPUTED_VALUE"""),"ETIQUETA ADESIVA COUCHE AMARELA - 105X150MM SAS")</f>
        <v>ETIQUETA ADESIVA COUCHE AMARELA - 105X150MM SAS</v>
      </c>
      <c r="E253" s="22">
        <v>1.0</v>
      </c>
      <c r="G253" s="22" t="s">
        <v>923</v>
      </c>
      <c r="H253" s="22" t="s">
        <v>337</v>
      </c>
      <c r="I253" s="22" t="s">
        <v>818</v>
      </c>
      <c r="J253" s="22" t="s">
        <v>946</v>
      </c>
    </row>
    <row r="254">
      <c r="A254" s="71">
        <v>46147.0</v>
      </c>
      <c r="B254" s="22" t="s">
        <v>991</v>
      </c>
      <c r="C254" s="25" t="str">
        <f>IFERROR(__xludf.DUMMYFUNCTION("""COMPUTED_VALUE"""),"MCC015UC0047")</f>
        <v>MCC015UC0047</v>
      </c>
      <c r="D254" s="25" t="str">
        <f>IFERROR(__xludf.DUMMYFUNCTION("""COMPUTED_VALUE"""),"ETIQUETA CORTESIA")</f>
        <v>ETIQUETA CORTESIA</v>
      </c>
      <c r="E254" s="22">
        <v>1.0</v>
      </c>
      <c r="G254" s="22" t="s">
        <v>923</v>
      </c>
      <c r="H254" s="22" t="s">
        <v>337</v>
      </c>
      <c r="I254" s="22" t="s">
        <v>818</v>
      </c>
      <c r="J254" s="22" t="s">
        <v>946</v>
      </c>
    </row>
    <row r="255">
      <c r="A255" s="71">
        <v>46147.0</v>
      </c>
      <c r="B255" s="22" t="s">
        <v>997</v>
      </c>
      <c r="C255" s="25" t="str">
        <f>IFERROR(__xludf.DUMMYFUNCTION("""COMPUTED_VALUE"""),"MCC046UC0048")</f>
        <v>MCC046UC0048</v>
      </c>
      <c r="D255" s="25" t="str">
        <f>IFERROR(__xludf.DUMMYFUNCTION("""COMPUTED_VALUE"""),"PAPEL MACULATURA GROSSO - KRAFT - 1,20CM")</f>
        <v>PAPEL MACULATURA GROSSO - KRAFT - 1,20CM</v>
      </c>
      <c r="E255" s="22">
        <v>1.0</v>
      </c>
      <c r="G255" s="22" t="s">
        <v>923</v>
      </c>
      <c r="H255" s="22" t="s">
        <v>337</v>
      </c>
      <c r="I255" s="22" t="s">
        <v>818</v>
      </c>
      <c r="J255" s="22" t="s">
        <v>946</v>
      </c>
    </row>
    <row r="256">
      <c r="A256" s="71">
        <v>46147.0</v>
      </c>
      <c r="B256" s="22" t="s">
        <v>973</v>
      </c>
      <c r="C256" s="25" t="str">
        <f>IFERROR(__xludf.DUMMYFUNCTION("""COMPUTED_VALUE"""),"MCC015UC0038")</f>
        <v>MCC015UC0038</v>
      </c>
      <c r="D256" s="25" t="str">
        <f>IFERROR(__xludf.DUMMYFUNCTION("""COMPUTED_VALUE"""),"BOBINA SHRINK 500MM")</f>
        <v>BOBINA SHRINK 500MM</v>
      </c>
      <c r="E256" s="22">
        <v>2.0</v>
      </c>
      <c r="G256" s="22" t="s">
        <v>567</v>
      </c>
      <c r="H256" s="22" t="s">
        <v>232</v>
      </c>
      <c r="I256" s="22" t="s">
        <v>1009</v>
      </c>
      <c r="J256" s="22" t="s">
        <v>946</v>
      </c>
    </row>
    <row r="257">
      <c r="A257" s="71">
        <v>46147.0</v>
      </c>
      <c r="B257" s="22" t="s">
        <v>949</v>
      </c>
      <c r="C257" s="25" t="str">
        <f>IFERROR(__xludf.DUMMYFUNCTION("""COMPUTED_VALUE"""),"MCC046UC0082")</f>
        <v>MCC046UC0082</v>
      </c>
      <c r="D257" s="25" t="str">
        <f>IFERROR(__xludf.DUMMYFUNCTION("""COMPUTED_VALUE"""),"PAPEL SULFITE A4 75G 500 FOLHAS")</f>
        <v>PAPEL SULFITE A4 75G 500 FOLHAS</v>
      </c>
      <c r="E257" s="22">
        <v>10.0</v>
      </c>
      <c r="G257" s="22" t="s">
        <v>567</v>
      </c>
      <c r="H257" s="22" t="s">
        <v>232</v>
      </c>
      <c r="I257" s="22" t="s">
        <v>1009</v>
      </c>
      <c r="J257" s="22" t="s">
        <v>946</v>
      </c>
    </row>
    <row r="258">
      <c r="A258" s="71">
        <v>46147.0</v>
      </c>
      <c r="B258" s="22" t="s">
        <v>922</v>
      </c>
      <c r="C258" s="25" t="str">
        <f>IFERROR(__xludf.DUMMYFUNCTION("""COMPUTED_VALUE"""),"MCC015UC0008")</f>
        <v>MCC015UC0008</v>
      </c>
      <c r="D258" s="25" t="str">
        <f>IFERROR(__xludf.DUMMYFUNCTION("""COMPUTED_VALUE"""),"FILME STRETCH 500X25")</f>
        <v>FILME STRETCH 500X25</v>
      </c>
      <c r="E258" s="22">
        <v>40.0</v>
      </c>
      <c r="G258" s="22" t="s">
        <v>635</v>
      </c>
      <c r="H258" s="22" t="s">
        <v>340</v>
      </c>
      <c r="I258" s="22" t="s">
        <v>1010</v>
      </c>
      <c r="J258" s="22" t="s">
        <v>946</v>
      </c>
    </row>
    <row r="259">
      <c r="A259" s="71">
        <v>46148.0</v>
      </c>
      <c r="B259" s="22" t="s">
        <v>922</v>
      </c>
      <c r="C259" s="25" t="str">
        <f>IFERROR(__xludf.DUMMYFUNCTION("""COMPUTED_VALUE"""),"MCC015UC0008")</f>
        <v>MCC015UC0008</v>
      </c>
      <c r="D259" s="25" t="str">
        <f>IFERROR(__xludf.DUMMYFUNCTION("""COMPUTED_VALUE"""),"FILME STRETCH 500X25")</f>
        <v>FILME STRETCH 500X25</v>
      </c>
      <c r="E259" s="22">
        <v>5.0</v>
      </c>
      <c r="G259" s="22" t="s">
        <v>916</v>
      </c>
      <c r="H259" s="22" t="s">
        <v>210</v>
      </c>
      <c r="I259" s="22" t="s">
        <v>1011</v>
      </c>
      <c r="J259" s="22" t="s">
        <v>946</v>
      </c>
    </row>
    <row r="260">
      <c r="A260" s="71">
        <v>46148.0</v>
      </c>
      <c r="B260" s="22" t="s">
        <v>1012</v>
      </c>
      <c r="C260" s="25" t="str">
        <f>IFERROR(__xludf.DUMMYFUNCTION("""COMPUTED_VALUE"""),"MCC049UC0288")</f>
        <v>MCC049UC0288</v>
      </c>
      <c r="D260" s="25" t="str">
        <f>IFERROR(__xludf.DUMMYFUNCTION("""COMPUTED_VALUE"""),"FITILHO POLIPROPILENO P/EMBALAGEM")</f>
        <v>FITILHO POLIPROPILENO P/EMBALAGEM</v>
      </c>
      <c r="E260" s="22">
        <v>1.0</v>
      </c>
      <c r="G260" s="22" t="s">
        <v>567</v>
      </c>
      <c r="H260" s="22" t="s">
        <v>232</v>
      </c>
      <c r="I260" s="22" t="s">
        <v>266</v>
      </c>
      <c r="J260" s="22" t="s">
        <v>946</v>
      </c>
    </row>
    <row r="261">
      <c r="A261" s="71">
        <v>46148.0</v>
      </c>
      <c r="B261" s="22" t="s">
        <v>1003</v>
      </c>
      <c r="C261" s="25" t="str">
        <f>IFERROR(__xludf.DUMMYFUNCTION("""COMPUTED_VALUE"""),"30000102")</f>
        <v>30000102</v>
      </c>
      <c r="D261" s="25" t="str">
        <f>IFERROR(__xludf.DUMMYFUNCTION("""COMPUTED_VALUE"""),"- CAIXA EMB PAPELÃO TF 290X250X280")</f>
        <v>- CAIXA EMB PAPELÃO TF 290X250X280</v>
      </c>
      <c r="E261" s="22">
        <v>50.0</v>
      </c>
      <c r="G261" s="22" t="s">
        <v>635</v>
      </c>
      <c r="H261" s="22" t="s">
        <v>203</v>
      </c>
      <c r="I261" s="22" t="s">
        <v>1013</v>
      </c>
      <c r="J261" s="22" t="s">
        <v>946</v>
      </c>
    </row>
    <row r="262">
      <c r="A262" s="71">
        <v>46148.0</v>
      </c>
      <c r="B262" s="22" t="s">
        <v>1014</v>
      </c>
      <c r="C262" s="25" t="str">
        <f>IFERROR(__xludf.DUMMYFUNCTION("""COMPUTED_VALUE"""),"MCC046C00003")</f>
        <v>MCC046C00003</v>
      </c>
      <c r="D262" s="25" t="str">
        <f>IFERROR(__xludf.DUMMYFUNCTION("""COMPUTED_VALUE"""),"ETIQUETA 70MM AVALIACAO")</f>
        <v>ETIQUETA 70MM AVALIACAO</v>
      </c>
      <c r="E262" s="22">
        <v>7.0</v>
      </c>
      <c r="G262" s="22" t="s">
        <v>923</v>
      </c>
      <c r="H262" s="22" t="s">
        <v>337</v>
      </c>
      <c r="I262" s="22" t="s">
        <v>818</v>
      </c>
      <c r="J262" s="22" t="s">
        <v>946</v>
      </c>
    </row>
    <row r="263">
      <c r="A263" s="71">
        <v>46148.0</v>
      </c>
      <c r="B263" s="22" t="s">
        <v>1007</v>
      </c>
      <c r="C263" s="25" t="str">
        <f>IFERROR(__xludf.DUMMYFUNCTION("""COMPUTED_VALUE"""),"MCC015UC0033")</f>
        <v>MCC015UC0033</v>
      </c>
      <c r="D263" s="25" t="str">
        <f>IFERROR(__xludf.DUMMYFUNCTION("""COMPUTED_VALUE"""),"FITA DE ARQUEAR PET VERDE 16MM X 0,8MM C/ 13KG")</f>
        <v>FITA DE ARQUEAR PET VERDE 16MM X 0,8MM C/ 13KG</v>
      </c>
      <c r="E263" s="22">
        <v>2.0</v>
      </c>
      <c r="G263" s="22" t="s">
        <v>923</v>
      </c>
      <c r="H263" s="22" t="s">
        <v>337</v>
      </c>
      <c r="I263" s="22" t="s">
        <v>1015</v>
      </c>
      <c r="J263" s="22" t="s">
        <v>946</v>
      </c>
    </row>
    <row r="264">
      <c r="A264" s="71">
        <v>46148.0</v>
      </c>
      <c r="B264" s="22" t="s">
        <v>987</v>
      </c>
      <c r="C264" s="25" t="str">
        <f>IFERROR(__xludf.DUMMYFUNCTION("""COMPUTED_VALUE"""),"MCC046UC0597")</f>
        <v>MCC046UC0597</v>
      </c>
      <c r="D264" s="25" t="str">
        <f>IFERROR(__xludf.DUMMYFUNCTION("""COMPUTED_VALUE"""),"ETIQUETA ADESIVA COUCHE ROSA - SAS 105X150MM")</f>
        <v>ETIQUETA ADESIVA COUCHE ROSA - SAS 105X150MM</v>
      </c>
      <c r="E264" s="22">
        <v>35.0</v>
      </c>
      <c r="G264" s="22" t="s">
        <v>923</v>
      </c>
      <c r="H264" s="22" t="s">
        <v>337</v>
      </c>
      <c r="I264" s="22" t="s">
        <v>1015</v>
      </c>
      <c r="J264" s="22" t="s">
        <v>946</v>
      </c>
    </row>
    <row r="265">
      <c r="A265" s="71">
        <v>46150.0</v>
      </c>
      <c r="B265" s="22" t="s">
        <v>973</v>
      </c>
      <c r="C265" s="25" t="str">
        <f>IFERROR(__xludf.DUMMYFUNCTION("""COMPUTED_VALUE"""),"MCC015UC0038")</f>
        <v>MCC015UC0038</v>
      </c>
      <c r="D265" s="25" t="str">
        <f>IFERROR(__xludf.DUMMYFUNCTION("""COMPUTED_VALUE"""),"BOBINA SHRINK 500MM")</f>
        <v>BOBINA SHRINK 500MM</v>
      </c>
      <c r="E265" s="22">
        <v>1.0</v>
      </c>
      <c r="G265" s="22" t="s">
        <v>567</v>
      </c>
      <c r="H265" s="22" t="s">
        <v>232</v>
      </c>
      <c r="I265" s="22" t="s">
        <v>1016</v>
      </c>
      <c r="J265" s="22" t="s">
        <v>946</v>
      </c>
    </row>
    <row r="266">
      <c r="A266" s="71">
        <v>46150.0</v>
      </c>
      <c r="B266" s="22" t="s">
        <v>1012</v>
      </c>
      <c r="C266" s="25" t="str">
        <f>IFERROR(__xludf.DUMMYFUNCTION("""COMPUTED_VALUE"""),"MCC049UC0288")</f>
        <v>MCC049UC0288</v>
      </c>
      <c r="D266" s="25" t="str">
        <f>IFERROR(__xludf.DUMMYFUNCTION("""COMPUTED_VALUE"""),"FITILHO POLIPROPILENO P/EMBALAGEM")</f>
        <v>FITILHO POLIPROPILENO P/EMBALAGEM</v>
      </c>
      <c r="E266" s="22">
        <v>1.0</v>
      </c>
      <c r="G266" s="22" t="s">
        <v>567</v>
      </c>
      <c r="H266" s="22" t="s">
        <v>232</v>
      </c>
      <c r="I266" s="22" t="s">
        <v>1017</v>
      </c>
      <c r="J266" s="22" t="s">
        <v>946</v>
      </c>
    </row>
    <row r="267">
      <c r="A267" s="71">
        <v>46150.0</v>
      </c>
      <c r="B267" s="22" t="s">
        <v>921</v>
      </c>
      <c r="C267" s="25" t="str">
        <f>IFERROR(__xludf.DUMMYFUNCTION("""COMPUTED_VALUE"""),"MCC015UC0045")</f>
        <v>MCC015UC0045</v>
      </c>
      <c r="D267" s="25" t="str">
        <f>IFERROR(__xludf.DUMMYFUNCTION("""COMPUTED_VALUE"""),"FITA ADESIVA 69MM X 100M")</f>
        <v>FITA ADESIVA 69MM X 100M</v>
      </c>
      <c r="E267" s="22">
        <v>24.0</v>
      </c>
      <c r="G267" s="22" t="s">
        <v>916</v>
      </c>
      <c r="H267" s="22" t="s">
        <v>210</v>
      </c>
      <c r="I267" s="22" t="s">
        <v>1018</v>
      </c>
      <c r="J267" s="22" t="s">
        <v>946</v>
      </c>
    </row>
    <row r="268">
      <c r="A268" s="71">
        <v>46150.0</v>
      </c>
      <c r="B268" s="22" t="s">
        <v>1019</v>
      </c>
      <c r="C268" s="25" t="str">
        <f>IFERROR(__xludf.DUMMYFUNCTION("""COMPUTED_VALUE"""),"30000101")</f>
        <v>30000101</v>
      </c>
      <c r="D268" s="25" t="str">
        <f>IFERROR(__xludf.DUMMYFUNCTION("""COMPUTED_VALUE"""),"- CAIXA EMB PAPELÃO TF 285X215X280")</f>
        <v>- CAIXA EMB PAPELÃO TF 285X215X280</v>
      </c>
      <c r="E268" s="22">
        <v>1.0</v>
      </c>
      <c r="G268" s="22" t="s">
        <v>913</v>
      </c>
      <c r="H268" s="22" t="s">
        <v>455</v>
      </c>
      <c r="I268" s="22" t="s">
        <v>1020</v>
      </c>
      <c r="J268" s="22" t="s">
        <v>946</v>
      </c>
    </row>
    <row r="269">
      <c r="A269" s="71">
        <v>46150.0</v>
      </c>
      <c r="B269" s="22" t="s">
        <v>1003</v>
      </c>
      <c r="C269" s="25" t="str">
        <f>IFERROR(__xludf.DUMMYFUNCTION("""COMPUTED_VALUE"""),"30000102")</f>
        <v>30000102</v>
      </c>
      <c r="D269" s="25" t="str">
        <f>IFERROR(__xludf.DUMMYFUNCTION("""COMPUTED_VALUE"""),"- CAIXA EMB PAPELÃO TF 290X250X280")</f>
        <v>- CAIXA EMB PAPELÃO TF 290X250X280</v>
      </c>
      <c r="E269" s="22">
        <v>1.0</v>
      </c>
      <c r="G269" s="22" t="s">
        <v>913</v>
      </c>
      <c r="H269" s="22" t="s">
        <v>455</v>
      </c>
      <c r="I269" s="22" t="s">
        <v>1020</v>
      </c>
      <c r="J269" s="22" t="s">
        <v>946</v>
      </c>
    </row>
    <row r="270">
      <c r="A270" s="71">
        <v>46150.0</v>
      </c>
      <c r="B270" s="22" t="s">
        <v>1021</v>
      </c>
      <c r="C270" s="25" t="str">
        <f>IFERROR(__xludf.DUMMYFUNCTION("""COMPUTED_VALUE"""),"30000103")</f>
        <v>30000103</v>
      </c>
      <c r="D270" s="25" t="str">
        <f>IFERROR(__xludf.DUMMYFUNCTION("""COMPUTED_VALUE"""),"- CAIXA EMB PAPELÃO TF 290X280X280")</f>
        <v>- CAIXA EMB PAPELÃO TF 290X280X280</v>
      </c>
      <c r="E270" s="22">
        <v>1.0</v>
      </c>
      <c r="G270" s="22" t="s">
        <v>913</v>
      </c>
      <c r="H270" s="22" t="s">
        <v>455</v>
      </c>
      <c r="I270" s="22" t="s">
        <v>1020</v>
      </c>
      <c r="J270" s="22" t="s">
        <v>946</v>
      </c>
    </row>
    <row r="271">
      <c r="A271" s="71">
        <v>46150.0</v>
      </c>
      <c r="B271" s="22" t="s">
        <v>1022</v>
      </c>
      <c r="C271" s="25" t="str">
        <f>IFERROR(__xludf.DUMMYFUNCTION("""COMPUTED_VALUE"""),"30000104")</f>
        <v>30000104</v>
      </c>
      <c r="D271" s="25" t="str">
        <f>IFERROR(__xludf.DUMMYFUNCTION("""COMPUTED_VALUE"""),"- CAIXA EMB PAPELÃO TF 345X290X280")</f>
        <v>- CAIXA EMB PAPELÃO TF 345X290X280</v>
      </c>
      <c r="E271" s="22">
        <v>1.0</v>
      </c>
      <c r="G271" s="22" t="s">
        <v>913</v>
      </c>
      <c r="H271" s="22" t="s">
        <v>455</v>
      </c>
      <c r="I271" s="22" t="s">
        <v>1020</v>
      </c>
      <c r="J271" s="22" t="s">
        <v>946</v>
      </c>
    </row>
    <row r="272">
      <c r="A272" s="71">
        <v>46150.0</v>
      </c>
      <c r="B272" s="22" t="s">
        <v>980</v>
      </c>
      <c r="C272" s="25" t="str">
        <f>IFERROR(__xludf.DUMMYFUNCTION("""COMPUTED_VALUE"""),"30000107")</f>
        <v>30000107</v>
      </c>
      <c r="D272" s="25" t="str">
        <f>IFERROR(__xludf.DUMMYFUNCTION("""COMPUTED_VALUE"""),"- CAIXA 7")</f>
        <v>- CAIXA 7</v>
      </c>
      <c r="E272" s="22">
        <v>1.0</v>
      </c>
      <c r="G272" s="22" t="s">
        <v>913</v>
      </c>
      <c r="H272" s="22" t="s">
        <v>455</v>
      </c>
      <c r="I272" s="22" t="s">
        <v>1023</v>
      </c>
      <c r="J272" s="22" t="s">
        <v>946</v>
      </c>
    </row>
    <row r="273">
      <c r="A273" s="71">
        <v>46150.0</v>
      </c>
      <c r="B273" s="22" t="s">
        <v>1001</v>
      </c>
      <c r="C273" s="25" t="str">
        <f>IFERROR(__xludf.DUMMYFUNCTION("""COMPUTED_VALUE"""),"30000109")</f>
        <v>30000109</v>
      </c>
      <c r="D273" s="25" t="str">
        <f>IFERROR(__xludf.DUMMYFUNCTION("""COMPUTED_VALUE"""),"- CAIXA EMB PAPELÃO CV 295X255X70")</f>
        <v>- CAIXA EMB PAPELÃO CV 295X255X70</v>
      </c>
      <c r="E273" s="22">
        <v>1.0</v>
      </c>
      <c r="G273" s="22" t="s">
        <v>913</v>
      </c>
      <c r="H273" s="22" t="s">
        <v>455</v>
      </c>
      <c r="I273" s="22" t="s">
        <v>1024</v>
      </c>
      <c r="J273" s="22" t="s">
        <v>946</v>
      </c>
    </row>
    <row r="274">
      <c r="A274" s="71">
        <v>46150.0</v>
      </c>
      <c r="B274" s="22" t="s">
        <v>1025</v>
      </c>
      <c r="C274" s="25" t="str">
        <f>IFERROR(__xludf.DUMMYFUNCTION("""COMPUTED_VALUE"""),"30000110")</f>
        <v>30000110</v>
      </c>
      <c r="D274" s="25" t="str">
        <f>IFERROR(__xludf.DUMMYFUNCTION("""COMPUTED_VALUE"""),"- CAIXA EMB PAPELÃO CV 375X285X70")</f>
        <v>- CAIXA EMB PAPELÃO CV 375X285X70</v>
      </c>
      <c r="E274" s="22">
        <v>1.0</v>
      </c>
      <c r="G274" s="22" t="s">
        <v>913</v>
      </c>
      <c r="H274" s="22" t="s">
        <v>455</v>
      </c>
      <c r="I274" s="22" t="s">
        <v>1026</v>
      </c>
      <c r="J274" s="22" t="s">
        <v>946</v>
      </c>
    </row>
    <row r="275">
      <c r="A275" s="71">
        <v>46150.0</v>
      </c>
      <c r="B275" s="22" t="s">
        <v>973</v>
      </c>
      <c r="C275" s="25" t="str">
        <f>IFERROR(__xludf.DUMMYFUNCTION("""COMPUTED_VALUE"""),"MCC015UC0038")</f>
        <v>MCC015UC0038</v>
      </c>
      <c r="D275" s="25" t="str">
        <f>IFERROR(__xludf.DUMMYFUNCTION("""COMPUTED_VALUE"""),"BOBINA SHRINK 500MM")</f>
        <v>BOBINA SHRINK 500MM</v>
      </c>
      <c r="E275" s="22">
        <v>1.0</v>
      </c>
      <c r="G275" s="22" t="s">
        <v>635</v>
      </c>
      <c r="H275" s="22" t="s">
        <v>343</v>
      </c>
      <c r="I275" s="22" t="s">
        <v>1027</v>
      </c>
      <c r="J275" s="22" t="s">
        <v>946</v>
      </c>
    </row>
    <row r="276">
      <c r="A276" s="71">
        <v>46150.0</v>
      </c>
      <c r="B276" s="22" t="s">
        <v>922</v>
      </c>
      <c r="C276" s="25" t="str">
        <f>IFERROR(__xludf.DUMMYFUNCTION("""COMPUTED_VALUE"""),"MCC015UC0008")</f>
        <v>MCC015UC0008</v>
      </c>
      <c r="D276" s="25" t="str">
        <f>IFERROR(__xludf.DUMMYFUNCTION("""COMPUTED_VALUE"""),"FILME STRETCH 500X25")</f>
        <v>FILME STRETCH 500X25</v>
      </c>
      <c r="E276" s="22">
        <v>20.0</v>
      </c>
      <c r="G276" s="22" t="s">
        <v>635</v>
      </c>
      <c r="H276" s="22" t="s">
        <v>297</v>
      </c>
      <c r="I276" s="22" t="s">
        <v>1028</v>
      </c>
      <c r="J276" s="22" t="s">
        <v>946</v>
      </c>
    </row>
    <row r="277">
      <c r="A277" s="71">
        <v>46153.0</v>
      </c>
      <c r="B277" s="22" t="s">
        <v>922</v>
      </c>
      <c r="C277" s="25" t="str">
        <f>IFERROR(__xludf.DUMMYFUNCTION("""COMPUTED_VALUE"""),"MCC015UC0008")</f>
        <v>MCC015UC0008</v>
      </c>
      <c r="D277" s="25" t="str">
        <f>IFERROR(__xludf.DUMMYFUNCTION("""COMPUTED_VALUE"""),"FILME STRETCH 500X25")</f>
        <v>FILME STRETCH 500X25</v>
      </c>
      <c r="E277" s="22">
        <v>50.0</v>
      </c>
      <c r="G277" s="22" t="s">
        <v>635</v>
      </c>
      <c r="H277" s="22" t="s">
        <v>343</v>
      </c>
      <c r="I277" s="22" t="s">
        <v>842</v>
      </c>
      <c r="J277" s="22" t="s">
        <v>946</v>
      </c>
    </row>
    <row r="278">
      <c r="A278" s="71">
        <v>46154.0</v>
      </c>
      <c r="B278" s="22" t="s">
        <v>1003</v>
      </c>
      <c r="C278" s="25" t="str">
        <f>IFERROR(__xludf.DUMMYFUNCTION("""COMPUTED_VALUE"""),"30000102")</f>
        <v>30000102</v>
      </c>
      <c r="D278" s="25" t="str">
        <f>IFERROR(__xludf.DUMMYFUNCTION("""COMPUTED_VALUE"""),"- CAIXA EMB PAPELÃO TF 290X250X280")</f>
        <v>- CAIXA EMB PAPELÃO TF 290X250X280</v>
      </c>
      <c r="E278" s="22">
        <v>1600.0</v>
      </c>
      <c r="G278" s="22" t="s">
        <v>635</v>
      </c>
      <c r="H278" s="22" t="s">
        <v>340</v>
      </c>
      <c r="I278" s="22" t="s">
        <v>1029</v>
      </c>
      <c r="J278" s="22" t="s">
        <v>946</v>
      </c>
    </row>
    <row r="279">
      <c r="A279" s="71">
        <v>46154.0</v>
      </c>
      <c r="B279" s="22" t="s">
        <v>921</v>
      </c>
      <c r="C279" s="25" t="str">
        <f>IFERROR(__xludf.DUMMYFUNCTION("""COMPUTED_VALUE"""),"MCC015UC0045")</f>
        <v>MCC015UC0045</v>
      </c>
      <c r="D279" s="25" t="str">
        <f>IFERROR(__xludf.DUMMYFUNCTION("""COMPUTED_VALUE"""),"FITA ADESIVA 69MM X 100M")</f>
        <v>FITA ADESIVA 69MM X 100M</v>
      </c>
      <c r="E279" s="22">
        <v>20.0</v>
      </c>
      <c r="G279" s="22" t="s">
        <v>913</v>
      </c>
      <c r="H279" s="22" t="s">
        <v>615</v>
      </c>
      <c r="I279" s="22" t="s">
        <v>981</v>
      </c>
      <c r="J279" s="22" t="s">
        <v>946</v>
      </c>
    </row>
    <row r="280">
      <c r="A280" s="71">
        <v>46154.0</v>
      </c>
      <c r="B280" s="22" t="s">
        <v>922</v>
      </c>
      <c r="C280" s="25" t="str">
        <f>IFERROR(__xludf.DUMMYFUNCTION("""COMPUTED_VALUE"""),"MCC015UC0008")</f>
        <v>MCC015UC0008</v>
      </c>
      <c r="D280" s="25" t="str">
        <f>IFERROR(__xludf.DUMMYFUNCTION("""COMPUTED_VALUE"""),"FILME STRETCH 500X25")</f>
        <v>FILME STRETCH 500X25</v>
      </c>
      <c r="E280" s="22">
        <v>5.0</v>
      </c>
      <c r="G280" s="22" t="s">
        <v>916</v>
      </c>
      <c r="H280" s="22" t="s">
        <v>210</v>
      </c>
      <c r="I280" s="22" t="s">
        <v>1018</v>
      </c>
      <c r="J280" s="22" t="s">
        <v>946</v>
      </c>
    </row>
    <row r="281">
      <c r="A281" s="71">
        <v>46154.0</v>
      </c>
      <c r="B281" s="22" t="s">
        <v>980</v>
      </c>
      <c r="C281" s="25" t="str">
        <f>IFERROR(__xludf.DUMMYFUNCTION("""COMPUTED_VALUE"""),"30000107")</f>
        <v>30000107</v>
      </c>
      <c r="D281" s="25" t="str">
        <f>IFERROR(__xludf.DUMMYFUNCTION("""COMPUTED_VALUE"""),"- CAIXA 7")</f>
        <v>- CAIXA 7</v>
      </c>
      <c r="E281" s="22">
        <v>2.0</v>
      </c>
      <c r="G281" s="22" t="s">
        <v>913</v>
      </c>
      <c r="H281" s="22" t="s">
        <v>455</v>
      </c>
      <c r="I281" s="22" t="s">
        <v>1030</v>
      </c>
      <c r="J281" s="22" t="s">
        <v>946</v>
      </c>
    </row>
    <row r="282">
      <c r="A282" s="71">
        <v>46155.0</v>
      </c>
      <c r="B282" s="22" t="s">
        <v>949</v>
      </c>
      <c r="C282" s="25" t="str">
        <f>IFERROR(__xludf.DUMMYFUNCTION("""COMPUTED_VALUE"""),"MCC046UC0082")</f>
        <v>MCC046UC0082</v>
      </c>
      <c r="D282" s="25" t="str">
        <f>IFERROR(__xludf.DUMMYFUNCTION("""COMPUTED_VALUE"""),"PAPEL SULFITE A4 75G 500 FOLHAS")</f>
        <v>PAPEL SULFITE A4 75G 500 FOLHAS</v>
      </c>
      <c r="E282" s="22">
        <v>10.0</v>
      </c>
      <c r="G282" s="22" t="s">
        <v>913</v>
      </c>
      <c r="H282" s="22" t="s">
        <v>900</v>
      </c>
      <c r="I282" s="22" t="s">
        <v>1031</v>
      </c>
      <c r="J282" s="22" t="s">
        <v>946</v>
      </c>
    </row>
    <row r="283">
      <c r="A283" s="71">
        <v>46155.0</v>
      </c>
      <c r="B283" s="22" t="s">
        <v>1032</v>
      </c>
      <c r="C283" s="25" t="str">
        <f>IFERROR(__xludf.DUMMYFUNCTION("""COMPUTED_VALUE"""),"EMC015MO0007")</f>
        <v>EMC015MO0007</v>
      </c>
      <c r="D283" s="25" t="str">
        <f>IFERROR(__xludf.DUMMYFUNCTION("""COMPUTED_VALUE"""),"RIBBON CERA PRETO 110MMX74M")</f>
        <v>RIBBON CERA PRETO 110MMX74M</v>
      </c>
      <c r="E283" s="22">
        <v>30.0</v>
      </c>
      <c r="G283" s="22" t="s">
        <v>567</v>
      </c>
      <c r="H283" s="22" t="s">
        <v>232</v>
      </c>
      <c r="I283" s="22" t="s">
        <v>1016</v>
      </c>
      <c r="J283" s="22" t="s">
        <v>946</v>
      </c>
    </row>
    <row r="284">
      <c r="A284" s="71">
        <v>46155.0</v>
      </c>
      <c r="B284" s="22" t="s">
        <v>973</v>
      </c>
      <c r="C284" s="25" t="str">
        <f>IFERROR(__xludf.DUMMYFUNCTION("""COMPUTED_VALUE"""),"MCC015UC0038")</f>
        <v>MCC015UC0038</v>
      </c>
      <c r="D284" s="25" t="str">
        <f>IFERROR(__xludf.DUMMYFUNCTION("""COMPUTED_VALUE"""),"BOBINA SHRINK 500MM")</f>
        <v>BOBINA SHRINK 500MM</v>
      </c>
      <c r="E284" s="22">
        <v>1.0</v>
      </c>
      <c r="G284" s="22" t="s">
        <v>567</v>
      </c>
      <c r="H284" s="22" t="s">
        <v>232</v>
      </c>
      <c r="I284" s="22" t="s">
        <v>1033</v>
      </c>
      <c r="J284" s="22" t="s">
        <v>946</v>
      </c>
    </row>
    <row r="285">
      <c r="A285" s="71">
        <v>46155.0</v>
      </c>
      <c r="B285" s="22" t="s">
        <v>949</v>
      </c>
      <c r="C285" s="25" t="str">
        <f>IFERROR(__xludf.DUMMYFUNCTION("""COMPUTED_VALUE"""),"MCC046UC0082")</f>
        <v>MCC046UC0082</v>
      </c>
      <c r="D285" s="25" t="str">
        <f>IFERROR(__xludf.DUMMYFUNCTION("""COMPUTED_VALUE"""),"PAPEL SULFITE A4 75G 500 FOLHAS")</f>
        <v>PAPEL SULFITE A4 75G 500 FOLHAS</v>
      </c>
      <c r="E285" s="22">
        <v>4.0</v>
      </c>
      <c r="G285" s="22" t="s">
        <v>913</v>
      </c>
      <c r="H285" s="22" t="s">
        <v>900</v>
      </c>
      <c r="I285" s="22" t="s">
        <v>901</v>
      </c>
      <c r="J285" s="22" t="s">
        <v>946</v>
      </c>
    </row>
    <row r="286">
      <c r="A286" s="71">
        <v>46155.0</v>
      </c>
      <c r="B286" s="22" t="s">
        <v>964</v>
      </c>
      <c r="C286" s="25" t="str">
        <f>IFERROR(__xludf.DUMMYFUNCTION("""COMPUTED_VALUE"""),"MCC046UC0596")</f>
        <v>MCC046UC0596</v>
      </c>
      <c r="D286" s="25" t="str">
        <f>IFERROR(__xludf.DUMMYFUNCTION("""COMPUTED_VALUE"""),"ETIQUETA ADESIVA COUCHE BRANCA - 105X150MM SAS")</f>
        <v>ETIQUETA ADESIVA COUCHE BRANCA - 105X150MM SAS</v>
      </c>
      <c r="E286" s="22">
        <v>20.0</v>
      </c>
      <c r="G286" s="22" t="s">
        <v>913</v>
      </c>
      <c r="H286" s="22" t="s">
        <v>200</v>
      </c>
      <c r="I286" s="22" t="s">
        <v>1034</v>
      </c>
      <c r="J286" s="22" t="s">
        <v>946</v>
      </c>
    </row>
    <row r="287">
      <c r="A287" s="71">
        <v>46155.0</v>
      </c>
      <c r="B287" s="22" t="s">
        <v>948</v>
      </c>
      <c r="C287" s="25" t="str">
        <f>IFERROR(__xludf.DUMMYFUNCTION("""COMPUTED_VALUE"""),"MCC046UC0687")</f>
        <v>MCC046UC0687</v>
      </c>
      <c r="D287" s="25" t="str">
        <f>IFERROR(__xludf.DUMMYFUNCTION("""COMPUTED_VALUE"""),"ETIQUETA COUCHE - 100X100X 1")</f>
        <v>ETIQUETA COUCHE - 100X100X 1</v>
      </c>
      <c r="E287" s="22">
        <v>30.0</v>
      </c>
      <c r="G287" s="22" t="s">
        <v>913</v>
      </c>
      <c r="H287" s="22" t="s">
        <v>200</v>
      </c>
      <c r="I287" s="22" t="s">
        <v>1034</v>
      </c>
      <c r="J287" s="22" t="s">
        <v>946</v>
      </c>
    </row>
    <row r="288">
      <c r="A288" s="71">
        <v>46156.0</v>
      </c>
      <c r="B288" s="22" t="s">
        <v>921</v>
      </c>
      <c r="C288" s="25" t="str">
        <f>IFERROR(__xludf.DUMMYFUNCTION("""COMPUTED_VALUE"""),"MCC015UC0045")</f>
        <v>MCC015UC0045</v>
      </c>
      <c r="D288" s="25" t="str">
        <f>IFERROR(__xludf.DUMMYFUNCTION("""COMPUTED_VALUE"""),"FITA ADESIVA 69MM X 100M")</f>
        <v>FITA ADESIVA 69MM X 100M</v>
      </c>
      <c r="E288" s="22">
        <v>24.0</v>
      </c>
      <c r="G288" s="22" t="s">
        <v>913</v>
      </c>
      <c r="H288" s="22" t="s">
        <v>455</v>
      </c>
      <c r="I288" s="22" t="s">
        <v>727</v>
      </c>
      <c r="J288" s="22" t="s">
        <v>946</v>
      </c>
    </row>
    <row r="289">
      <c r="A289" s="71">
        <v>46156.0</v>
      </c>
      <c r="B289" s="22" t="s">
        <v>921</v>
      </c>
      <c r="C289" s="25" t="str">
        <f>IFERROR(__xludf.DUMMYFUNCTION("""COMPUTED_VALUE"""),"MCC015UC0045")</f>
        <v>MCC015UC0045</v>
      </c>
      <c r="D289" s="25" t="str">
        <f>IFERROR(__xludf.DUMMYFUNCTION("""COMPUTED_VALUE"""),"FITA ADESIVA 69MM X 100M")</f>
        <v>FITA ADESIVA 69MM X 100M</v>
      </c>
      <c r="E289" s="22">
        <v>30.0</v>
      </c>
      <c r="G289" s="22" t="s">
        <v>913</v>
      </c>
      <c r="H289" s="22" t="s">
        <v>455</v>
      </c>
      <c r="I289" s="22" t="s">
        <v>727</v>
      </c>
      <c r="J289" s="22" t="s">
        <v>946</v>
      </c>
    </row>
    <row r="290">
      <c r="A290" s="71">
        <v>46156.0</v>
      </c>
      <c r="B290" s="22" t="s">
        <v>1032</v>
      </c>
      <c r="C290" s="25" t="str">
        <f>IFERROR(__xludf.DUMMYFUNCTION("""COMPUTED_VALUE"""),"EMC015MO0007")</f>
        <v>EMC015MO0007</v>
      </c>
      <c r="D290" s="25" t="str">
        <f>IFERROR(__xludf.DUMMYFUNCTION("""COMPUTED_VALUE"""),"RIBBON CERA PRETO 110MMX74M")</f>
        <v>RIBBON CERA PRETO 110MMX74M</v>
      </c>
      <c r="E290" s="22">
        <v>20.0</v>
      </c>
      <c r="G290" s="22" t="s">
        <v>913</v>
      </c>
      <c r="H290" s="22" t="s">
        <v>200</v>
      </c>
      <c r="I290" s="22" t="s">
        <v>1034</v>
      </c>
      <c r="J290" s="22" t="s">
        <v>946</v>
      </c>
    </row>
    <row r="291">
      <c r="A291" s="71">
        <v>46157.0</v>
      </c>
      <c r="B291" s="22" t="s">
        <v>980</v>
      </c>
      <c r="C291" s="25" t="str">
        <f>IFERROR(__xludf.DUMMYFUNCTION("""COMPUTED_VALUE"""),"30000107")</f>
        <v>30000107</v>
      </c>
      <c r="D291" s="25" t="str">
        <f>IFERROR(__xludf.DUMMYFUNCTION("""COMPUTED_VALUE"""),"- CAIXA 7")</f>
        <v>- CAIXA 7</v>
      </c>
      <c r="E291" s="22">
        <v>2.0</v>
      </c>
      <c r="G291" s="22" t="s">
        <v>913</v>
      </c>
      <c r="H291" s="22" t="s">
        <v>455</v>
      </c>
      <c r="I291" s="22" t="s">
        <v>727</v>
      </c>
      <c r="J291" s="22" t="s">
        <v>946</v>
      </c>
    </row>
    <row r="292">
      <c r="A292" s="71">
        <v>46157.0</v>
      </c>
      <c r="B292" s="22" t="s">
        <v>1003</v>
      </c>
      <c r="C292" s="25" t="str">
        <f>IFERROR(__xludf.DUMMYFUNCTION("""COMPUTED_VALUE"""),"30000102")</f>
        <v>30000102</v>
      </c>
      <c r="D292" s="25" t="str">
        <f>IFERROR(__xludf.DUMMYFUNCTION("""COMPUTED_VALUE"""),"- CAIXA EMB PAPELÃO TF 290X250X280")</f>
        <v>- CAIXA EMB PAPELÃO TF 290X250X280</v>
      </c>
      <c r="E292" s="22">
        <v>1.0</v>
      </c>
      <c r="G292" s="22" t="s">
        <v>913</v>
      </c>
      <c r="H292" s="22" t="s">
        <v>455</v>
      </c>
      <c r="I292" s="22" t="s">
        <v>1035</v>
      </c>
      <c r="J292" s="22" t="s">
        <v>946</v>
      </c>
    </row>
    <row r="293">
      <c r="A293" s="71">
        <v>46157.0</v>
      </c>
      <c r="B293" s="22" t="s">
        <v>1022</v>
      </c>
      <c r="C293" s="25" t="str">
        <f>IFERROR(__xludf.DUMMYFUNCTION("""COMPUTED_VALUE"""),"30000104")</f>
        <v>30000104</v>
      </c>
      <c r="D293" s="25" t="str">
        <f>IFERROR(__xludf.DUMMYFUNCTION("""COMPUTED_VALUE"""),"- CAIXA EMB PAPELÃO TF 345X290X280")</f>
        <v>- CAIXA EMB PAPELÃO TF 345X290X280</v>
      </c>
      <c r="E293" s="22">
        <v>1.0</v>
      </c>
      <c r="G293" s="22" t="s">
        <v>913</v>
      </c>
      <c r="H293" s="22" t="s">
        <v>455</v>
      </c>
      <c r="I293" s="22" t="s">
        <v>1035</v>
      </c>
      <c r="J293" s="22" t="s">
        <v>946</v>
      </c>
    </row>
    <row r="294">
      <c r="A294" s="71">
        <v>46157.0</v>
      </c>
      <c r="B294" s="22" t="s">
        <v>921</v>
      </c>
      <c r="C294" s="25" t="str">
        <f>IFERROR(__xludf.DUMMYFUNCTION("""COMPUTED_VALUE"""),"MCC015UC0045")</f>
        <v>MCC015UC0045</v>
      </c>
      <c r="D294" s="25" t="str">
        <f>IFERROR(__xludf.DUMMYFUNCTION("""COMPUTED_VALUE"""),"FITA ADESIVA 69MM X 100M")</f>
        <v>FITA ADESIVA 69MM X 100M</v>
      </c>
      <c r="E294" s="22">
        <v>40.0</v>
      </c>
      <c r="G294" s="22" t="s">
        <v>913</v>
      </c>
      <c r="H294" s="22" t="s">
        <v>615</v>
      </c>
      <c r="I294" s="22" t="s">
        <v>1036</v>
      </c>
      <c r="J294" s="22" t="s">
        <v>946</v>
      </c>
    </row>
    <row r="295">
      <c r="A295" s="71">
        <v>46158.0</v>
      </c>
      <c r="B295" s="22" t="s">
        <v>964</v>
      </c>
      <c r="C295" s="25" t="str">
        <f>IFERROR(__xludf.DUMMYFUNCTION("""COMPUTED_VALUE"""),"MCC046UC0596")</f>
        <v>MCC046UC0596</v>
      </c>
      <c r="D295" s="25" t="str">
        <f>IFERROR(__xludf.DUMMYFUNCTION("""COMPUTED_VALUE"""),"ETIQUETA ADESIVA COUCHE BRANCA - 105X150MM SAS")</f>
        <v>ETIQUETA ADESIVA COUCHE BRANCA - 105X150MM SAS</v>
      </c>
      <c r="E295" s="22">
        <v>60.0</v>
      </c>
      <c r="G295" s="22" t="s">
        <v>913</v>
      </c>
      <c r="H295" s="22" t="s">
        <v>615</v>
      </c>
      <c r="I295" s="22" t="s">
        <v>983</v>
      </c>
      <c r="J295" s="22" t="s">
        <v>946</v>
      </c>
    </row>
    <row r="296">
      <c r="A296" s="71">
        <v>46158.0</v>
      </c>
      <c r="B296" s="22" t="s">
        <v>971</v>
      </c>
      <c r="C296" s="25" t="str">
        <f>IFERROR(__xludf.DUMMYFUNCTION("""COMPUTED_VALUE"""),"EMC015MO0001")</f>
        <v>EMC015MO0001</v>
      </c>
      <c r="D296" s="25" t="str">
        <f>IFERROR(__xludf.DUMMYFUNCTION("""COMPUTED_VALUE"""),"RIBBON CERA PRETO 110MMX300M")</f>
        <v>RIBBON CERA PRETO 110MMX300M</v>
      </c>
      <c r="E296" s="22">
        <v>20.0</v>
      </c>
      <c r="G296" s="22" t="s">
        <v>913</v>
      </c>
      <c r="H296" s="22" t="s">
        <v>615</v>
      </c>
      <c r="I296" s="22" t="s">
        <v>983</v>
      </c>
      <c r="J296" s="22" t="s">
        <v>946</v>
      </c>
    </row>
    <row r="297">
      <c r="A297" s="71">
        <v>46158.0</v>
      </c>
      <c r="B297" s="22" t="s">
        <v>1001</v>
      </c>
      <c r="C297" s="25" t="str">
        <f>IFERROR(__xludf.DUMMYFUNCTION("""COMPUTED_VALUE"""),"30000109")</f>
        <v>30000109</v>
      </c>
      <c r="D297" s="25" t="str">
        <f>IFERROR(__xludf.DUMMYFUNCTION("""COMPUTED_VALUE"""),"- CAIXA EMB PAPELÃO CV 295X255X70")</f>
        <v>- CAIXA EMB PAPELÃO CV 295X255X70</v>
      </c>
      <c r="E297" s="22">
        <v>800.0</v>
      </c>
      <c r="G297" s="22" t="s">
        <v>913</v>
      </c>
      <c r="H297" s="22" t="s">
        <v>615</v>
      </c>
      <c r="I297" s="22" t="s">
        <v>1037</v>
      </c>
      <c r="J297" s="22" t="s">
        <v>946</v>
      </c>
    </row>
    <row r="298">
      <c r="A298" s="71">
        <v>46160.0</v>
      </c>
      <c r="B298" s="22" t="s">
        <v>921</v>
      </c>
      <c r="C298" s="25" t="str">
        <f>IFERROR(__xludf.DUMMYFUNCTION("""COMPUTED_VALUE"""),"MCC015UC0045")</f>
        <v>MCC015UC0045</v>
      </c>
      <c r="D298" s="25" t="str">
        <f>IFERROR(__xludf.DUMMYFUNCTION("""COMPUTED_VALUE"""),"FITA ADESIVA 69MM X 100M")</f>
        <v>FITA ADESIVA 69MM X 100M</v>
      </c>
      <c r="E298" s="22">
        <v>24.0</v>
      </c>
      <c r="G298" s="22" t="s">
        <v>913</v>
      </c>
      <c r="H298" s="22" t="s">
        <v>455</v>
      </c>
      <c r="I298" s="22" t="s">
        <v>735</v>
      </c>
      <c r="J298" s="22" t="s">
        <v>946</v>
      </c>
    </row>
    <row r="299">
      <c r="A299" s="71">
        <v>46161.0</v>
      </c>
      <c r="B299" s="22" t="s">
        <v>974</v>
      </c>
      <c r="C299" s="25" t="str">
        <f>IFERROR(__xludf.DUMMYFUNCTION("""COMPUTED_VALUE"""),"MCC046UC0659")</f>
        <v>MCC046UC0659</v>
      </c>
      <c r="D299" s="25" t="str">
        <f>IFERROR(__xludf.DUMMYFUNCTION("""COMPUTED_VALUE"""),"ETIQUETA 70MM PROFESSOR")</f>
        <v>ETIQUETA 70MM PROFESSOR</v>
      </c>
      <c r="E299" s="22">
        <v>20.0</v>
      </c>
      <c r="G299" s="22" t="s">
        <v>913</v>
      </c>
      <c r="H299" s="22" t="s">
        <v>200</v>
      </c>
      <c r="I299" s="22" t="s">
        <v>1038</v>
      </c>
      <c r="J299" s="22" t="s">
        <v>946</v>
      </c>
    </row>
    <row r="300">
      <c r="A300" s="71">
        <v>46161.0</v>
      </c>
      <c r="B300" s="22" t="s">
        <v>964</v>
      </c>
      <c r="C300" s="25" t="str">
        <f>IFERROR(__xludf.DUMMYFUNCTION("""COMPUTED_VALUE"""),"MCC046UC0596")</f>
        <v>MCC046UC0596</v>
      </c>
      <c r="D300" s="25" t="str">
        <f>IFERROR(__xludf.DUMMYFUNCTION("""COMPUTED_VALUE"""),"ETIQUETA ADESIVA COUCHE BRANCA - 105X150MM SAS")</f>
        <v>ETIQUETA ADESIVA COUCHE BRANCA - 105X150MM SAS</v>
      </c>
      <c r="E300" s="22">
        <v>30.0</v>
      </c>
      <c r="G300" s="22" t="s">
        <v>913</v>
      </c>
      <c r="H300" s="22" t="s">
        <v>200</v>
      </c>
      <c r="I300" s="22" t="s">
        <v>1034</v>
      </c>
      <c r="J300" s="22" t="s">
        <v>946</v>
      </c>
    </row>
    <row r="301">
      <c r="A301" s="71">
        <v>46161.0</v>
      </c>
      <c r="B301" s="22" t="s">
        <v>1039</v>
      </c>
      <c r="C301" s="25" t="str">
        <f>IFERROR(__xludf.DUMMYFUNCTION("""COMPUTED_VALUE"""),"MCC049UC0607")</f>
        <v>MCC049UC0607</v>
      </c>
      <c r="D301" s="25" t="str">
        <f>IFERROR(__xludf.DUMMYFUNCTION("""COMPUTED_VALUE"""),"PAPEL A3 RESMA COM 500 FLS")</f>
        <v>PAPEL A3 RESMA COM 500 FLS</v>
      </c>
      <c r="E301" s="22">
        <v>20.0</v>
      </c>
      <c r="G301" s="22" t="s">
        <v>913</v>
      </c>
      <c r="H301" s="22" t="s">
        <v>200</v>
      </c>
      <c r="I301" s="22" t="s">
        <v>1040</v>
      </c>
      <c r="J301" s="22" t="s">
        <v>946</v>
      </c>
    </row>
    <row r="302">
      <c r="A302" s="71">
        <v>46161.0</v>
      </c>
      <c r="B302" s="22" t="s">
        <v>980</v>
      </c>
      <c r="C302" s="25" t="str">
        <f>IFERROR(__xludf.DUMMYFUNCTION("""COMPUTED_VALUE"""),"30000107")</f>
        <v>30000107</v>
      </c>
      <c r="D302" s="25" t="str">
        <f>IFERROR(__xludf.DUMMYFUNCTION("""COMPUTED_VALUE"""),"- CAIXA 7")</f>
        <v>- CAIXA 7</v>
      </c>
      <c r="E302" s="22">
        <v>1200.0</v>
      </c>
      <c r="G302" s="22" t="s">
        <v>913</v>
      </c>
      <c r="H302" s="22" t="s">
        <v>200</v>
      </c>
      <c r="I302" s="22" t="s">
        <v>1041</v>
      </c>
      <c r="J302" s="22" t="s">
        <v>946</v>
      </c>
    </row>
    <row r="303">
      <c r="A303" s="71">
        <v>46161.0</v>
      </c>
      <c r="B303" s="22" t="s">
        <v>921</v>
      </c>
      <c r="C303" s="25" t="str">
        <f>IFERROR(__xludf.DUMMYFUNCTION("""COMPUTED_VALUE"""),"MCC015UC0045")</f>
        <v>MCC015UC0045</v>
      </c>
      <c r="D303" s="25" t="str">
        <f>IFERROR(__xludf.DUMMYFUNCTION("""COMPUTED_VALUE"""),"FITA ADESIVA 69MM X 100M")</f>
        <v>FITA ADESIVA 69MM X 100M</v>
      </c>
      <c r="E303" s="22">
        <v>24.0</v>
      </c>
      <c r="G303" s="22" t="s">
        <v>913</v>
      </c>
      <c r="H303" s="22" t="s">
        <v>235</v>
      </c>
      <c r="I303" s="22" t="s">
        <v>896</v>
      </c>
      <c r="J303" s="22" t="s">
        <v>946</v>
      </c>
    </row>
    <row r="304">
      <c r="A304" s="71">
        <v>46161.0</v>
      </c>
      <c r="B304" s="22" t="s">
        <v>921</v>
      </c>
      <c r="C304" s="25" t="str">
        <f>IFERROR(__xludf.DUMMYFUNCTION("""COMPUTED_VALUE"""),"MCC015UC0045")</f>
        <v>MCC015UC0045</v>
      </c>
      <c r="D304" s="25" t="str">
        <f>IFERROR(__xludf.DUMMYFUNCTION("""COMPUTED_VALUE"""),"FITA ADESIVA 69MM X 100M")</f>
        <v>FITA ADESIVA 69MM X 100M</v>
      </c>
      <c r="E304" s="22">
        <v>50.0</v>
      </c>
      <c r="G304" s="22" t="s">
        <v>913</v>
      </c>
      <c r="H304" s="22" t="s">
        <v>200</v>
      </c>
      <c r="I304" s="22" t="s">
        <v>1034</v>
      </c>
      <c r="J304" s="22" t="s">
        <v>946</v>
      </c>
    </row>
    <row r="305">
      <c r="A305" s="71">
        <v>46162.0</v>
      </c>
      <c r="B305" s="22" t="s">
        <v>922</v>
      </c>
      <c r="C305" s="25" t="str">
        <f>IFERROR(__xludf.DUMMYFUNCTION("""COMPUTED_VALUE"""),"MCC015UC0008")</f>
        <v>MCC015UC0008</v>
      </c>
      <c r="D305" s="25" t="str">
        <f>IFERROR(__xludf.DUMMYFUNCTION("""COMPUTED_VALUE"""),"FILME STRETCH 500X25")</f>
        <v>FILME STRETCH 500X25</v>
      </c>
      <c r="E305" s="22">
        <v>5.0</v>
      </c>
      <c r="G305" s="22" t="s">
        <v>916</v>
      </c>
      <c r="H305" s="22" t="s">
        <v>210</v>
      </c>
      <c r="I305" s="22" t="s">
        <v>639</v>
      </c>
      <c r="J305" s="22" t="s">
        <v>946</v>
      </c>
    </row>
    <row r="306">
      <c r="A306" s="71">
        <v>46162.0</v>
      </c>
      <c r="B306" s="22" t="s">
        <v>1001</v>
      </c>
      <c r="C306" s="25" t="str">
        <f>IFERROR(__xludf.DUMMYFUNCTION("""COMPUTED_VALUE"""),"30000109")</f>
        <v>30000109</v>
      </c>
      <c r="D306" s="25" t="str">
        <f>IFERROR(__xludf.DUMMYFUNCTION("""COMPUTED_VALUE"""),"- CAIXA EMB PAPELÃO CV 295X255X70")</f>
        <v>- CAIXA EMB PAPELÃO CV 295X255X70</v>
      </c>
      <c r="E306" s="22">
        <v>1200.0</v>
      </c>
      <c r="G306" s="22" t="s">
        <v>913</v>
      </c>
      <c r="H306" s="22" t="s">
        <v>1042</v>
      </c>
      <c r="I306" s="22" t="s">
        <v>1043</v>
      </c>
      <c r="J306" s="22" t="s">
        <v>946</v>
      </c>
    </row>
    <row r="307">
      <c r="A307" s="71">
        <v>46162.0</v>
      </c>
      <c r="B307" s="22" t="s">
        <v>1022</v>
      </c>
      <c r="C307" s="25" t="str">
        <f>IFERROR(__xludf.DUMMYFUNCTION("""COMPUTED_VALUE"""),"30000104")</f>
        <v>30000104</v>
      </c>
      <c r="D307" s="25" t="str">
        <f>IFERROR(__xludf.DUMMYFUNCTION("""COMPUTED_VALUE"""),"- CAIXA EMB PAPELÃO TF 345X290X280")</f>
        <v>- CAIXA EMB PAPELÃO TF 345X290X280</v>
      </c>
      <c r="E307" s="22">
        <v>900.0</v>
      </c>
      <c r="G307" s="22" t="s">
        <v>913</v>
      </c>
      <c r="H307" s="22" t="s">
        <v>1042</v>
      </c>
      <c r="I307" s="22" t="s">
        <v>1044</v>
      </c>
      <c r="J307" s="22" t="s">
        <v>946</v>
      </c>
    </row>
    <row r="308">
      <c r="A308" s="71">
        <v>46162.0</v>
      </c>
      <c r="B308" s="22" t="s">
        <v>922</v>
      </c>
      <c r="C308" s="25" t="str">
        <f>IFERROR(__xludf.DUMMYFUNCTION("""COMPUTED_VALUE"""),"MCC015UC0008")</f>
        <v>MCC015UC0008</v>
      </c>
      <c r="D308" s="25" t="str">
        <f>IFERROR(__xludf.DUMMYFUNCTION("""COMPUTED_VALUE"""),"FILME STRETCH 500X25")</f>
        <v>FILME STRETCH 500X25</v>
      </c>
      <c r="E308" s="22">
        <v>50.0</v>
      </c>
      <c r="G308" s="22" t="s">
        <v>635</v>
      </c>
      <c r="H308" s="22" t="s">
        <v>343</v>
      </c>
      <c r="I308" s="22" t="s">
        <v>819</v>
      </c>
      <c r="J308" s="22" t="s">
        <v>946</v>
      </c>
    </row>
    <row r="309">
      <c r="A309" s="71">
        <v>46163.0</v>
      </c>
      <c r="B309" s="22" t="s">
        <v>922</v>
      </c>
      <c r="C309" s="25" t="str">
        <f>IFERROR(__xludf.DUMMYFUNCTION("""COMPUTED_VALUE"""),"MCC015UC0008")</f>
        <v>MCC015UC0008</v>
      </c>
      <c r="D309" s="25" t="str">
        <f>IFERROR(__xludf.DUMMYFUNCTION("""COMPUTED_VALUE"""),"FILME STRETCH 500X25")</f>
        <v>FILME STRETCH 500X25</v>
      </c>
      <c r="E309" s="22">
        <v>15.0</v>
      </c>
      <c r="G309" s="22" t="s">
        <v>913</v>
      </c>
      <c r="H309" s="22" t="s">
        <v>615</v>
      </c>
      <c r="I309" s="22" t="s">
        <v>983</v>
      </c>
      <c r="J309" s="22" t="s">
        <v>946</v>
      </c>
    </row>
    <row r="310">
      <c r="A310" s="71">
        <v>46163.0</v>
      </c>
      <c r="B310" s="22" t="s">
        <v>922</v>
      </c>
      <c r="C310" s="25" t="str">
        <f>IFERROR(__xludf.DUMMYFUNCTION("""COMPUTED_VALUE"""),"MCC015UC0008")</f>
        <v>MCC015UC0008</v>
      </c>
      <c r="D310" s="25" t="str">
        <f>IFERROR(__xludf.DUMMYFUNCTION("""COMPUTED_VALUE"""),"FILME STRETCH 500X25")</f>
        <v>FILME STRETCH 500X25</v>
      </c>
      <c r="E310" s="22">
        <v>1.0</v>
      </c>
      <c r="G310" s="22" t="s">
        <v>567</v>
      </c>
      <c r="H310" s="22" t="s">
        <v>515</v>
      </c>
      <c r="I310" s="22" t="s">
        <v>1045</v>
      </c>
      <c r="J310" s="22" t="s">
        <v>946</v>
      </c>
    </row>
    <row r="311">
      <c r="A311" s="71">
        <v>46164.0</v>
      </c>
      <c r="B311" s="22" t="s">
        <v>1012</v>
      </c>
      <c r="C311" s="25" t="str">
        <f>IFERROR(__xludf.DUMMYFUNCTION("""COMPUTED_VALUE"""),"MCC049UC0288")</f>
        <v>MCC049UC0288</v>
      </c>
      <c r="D311" s="25" t="str">
        <f>IFERROR(__xludf.DUMMYFUNCTION("""COMPUTED_VALUE"""),"FITILHO POLIPROPILENO P/EMBALAGEM")</f>
        <v>FITILHO POLIPROPILENO P/EMBALAGEM</v>
      </c>
      <c r="E311" s="22">
        <v>1.0</v>
      </c>
      <c r="G311" s="22" t="s">
        <v>913</v>
      </c>
      <c r="H311" s="22" t="s">
        <v>235</v>
      </c>
      <c r="I311" s="22" t="s">
        <v>1046</v>
      </c>
      <c r="J311" s="22" t="s">
        <v>946</v>
      </c>
    </row>
    <row r="312">
      <c r="A312" s="71">
        <v>46164.0</v>
      </c>
      <c r="B312" s="22" t="s">
        <v>974</v>
      </c>
      <c r="C312" s="25" t="str">
        <f>IFERROR(__xludf.DUMMYFUNCTION("""COMPUTED_VALUE"""),"MCC046UC0659")</f>
        <v>MCC046UC0659</v>
      </c>
      <c r="D312" s="25" t="str">
        <f>IFERROR(__xludf.DUMMYFUNCTION("""COMPUTED_VALUE"""),"ETIQUETA 70MM PROFESSOR")</f>
        <v>ETIQUETA 70MM PROFESSOR</v>
      </c>
      <c r="E312" s="22">
        <v>5.0</v>
      </c>
      <c r="G312" s="22" t="s">
        <v>913</v>
      </c>
      <c r="H312" s="22" t="s">
        <v>455</v>
      </c>
      <c r="I312" s="22" t="s">
        <v>1047</v>
      </c>
      <c r="J312" s="22" t="s">
        <v>946</v>
      </c>
    </row>
    <row r="313">
      <c r="A313" s="71">
        <v>46164.0</v>
      </c>
      <c r="B313" s="22" t="s">
        <v>991</v>
      </c>
      <c r="C313" s="25" t="str">
        <f>IFERROR(__xludf.DUMMYFUNCTION("""COMPUTED_VALUE"""),"MCC015UC0047")</f>
        <v>MCC015UC0047</v>
      </c>
      <c r="D313" s="25" t="str">
        <f>IFERROR(__xludf.DUMMYFUNCTION("""COMPUTED_VALUE"""),"ETIQUETA CORTESIA")</f>
        <v>ETIQUETA CORTESIA</v>
      </c>
      <c r="E313" s="22">
        <v>5.0</v>
      </c>
      <c r="G313" s="22" t="s">
        <v>913</v>
      </c>
      <c r="H313" s="22" t="s">
        <v>455</v>
      </c>
      <c r="I313" s="22" t="s">
        <v>1047</v>
      </c>
      <c r="J313" s="22" t="s">
        <v>946</v>
      </c>
    </row>
    <row r="314">
      <c r="A314" s="71">
        <v>46164.0</v>
      </c>
      <c r="B314" s="22" t="s">
        <v>975</v>
      </c>
      <c r="C314" s="25" t="str">
        <f>IFERROR(__xludf.DUMMYFUNCTION("""COMPUTED_VALUE"""),"MCC046UC0660")</f>
        <v>MCC046UC0660</v>
      </c>
      <c r="D314" s="25" t="str">
        <f>IFERROR(__xludf.DUMMYFUNCTION("""COMPUTED_VALUE"""),"ETIQUETA 70MM COORDENACAO")</f>
        <v>ETIQUETA 70MM COORDENACAO</v>
      </c>
      <c r="E314" s="22">
        <v>5.0</v>
      </c>
      <c r="G314" s="22" t="s">
        <v>913</v>
      </c>
      <c r="H314" s="22" t="s">
        <v>455</v>
      </c>
      <c r="I314" s="22" t="s">
        <v>1048</v>
      </c>
      <c r="J314" s="22" t="s">
        <v>946</v>
      </c>
    </row>
    <row r="315">
      <c r="A315" s="71">
        <v>46164.0</v>
      </c>
      <c r="B315" s="22" t="s">
        <v>964</v>
      </c>
      <c r="C315" s="25" t="str">
        <f>IFERROR(__xludf.DUMMYFUNCTION("""COMPUTED_VALUE"""),"MCC046UC0596")</f>
        <v>MCC046UC0596</v>
      </c>
      <c r="D315" s="25" t="str">
        <f>IFERROR(__xludf.DUMMYFUNCTION("""COMPUTED_VALUE"""),"ETIQUETA ADESIVA COUCHE BRANCA - 105X150MM SAS")</f>
        <v>ETIQUETA ADESIVA COUCHE BRANCA - 105X150MM SAS</v>
      </c>
      <c r="E315" s="22">
        <v>30.0</v>
      </c>
      <c r="G315" s="22" t="s">
        <v>913</v>
      </c>
      <c r="H315" s="22" t="s">
        <v>455</v>
      </c>
      <c r="I315" s="22" t="s">
        <v>1047</v>
      </c>
      <c r="J315" s="22" t="s">
        <v>946</v>
      </c>
    </row>
    <row r="316">
      <c r="A316" s="71">
        <v>46164.0</v>
      </c>
      <c r="B316" s="22" t="s">
        <v>964</v>
      </c>
      <c r="C316" s="25" t="str">
        <f>IFERROR(__xludf.DUMMYFUNCTION("""COMPUTED_VALUE"""),"MCC046UC0596")</f>
        <v>MCC046UC0596</v>
      </c>
      <c r="D316" s="25" t="str">
        <f>IFERROR(__xludf.DUMMYFUNCTION("""COMPUTED_VALUE"""),"ETIQUETA ADESIVA COUCHE BRANCA - 105X150MM SAS")</f>
        <v>ETIQUETA ADESIVA COUCHE BRANCA - 105X150MM SAS</v>
      </c>
      <c r="E316" s="22">
        <v>6.0</v>
      </c>
      <c r="G316" s="22" t="s">
        <v>567</v>
      </c>
      <c r="H316" s="22" t="s">
        <v>232</v>
      </c>
      <c r="I316" s="22" t="s">
        <v>1049</v>
      </c>
      <c r="J316" s="22" t="s">
        <v>946</v>
      </c>
    </row>
    <row r="317">
      <c r="A317" s="71">
        <v>46164.0</v>
      </c>
      <c r="B317" s="22" t="s">
        <v>1001</v>
      </c>
      <c r="C317" s="25" t="str">
        <f>IFERROR(__xludf.DUMMYFUNCTION("""COMPUTED_VALUE"""),"30000109")</f>
        <v>30000109</v>
      </c>
      <c r="D317" s="25" t="str">
        <f>IFERROR(__xludf.DUMMYFUNCTION("""COMPUTED_VALUE"""),"- CAIXA EMB PAPELÃO CV 295X255X70")</f>
        <v>- CAIXA EMB PAPELÃO CV 295X255X70</v>
      </c>
      <c r="E317" s="22">
        <v>2400.0</v>
      </c>
      <c r="G317" s="22" t="s">
        <v>913</v>
      </c>
      <c r="H317" s="22" t="s">
        <v>1042</v>
      </c>
      <c r="I317" s="22" t="s">
        <v>1050</v>
      </c>
      <c r="J317" s="22" t="s">
        <v>946</v>
      </c>
    </row>
    <row r="318">
      <c r="A318" s="71">
        <v>46168.0</v>
      </c>
      <c r="B318" s="22" t="s">
        <v>919</v>
      </c>
      <c r="C318" s="25" t="str">
        <f>IFERROR(__xludf.DUMMYFUNCTION("""COMPUTED_VALUE"""),"MCC046UC0598")</f>
        <v>MCC046UC0598</v>
      </c>
      <c r="D318" s="25" t="str">
        <f>IFERROR(__xludf.DUMMYFUNCTION("""COMPUTED_VALUE"""),"ETIQUETA ADESIVA COUCHE AZUL - 105X150MM SAS")</f>
        <v>ETIQUETA ADESIVA COUCHE AZUL - 105X150MM SAS</v>
      </c>
      <c r="E318" s="22">
        <v>30.0</v>
      </c>
      <c r="G318" s="22" t="s">
        <v>913</v>
      </c>
      <c r="H318" s="22" t="s">
        <v>615</v>
      </c>
      <c r="I318" s="22" t="s">
        <v>983</v>
      </c>
      <c r="J318" s="22" t="s">
        <v>946</v>
      </c>
    </row>
    <row r="319">
      <c r="A319" s="71">
        <v>46168.0</v>
      </c>
      <c r="B319" s="22" t="s">
        <v>921</v>
      </c>
      <c r="C319" s="25" t="str">
        <f>IFERROR(__xludf.DUMMYFUNCTION("""COMPUTED_VALUE"""),"MCC015UC0045")</f>
        <v>MCC015UC0045</v>
      </c>
      <c r="D319" s="25" t="str">
        <f>IFERROR(__xludf.DUMMYFUNCTION("""COMPUTED_VALUE"""),"FITA ADESIVA 69MM X 100M")</f>
        <v>FITA ADESIVA 69MM X 100M</v>
      </c>
      <c r="E319" s="22">
        <v>11.0</v>
      </c>
      <c r="G319" s="22" t="s">
        <v>913</v>
      </c>
      <c r="H319" s="22" t="s">
        <v>235</v>
      </c>
      <c r="I319" s="22" t="s">
        <v>301</v>
      </c>
      <c r="J319" s="22" t="s">
        <v>946</v>
      </c>
    </row>
    <row r="320">
      <c r="A320" s="71">
        <v>46168.0</v>
      </c>
      <c r="B320" s="22" t="s">
        <v>980</v>
      </c>
      <c r="C320" s="25" t="str">
        <f>IFERROR(__xludf.DUMMYFUNCTION("""COMPUTED_VALUE"""),"30000107")</f>
        <v>30000107</v>
      </c>
      <c r="D320" s="25" t="str">
        <f>IFERROR(__xludf.DUMMYFUNCTION("""COMPUTED_VALUE"""),"- CAIXA 7")</f>
        <v>- CAIXA 7</v>
      </c>
      <c r="E320" s="22">
        <v>1200.0</v>
      </c>
      <c r="G320" s="22" t="s">
        <v>913</v>
      </c>
      <c r="H320" s="22" t="s">
        <v>1042</v>
      </c>
      <c r="I320" s="22" t="s">
        <v>1051</v>
      </c>
      <c r="J320" s="22" t="s">
        <v>946</v>
      </c>
    </row>
    <row r="321">
      <c r="A321" s="71">
        <v>46168.0</v>
      </c>
      <c r="B321" s="22" t="s">
        <v>948</v>
      </c>
      <c r="C321" s="25" t="str">
        <f>IFERROR(__xludf.DUMMYFUNCTION("""COMPUTED_VALUE"""),"MCC046UC0687")</f>
        <v>MCC046UC0687</v>
      </c>
      <c r="D321" s="25" t="str">
        <f>IFERROR(__xludf.DUMMYFUNCTION("""COMPUTED_VALUE"""),"ETIQUETA COUCHE - 100X100X 1")</f>
        <v>ETIQUETA COUCHE - 100X100X 1</v>
      </c>
      <c r="E321" s="22">
        <v>10.0</v>
      </c>
      <c r="G321" s="22" t="s">
        <v>913</v>
      </c>
      <c r="H321" s="22" t="s">
        <v>900</v>
      </c>
      <c r="I321" s="22" t="s">
        <v>901</v>
      </c>
      <c r="J321" s="22" t="s">
        <v>946</v>
      </c>
    </row>
    <row r="322">
      <c r="A322" s="71">
        <v>46168.0</v>
      </c>
      <c r="B322" s="22" t="s">
        <v>949</v>
      </c>
      <c r="C322" s="25" t="str">
        <f>IFERROR(__xludf.DUMMYFUNCTION("""COMPUTED_VALUE"""),"MCC046UC0082")</f>
        <v>MCC046UC0082</v>
      </c>
      <c r="D322" s="25" t="str">
        <f>IFERROR(__xludf.DUMMYFUNCTION("""COMPUTED_VALUE"""),"PAPEL SULFITE A4 75G 500 FOLHAS")</f>
        <v>PAPEL SULFITE A4 75G 500 FOLHAS</v>
      </c>
      <c r="E322" s="22">
        <v>10.0</v>
      </c>
      <c r="G322" s="22" t="s">
        <v>913</v>
      </c>
      <c r="H322" s="22" t="s">
        <v>900</v>
      </c>
      <c r="I322" s="22" t="s">
        <v>901</v>
      </c>
      <c r="J322" s="22" t="s">
        <v>946</v>
      </c>
    </row>
    <row r="323">
      <c r="A323" s="71">
        <v>46168.0</v>
      </c>
      <c r="B323" s="22" t="s">
        <v>1052</v>
      </c>
      <c r="C323" s="25" t="str">
        <f>IFERROR(__xludf.DUMMYFUNCTION("""COMPUTED_VALUE"""),"MCC015C00002")</f>
        <v>MCC015C00002</v>
      </c>
      <c r="D323" s="25" t="str">
        <f>IFERROR(__xludf.DUMMYFUNCTION("""COMPUTED_VALUE"""),"FILME STRETCH MANUAL 500X0.025 - AZUL")</f>
        <v>FILME STRETCH MANUAL 500X0.025 - AZUL</v>
      </c>
      <c r="E323" s="22">
        <v>1.0</v>
      </c>
      <c r="G323" s="22" t="s">
        <v>635</v>
      </c>
      <c r="H323" s="22" t="s">
        <v>343</v>
      </c>
      <c r="I323" s="22" t="s">
        <v>1053</v>
      </c>
      <c r="J323" s="22" t="s">
        <v>946</v>
      </c>
    </row>
    <row r="324">
      <c r="A324" s="71">
        <v>46168.0</v>
      </c>
      <c r="B324" s="22" t="s">
        <v>950</v>
      </c>
      <c r="C324" s="25" t="str">
        <f>IFERROR(__xludf.DUMMYFUNCTION("""COMPUTED_VALUE"""),"MCC046UC0695")</f>
        <v>MCC046UC0695</v>
      </c>
      <c r="D324" s="25" t="str">
        <f>IFERROR(__xludf.DUMMYFUNCTION("""COMPUTED_VALUE"""),"ETIQUETA COUCHE 98X50X1")</f>
        <v>ETIQUETA COUCHE 98X50X1</v>
      </c>
      <c r="E324" s="22">
        <v>8.0</v>
      </c>
      <c r="G324" s="22" t="s">
        <v>635</v>
      </c>
      <c r="H324" s="22" t="s">
        <v>270</v>
      </c>
      <c r="I324" s="22" t="s">
        <v>1054</v>
      </c>
      <c r="J324" s="22" t="s">
        <v>946</v>
      </c>
    </row>
    <row r="325">
      <c r="A325" s="71">
        <v>46169.0</v>
      </c>
      <c r="B325" s="22" t="s">
        <v>949</v>
      </c>
      <c r="C325" s="25" t="str">
        <f>IFERROR(__xludf.DUMMYFUNCTION("""COMPUTED_VALUE"""),"MCC046UC0082")</f>
        <v>MCC046UC0082</v>
      </c>
      <c r="D325" s="25" t="str">
        <f>IFERROR(__xludf.DUMMYFUNCTION("""COMPUTED_VALUE"""),"PAPEL SULFITE A4 75G 500 FOLHAS")</f>
        <v>PAPEL SULFITE A4 75G 500 FOLHAS</v>
      </c>
      <c r="E325" s="22">
        <v>10.0</v>
      </c>
      <c r="G325" s="22" t="s">
        <v>567</v>
      </c>
      <c r="H325" s="22" t="s">
        <v>232</v>
      </c>
      <c r="I325" s="22" t="s">
        <v>1049</v>
      </c>
      <c r="J325" s="22" t="s">
        <v>946</v>
      </c>
    </row>
    <row r="326">
      <c r="A326" s="71">
        <v>46169.0</v>
      </c>
      <c r="B326" s="22" t="s">
        <v>973</v>
      </c>
      <c r="C326" s="25" t="str">
        <f>IFERROR(__xludf.DUMMYFUNCTION("""COMPUTED_VALUE"""),"MCC015UC0038")</f>
        <v>MCC015UC0038</v>
      </c>
      <c r="D326" s="25" t="str">
        <f>IFERROR(__xludf.DUMMYFUNCTION("""COMPUTED_VALUE"""),"BOBINA SHRINK 500MM")</f>
        <v>BOBINA SHRINK 500MM</v>
      </c>
      <c r="E326" s="22">
        <v>1.0</v>
      </c>
      <c r="G326" s="22" t="s">
        <v>916</v>
      </c>
      <c r="H326" s="22" t="s">
        <v>210</v>
      </c>
      <c r="I326" s="22" t="s">
        <v>1055</v>
      </c>
      <c r="J326" s="22" t="s">
        <v>946</v>
      </c>
    </row>
    <row r="327">
      <c r="A327" s="71">
        <v>46169.0</v>
      </c>
      <c r="B327" s="22" t="s">
        <v>922</v>
      </c>
      <c r="C327" s="25" t="str">
        <f>IFERROR(__xludf.DUMMYFUNCTION("""COMPUTED_VALUE"""),"MCC015UC0008")</f>
        <v>MCC015UC0008</v>
      </c>
      <c r="D327" s="25" t="str">
        <f>IFERROR(__xludf.DUMMYFUNCTION("""COMPUTED_VALUE"""),"FILME STRETCH 500X25")</f>
        <v>FILME STRETCH 500X25</v>
      </c>
      <c r="E327" s="22">
        <v>5.0</v>
      </c>
      <c r="G327" s="22" t="s">
        <v>916</v>
      </c>
      <c r="H327" s="22" t="s">
        <v>210</v>
      </c>
      <c r="I327" s="22" t="s">
        <v>639</v>
      </c>
      <c r="J327" s="22" t="s">
        <v>946</v>
      </c>
    </row>
    <row r="328">
      <c r="A328" s="71">
        <v>46169.0</v>
      </c>
      <c r="B328" s="22" t="s">
        <v>921</v>
      </c>
      <c r="C328" s="25" t="str">
        <f>IFERROR(__xludf.DUMMYFUNCTION("""COMPUTED_VALUE"""),"MCC015UC0045")</f>
        <v>MCC015UC0045</v>
      </c>
      <c r="D328" s="25" t="str">
        <f>IFERROR(__xludf.DUMMYFUNCTION("""COMPUTED_VALUE"""),"FITA ADESIVA 69MM X 100M")</f>
        <v>FITA ADESIVA 69MM X 100M</v>
      </c>
      <c r="E328" s="22">
        <v>24.0</v>
      </c>
      <c r="G328" s="22" t="s">
        <v>913</v>
      </c>
      <c r="H328" s="22" t="s">
        <v>235</v>
      </c>
      <c r="I328" s="22" t="s">
        <v>965</v>
      </c>
      <c r="J328" s="22" t="s">
        <v>946</v>
      </c>
    </row>
    <row r="329">
      <c r="A329" s="71">
        <v>46169.0</v>
      </c>
      <c r="B329" s="22" t="s">
        <v>921</v>
      </c>
      <c r="C329" s="25" t="str">
        <f>IFERROR(__xludf.DUMMYFUNCTION("""COMPUTED_VALUE"""),"MCC015UC0045")</f>
        <v>MCC015UC0045</v>
      </c>
      <c r="D329" s="25" t="str">
        <f>IFERROR(__xludf.DUMMYFUNCTION("""COMPUTED_VALUE"""),"FITA ADESIVA 69MM X 100M")</f>
        <v>FITA ADESIVA 69MM X 100M</v>
      </c>
      <c r="E329" s="22">
        <v>24.0</v>
      </c>
      <c r="G329" s="22" t="s">
        <v>913</v>
      </c>
      <c r="H329" s="22" t="s">
        <v>235</v>
      </c>
      <c r="I329" s="22" t="s">
        <v>1056</v>
      </c>
      <c r="J329" s="22" t="s">
        <v>946</v>
      </c>
    </row>
    <row r="330">
      <c r="A330" s="71">
        <v>46170.0</v>
      </c>
      <c r="B330" s="22" t="s">
        <v>980</v>
      </c>
      <c r="C330" s="25" t="str">
        <f>IFERROR(__xludf.DUMMYFUNCTION("""COMPUTED_VALUE"""),"30000107")</f>
        <v>30000107</v>
      </c>
      <c r="D330" s="25" t="str">
        <f>IFERROR(__xludf.DUMMYFUNCTION("""COMPUTED_VALUE"""),"- CAIXA 7")</f>
        <v>- CAIXA 7</v>
      </c>
      <c r="E330" s="22">
        <v>1200.0</v>
      </c>
      <c r="G330" s="22" t="s">
        <v>913</v>
      </c>
      <c r="H330" s="22" t="s">
        <v>1042</v>
      </c>
      <c r="I330" s="22" t="s">
        <v>1036</v>
      </c>
      <c r="J330" s="22" t="s">
        <v>946</v>
      </c>
    </row>
    <row r="331">
      <c r="A331" s="71">
        <v>46170.0</v>
      </c>
      <c r="B331" s="22" t="s">
        <v>1025</v>
      </c>
      <c r="C331" s="25" t="str">
        <f>IFERROR(__xludf.DUMMYFUNCTION("""COMPUTED_VALUE"""),"30000110")</f>
        <v>30000110</v>
      </c>
      <c r="D331" s="25" t="str">
        <f>IFERROR(__xludf.DUMMYFUNCTION("""COMPUTED_VALUE"""),"- CAIXA EMB PAPELÃO CV 375X285X70")</f>
        <v>- CAIXA EMB PAPELÃO CV 375X285X70</v>
      </c>
      <c r="E331" s="22">
        <v>800.0</v>
      </c>
      <c r="G331" s="22" t="s">
        <v>913</v>
      </c>
      <c r="H331" s="22" t="s">
        <v>1042</v>
      </c>
      <c r="I331" s="22" t="s">
        <v>1057</v>
      </c>
      <c r="J331" s="22" t="s">
        <v>946</v>
      </c>
    </row>
    <row r="332">
      <c r="A332" s="71">
        <v>46172.0</v>
      </c>
      <c r="B332" s="22" t="s">
        <v>921</v>
      </c>
      <c r="C332" s="25" t="str">
        <f>IFERROR(__xludf.DUMMYFUNCTION("""COMPUTED_VALUE"""),"MCC015UC0045")</f>
        <v>MCC015UC0045</v>
      </c>
      <c r="D332" s="25" t="str">
        <f>IFERROR(__xludf.DUMMYFUNCTION("""COMPUTED_VALUE"""),"FITA ADESIVA 69MM X 100M")</f>
        <v>FITA ADESIVA 69MM X 100M</v>
      </c>
      <c r="E332" s="22">
        <v>24.0</v>
      </c>
      <c r="G332" s="22" t="s">
        <v>913</v>
      </c>
      <c r="H332" s="22" t="s">
        <v>235</v>
      </c>
      <c r="I332" s="22" t="s">
        <v>884</v>
      </c>
      <c r="J332" s="22" t="s">
        <v>946</v>
      </c>
    </row>
    <row r="333">
      <c r="A333" s="71">
        <v>46172.0</v>
      </c>
      <c r="B333" s="22" t="s">
        <v>1025</v>
      </c>
      <c r="C333" s="25" t="str">
        <f>IFERROR(__xludf.DUMMYFUNCTION("""COMPUTED_VALUE"""),"30000110")</f>
        <v>30000110</v>
      </c>
      <c r="D333" s="25" t="str">
        <f>IFERROR(__xludf.DUMMYFUNCTION("""COMPUTED_VALUE"""),"- CAIXA EMB PAPELÃO CV 375X285X70")</f>
        <v>- CAIXA EMB PAPELÃO CV 375X285X70</v>
      </c>
      <c r="E333" s="22">
        <v>800.0</v>
      </c>
      <c r="G333" s="22" t="s">
        <v>913</v>
      </c>
      <c r="H333" s="22" t="s">
        <v>1042</v>
      </c>
      <c r="I333" s="22" t="s">
        <v>1050</v>
      </c>
      <c r="J333" s="22" t="s">
        <v>946</v>
      </c>
    </row>
    <row r="334">
      <c r="A334" s="71">
        <v>46172.0</v>
      </c>
      <c r="B334" s="22" t="s">
        <v>972</v>
      </c>
      <c r="C334" s="25" t="str">
        <f>IFERROR(__xludf.DUMMYFUNCTION("""COMPUTED_VALUE"""),"MCC046UC0599")</f>
        <v>MCC046UC0599</v>
      </c>
      <c r="D334" s="25" t="str">
        <f>IFERROR(__xludf.DUMMYFUNCTION("""COMPUTED_VALUE"""),"ETIQUETA ADESIVA COUCHE AMARELA - 105X150MM SAS")</f>
        <v>ETIQUETA ADESIVA COUCHE AMARELA - 105X150MM SAS</v>
      </c>
      <c r="E334" s="22">
        <v>9.0</v>
      </c>
      <c r="G334" s="22" t="s">
        <v>913</v>
      </c>
      <c r="H334" s="22" t="s">
        <v>455</v>
      </c>
      <c r="I334" s="22" t="s">
        <v>908</v>
      </c>
      <c r="J334" s="22" t="s">
        <v>946</v>
      </c>
    </row>
    <row r="335">
      <c r="A335" s="71">
        <v>46174.0</v>
      </c>
      <c r="B335" s="22" t="s">
        <v>949</v>
      </c>
      <c r="C335" s="25" t="str">
        <f>IFERROR(__xludf.DUMMYFUNCTION("""COMPUTED_VALUE"""),"MCC046UC0082")</f>
        <v>MCC046UC0082</v>
      </c>
      <c r="D335" s="25" t="str">
        <f>IFERROR(__xludf.DUMMYFUNCTION("""COMPUTED_VALUE"""),"PAPEL SULFITE A4 75G 500 FOLHAS")</f>
        <v>PAPEL SULFITE A4 75G 500 FOLHAS</v>
      </c>
      <c r="E335" s="22">
        <v>4.0</v>
      </c>
      <c r="G335" s="22" t="s">
        <v>913</v>
      </c>
      <c r="H335" s="22" t="s">
        <v>967</v>
      </c>
      <c r="I335" s="22" t="s">
        <v>1058</v>
      </c>
      <c r="J335" s="22" t="s">
        <v>946</v>
      </c>
    </row>
    <row r="336">
      <c r="A336" s="71">
        <v>46174.0</v>
      </c>
      <c r="B336" s="22" t="s">
        <v>949</v>
      </c>
      <c r="C336" s="25" t="str">
        <f>IFERROR(__xludf.DUMMYFUNCTION("""COMPUTED_VALUE"""),"MCC046UC0082")</f>
        <v>MCC046UC0082</v>
      </c>
      <c r="D336" s="25" t="str">
        <f>IFERROR(__xludf.DUMMYFUNCTION("""COMPUTED_VALUE"""),"PAPEL SULFITE A4 75G 500 FOLHAS")</f>
        <v>PAPEL SULFITE A4 75G 500 FOLHAS</v>
      </c>
      <c r="E336" s="22">
        <v>4.0</v>
      </c>
      <c r="G336" s="22" t="s">
        <v>913</v>
      </c>
      <c r="H336" s="22" t="s">
        <v>967</v>
      </c>
      <c r="I336" s="22" t="s">
        <v>1059</v>
      </c>
      <c r="J336" s="22" t="s">
        <v>946</v>
      </c>
    </row>
    <row r="337">
      <c r="A337" s="71">
        <v>46174.0</v>
      </c>
      <c r="B337" s="22" t="s">
        <v>921</v>
      </c>
      <c r="C337" s="25" t="str">
        <f>IFERROR(__xludf.DUMMYFUNCTION("""COMPUTED_VALUE"""),"MCC015UC0045")</f>
        <v>MCC015UC0045</v>
      </c>
      <c r="D337" s="25" t="str">
        <f>IFERROR(__xludf.DUMMYFUNCTION("""COMPUTED_VALUE"""),"FITA ADESIVA 69MM X 100M")</f>
        <v>FITA ADESIVA 69MM X 100M</v>
      </c>
      <c r="E337" s="22">
        <v>10.0</v>
      </c>
      <c r="G337" s="22" t="s">
        <v>635</v>
      </c>
      <c r="H337" s="22" t="s">
        <v>297</v>
      </c>
      <c r="I337" s="22" t="s">
        <v>1060</v>
      </c>
      <c r="J337" s="22" t="s">
        <v>946</v>
      </c>
    </row>
    <row r="338">
      <c r="A338" s="71">
        <v>46174.0</v>
      </c>
      <c r="B338" s="22" t="s">
        <v>921</v>
      </c>
      <c r="C338" s="25" t="str">
        <f>IFERROR(__xludf.DUMMYFUNCTION("""COMPUTED_VALUE"""),"MCC015UC0045")</f>
        <v>MCC015UC0045</v>
      </c>
      <c r="D338" s="25" t="str">
        <f>IFERROR(__xludf.DUMMYFUNCTION("""COMPUTED_VALUE"""),"FITA ADESIVA 69MM X 100M")</f>
        <v>FITA ADESIVA 69MM X 100M</v>
      </c>
      <c r="E338" s="22">
        <v>14.0</v>
      </c>
      <c r="G338" s="22" t="s">
        <v>635</v>
      </c>
      <c r="H338" s="22" t="s">
        <v>297</v>
      </c>
      <c r="I338" s="22" t="s">
        <v>1061</v>
      </c>
      <c r="J338" s="22" t="s">
        <v>946</v>
      </c>
    </row>
    <row r="339">
      <c r="A339" s="71">
        <v>46174.0</v>
      </c>
      <c r="B339" s="22" t="s">
        <v>921</v>
      </c>
      <c r="C339" s="25" t="str">
        <f>IFERROR(__xludf.DUMMYFUNCTION("""COMPUTED_VALUE"""),"MCC015UC0045")</f>
        <v>MCC015UC0045</v>
      </c>
      <c r="D339" s="25" t="str">
        <f>IFERROR(__xludf.DUMMYFUNCTION("""COMPUTED_VALUE"""),"FITA ADESIVA 69MM X 100M")</f>
        <v>FITA ADESIVA 69MM X 100M</v>
      </c>
      <c r="E339" s="22">
        <v>48.0</v>
      </c>
      <c r="G339" s="22" t="s">
        <v>913</v>
      </c>
      <c r="H339" s="22" t="s">
        <v>235</v>
      </c>
      <c r="I339" s="22" t="s">
        <v>1062</v>
      </c>
      <c r="J339" s="22" t="s">
        <v>946</v>
      </c>
    </row>
    <row r="340">
      <c r="A340" s="71">
        <v>46174.0</v>
      </c>
      <c r="B340" s="22" t="s">
        <v>948</v>
      </c>
      <c r="C340" s="25" t="str">
        <f>IFERROR(__xludf.DUMMYFUNCTION("""COMPUTED_VALUE"""),"MCC046UC0687")</f>
        <v>MCC046UC0687</v>
      </c>
      <c r="D340" s="25" t="str">
        <f>IFERROR(__xludf.DUMMYFUNCTION("""COMPUTED_VALUE"""),"ETIQUETA COUCHE - 100X100X 1")</f>
        <v>ETIQUETA COUCHE - 100X100X 1</v>
      </c>
      <c r="E340" s="22">
        <v>10.0</v>
      </c>
      <c r="G340" s="22" t="s">
        <v>913</v>
      </c>
      <c r="H340" s="22" t="s">
        <v>900</v>
      </c>
      <c r="I340" s="22" t="s">
        <v>1063</v>
      </c>
      <c r="J340" s="22" t="s">
        <v>946</v>
      </c>
    </row>
    <row r="341">
      <c r="A341" s="71">
        <v>46174.0</v>
      </c>
      <c r="B341" s="22" t="s">
        <v>964</v>
      </c>
      <c r="C341" s="25" t="str">
        <f>IFERROR(__xludf.DUMMYFUNCTION("""COMPUTED_VALUE"""),"MCC046UC0596")</f>
        <v>MCC046UC0596</v>
      </c>
      <c r="D341" s="25" t="str">
        <f>IFERROR(__xludf.DUMMYFUNCTION("""COMPUTED_VALUE"""),"ETIQUETA ADESIVA COUCHE BRANCA - 105X150MM SAS")</f>
        <v>ETIQUETA ADESIVA COUCHE BRANCA - 105X150MM SAS</v>
      </c>
      <c r="E341" s="22">
        <v>15.0</v>
      </c>
      <c r="G341" s="22" t="s">
        <v>913</v>
      </c>
      <c r="H341" s="22" t="s">
        <v>235</v>
      </c>
      <c r="I341" s="22" t="s">
        <v>237</v>
      </c>
      <c r="J341" s="22" t="s">
        <v>946</v>
      </c>
    </row>
    <row r="342">
      <c r="A342" s="71">
        <v>46175.0</v>
      </c>
      <c r="B342" s="22" t="s">
        <v>997</v>
      </c>
      <c r="C342" s="25" t="str">
        <f>IFERROR(__xludf.DUMMYFUNCTION("""COMPUTED_VALUE"""),"MCC046UC0048")</f>
        <v>MCC046UC0048</v>
      </c>
      <c r="D342" s="25" t="str">
        <f>IFERROR(__xludf.DUMMYFUNCTION("""COMPUTED_VALUE"""),"PAPEL MACULATURA GROSSO - KRAFT - 1,20CM")</f>
        <v>PAPEL MACULATURA GROSSO - KRAFT - 1,20CM</v>
      </c>
      <c r="E342" s="22">
        <v>500.0</v>
      </c>
      <c r="G342" s="22" t="s">
        <v>913</v>
      </c>
      <c r="H342" s="22" t="s">
        <v>1042</v>
      </c>
      <c r="I342" s="22" t="s">
        <v>1064</v>
      </c>
      <c r="J342" s="22" t="s">
        <v>946</v>
      </c>
    </row>
    <row r="343">
      <c r="A343" s="71">
        <v>46175.0</v>
      </c>
      <c r="B343" s="22" t="s">
        <v>922</v>
      </c>
      <c r="C343" s="25" t="str">
        <f>IFERROR(__xludf.DUMMYFUNCTION("""COMPUTED_VALUE"""),"MCC015UC0008")</f>
        <v>MCC015UC0008</v>
      </c>
      <c r="D343" s="25" t="str">
        <f>IFERROR(__xludf.DUMMYFUNCTION("""COMPUTED_VALUE"""),"FILME STRETCH 500X25")</f>
        <v>FILME STRETCH 500X25</v>
      </c>
      <c r="E343" s="22">
        <v>50.0</v>
      </c>
      <c r="G343" s="22" t="s">
        <v>635</v>
      </c>
      <c r="H343" s="22" t="s">
        <v>343</v>
      </c>
      <c r="I343" s="22" t="s">
        <v>826</v>
      </c>
      <c r="J343" s="22" t="s">
        <v>946</v>
      </c>
    </row>
    <row r="344">
      <c r="A344" s="71">
        <v>46175.0</v>
      </c>
      <c r="B344" s="22" t="s">
        <v>922</v>
      </c>
      <c r="C344" s="25" t="str">
        <f>IFERROR(__xludf.DUMMYFUNCTION("""COMPUTED_VALUE"""),"MCC015UC0008")</f>
        <v>MCC015UC0008</v>
      </c>
      <c r="D344" s="25" t="str">
        <f>IFERROR(__xludf.DUMMYFUNCTION("""COMPUTED_VALUE"""),"FILME STRETCH 500X25")</f>
        <v>FILME STRETCH 500X25</v>
      </c>
      <c r="E344" s="22">
        <v>40.0</v>
      </c>
      <c r="G344" s="22" t="s">
        <v>635</v>
      </c>
      <c r="H344" s="22" t="s">
        <v>343</v>
      </c>
      <c r="I344" s="22" t="s">
        <v>1065</v>
      </c>
      <c r="J344" s="22" t="s">
        <v>946</v>
      </c>
    </row>
    <row r="345">
      <c r="A345" s="71">
        <v>46175.0</v>
      </c>
      <c r="B345" s="22" t="s">
        <v>948</v>
      </c>
      <c r="C345" s="25" t="str">
        <f>IFERROR(__xludf.DUMMYFUNCTION("""COMPUTED_VALUE"""),"MCC046UC0687")</f>
        <v>MCC046UC0687</v>
      </c>
      <c r="D345" s="25" t="str">
        <f>IFERROR(__xludf.DUMMYFUNCTION("""COMPUTED_VALUE"""),"ETIQUETA COUCHE - 100X100X 1")</f>
        <v>ETIQUETA COUCHE - 100X100X 1</v>
      </c>
      <c r="E345" s="22">
        <v>30.0</v>
      </c>
      <c r="G345" s="22" t="s">
        <v>913</v>
      </c>
      <c r="H345" s="22" t="s">
        <v>455</v>
      </c>
      <c r="I345" s="22" t="s">
        <v>901</v>
      </c>
      <c r="J345" s="22" t="s">
        <v>946</v>
      </c>
    </row>
    <row r="346">
      <c r="A346" s="71">
        <v>46175.0</v>
      </c>
      <c r="B346" s="22" t="s">
        <v>971</v>
      </c>
      <c r="C346" s="25" t="str">
        <f>IFERROR(__xludf.DUMMYFUNCTION("""COMPUTED_VALUE"""),"EMC015MO0001")</f>
        <v>EMC015MO0001</v>
      </c>
      <c r="D346" s="25" t="str">
        <f>IFERROR(__xludf.DUMMYFUNCTION("""COMPUTED_VALUE"""),"RIBBON CERA PRETO 110MMX300M")</f>
        <v>RIBBON CERA PRETO 110MMX300M</v>
      </c>
      <c r="E346" s="22">
        <v>15.0</v>
      </c>
      <c r="G346" s="22" t="s">
        <v>913</v>
      </c>
      <c r="H346" s="22" t="s">
        <v>455</v>
      </c>
      <c r="I346" s="22" t="s">
        <v>901</v>
      </c>
      <c r="J346" s="22" t="s">
        <v>946</v>
      </c>
    </row>
    <row r="347">
      <c r="A347" s="71">
        <v>46175.0</v>
      </c>
      <c r="B347" s="22" t="s">
        <v>1025</v>
      </c>
      <c r="C347" s="25" t="str">
        <f>IFERROR(__xludf.DUMMYFUNCTION("""COMPUTED_VALUE"""),"30000110")</f>
        <v>30000110</v>
      </c>
      <c r="D347" s="25" t="str">
        <f>IFERROR(__xludf.DUMMYFUNCTION("""COMPUTED_VALUE"""),"- CAIXA EMB PAPELÃO CV 375X285X70")</f>
        <v>- CAIXA EMB PAPELÃO CV 375X285X70</v>
      </c>
      <c r="E347" s="22">
        <v>800.0</v>
      </c>
      <c r="G347" s="22" t="s">
        <v>913</v>
      </c>
      <c r="H347" s="22" t="s">
        <v>1042</v>
      </c>
      <c r="I347" s="22" t="s">
        <v>1066</v>
      </c>
      <c r="J347" s="22" t="s">
        <v>946</v>
      </c>
    </row>
    <row r="348">
      <c r="A348" s="71">
        <v>46176.0</v>
      </c>
      <c r="B348" s="22" t="s">
        <v>980</v>
      </c>
      <c r="C348" s="25" t="str">
        <f>IFERROR(__xludf.DUMMYFUNCTION("""COMPUTED_VALUE"""),"30000107")</f>
        <v>30000107</v>
      </c>
      <c r="D348" s="25" t="str">
        <f>IFERROR(__xludf.DUMMYFUNCTION("""COMPUTED_VALUE"""),"- CAIXA 7")</f>
        <v>- CAIXA 7</v>
      </c>
      <c r="E348" s="22">
        <v>-1200.0</v>
      </c>
      <c r="G348" s="22" t="s">
        <v>913</v>
      </c>
      <c r="H348" s="22" t="s">
        <v>1042</v>
      </c>
      <c r="I348" s="22" t="s">
        <v>1067</v>
      </c>
      <c r="J348" s="22" t="s">
        <v>946</v>
      </c>
    </row>
    <row r="349">
      <c r="A349" s="71">
        <v>46176.0</v>
      </c>
      <c r="B349" s="22" t="s">
        <v>972</v>
      </c>
      <c r="C349" s="25" t="str">
        <f>IFERROR(__xludf.DUMMYFUNCTION("""COMPUTED_VALUE"""),"MCC046UC0599")</f>
        <v>MCC046UC0599</v>
      </c>
      <c r="D349" s="25" t="str">
        <f>IFERROR(__xludf.DUMMYFUNCTION("""COMPUTED_VALUE"""),"ETIQUETA ADESIVA COUCHE AMARELA - 105X150MM SAS")</f>
        <v>ETIQUETA ADESIVA COUCHE AMARELA - 105X150MM SAS</v>
      </c>
      <c r="E349" s="22">
        <v>16.0</v>
      </c>
      <c r="G349" s="22" t="s">
        <v>913</v>
      </c>
      <c r="H349" s="22" t="s">
        <v>235</v>
      </c>
      <c r="I349" s="22" t="s">
        <v>830</v>
      </c>
      <c r="J349" s="22" t="s">
        <v>946</v>
      </c>
    </row>
    <row r="350">
      <c r="A350" s="71">
        <v>46176.0</v>
      </c>
      <c r="B350" s="22" t="s">
        <v>1052</v>
      </c>
      <c r="C350" s="25" t="str">
        <f>IFERROR(__xludf.DUMMYFUNCTION("""COMPUTED_VALUE"""),"MCC015C00002")</f>
        <v>MCC015C00002</v>
      </c>
      <c r="D350" s="25" t="str">
        <f>IFERROR(__xludf.DUMMYFUNCTION("""COMPUTED_VALUE"""),"FILME STRETCH MANUAL 500X0.025 - AZUL")</f>
        <v>FILME STRETCH MANUAL 500X0.025 - AZUL</v>
      </c>
      <c r="E350" s="22">
        <v>10.0</v>
      </c>
      <c r="G350" s="22" t="s">
        <v>923</v>
      </c>
      <c r="H350" s="22" t="s">
        <v>244</v>
      </c>
      <c r="I350" s="22" t="s">
        <v>1068</v>
      </c>
      <c r="J350" s="22" t="s">
        <v>946</v>
      </c>
    </row>
    <row r="351">
      <c r="A351" s="71">
        <v>46176.0</v>
      </c>
      <c r="B351" s="22" t="s">
        <v>1003</v>
      </c>
      <c r="C351" s="25" t="str">
        <f>IFERROR(__xludf.DUMMYFUNCTION("""COMPUTED_VALUE"""),"30000102")</f>
        <v>30000102</v>
      </c>
      <c r="D351" s="25" t="str">
        <f>IFERROR(__xludf.DUMMYFUNCTION("""COMPUTED_VALUE"""),"- CAIXA EMB PAPELÃO TF 290X250X280")</f>
        <v>- CAIXA EMB PAPELÃO TF 290X250X280</v>
      </c>
      <c r="E351" s="22">
        <v>900.0</v>
      </c>
      <c r="G351" s="22" t="s">
        <v>913</v>
      </c>
      <c r="H351" s="22" t="s">
        <v>1042</v>
      </c>
      <c r="I351" s="22" t="s">
        <v>1069</v>
      </c>
      <c r="J351" s="22" t="s">
        <v>946</v>
      </c>
    </row>
    <row r="352">
      <c r="A352" s="71">
        <v>46176.0</v>
      </c>
      <c r="B352" s="22" t="s">
        <v>1003</v>
      </c>
      <c r="C352" s="25" t="str">
        <f>IFERROR(__xludf.DUMMYFUNCTION("""COMPUTED_VALUE"""),"30000102")</f>
        <v>30000102</v>
      </c>
      <c r="D352" s="25" t="str">
        <f>IFERROR(__xludf.DUMMYFUNCTION("""COMPUTED_VALUE"""),"- CAIXA EMB PAPELÃO TF 290X250X280")</f>
        <v>- CAIXA EMB PAPELÃO TF 290X250X280</v>
      </c>
      <c r="E352" s="22">
        <v>900.0</v>
      </c>
      <c r="G352" s="22" t="s">
        <v>913</v>
      </c>
      <c r="H352" s="22" t="s">
        <v>1042</v>
      </c>
      <c r="I352" s="22" t="s">
        <v>1070</v>
      </c>
      <c r="J352" s="22" t="s">
        <v>946</v>
      </c>
    </row>
    <row r="353">
      <c r="A353" s="71">
        <v>46176.0</v>
      </c>
      <c r="B353" s="22" t="s">
        <v>921</v>
      </c>
      <c r="C353" s="25" t="str">
        <f>IFERROR(__xludf.DUMMYFUNCTION("""COMPUTED_VALUE"""),"MCC015UC0045")</f>
        <v>MCC015UC0045</v>
      </c>
      <c r="D353" s="25" t="str">
        <f>IFERROR(__xludf.DUMMYFUNCTION("""COMPUTED_VALUE"""),"FITA ADESIVA 69MM X 100M")</f>
        <v>FITA ADESIVA 69MM X 100M</v>
      </c>
      <c r="E353" s="22">
        <v>24.0</v>
      </c>
      <c r="G353" s="22" t="s">
        <v>913</v>
      </c>
      <c r="H353" s="22" t="s">
        <v>235</v>
      </c>
      <c r="I353" s="22" t="s">
        <v>896</v>
      </c>
      <c r="J353" s="22" t="s">
        <v>946</v>
      </c>
    </row>
    <row r="354">
      <c r="A354" s="71">
        <v>46176.0</v>
      </c>
      <c r="B354" s="22" t="s">
        <v>922</v>
      </c>
      <c r="C354" s="25" t="str">
        <f>IFERROR(__xludf.DUMMYFUNCTION("""COMPUTED_VALUE"""),"MCC015UC0008")</f>
        <v>MCC015UC0008</v>
      </c>
      <c r="D354" s="25" t="str">
        <f>IFERROR(__xludf.DUMMYFUNCTION("""COMPUTED_VALUE"""),"FILME STRETCH 500X25")</f>
        <v>FILME STRETCH 500X25</v>
      </c>
      <c r="E354" s="22">
        <v>10.0</v>
      </c>
      <c r="G354" s="22" t="s">
        <v>913</v>
      </c>
      <c r="H354" s="22" t="s">
        <v>615</v>
      </c>
      <c r="I354" s="22" t="s">
        <v>1071</v>
      </c>
      <c r="J354" s="22" t="s">
        <v>946</v>
      </c>
    </row>
    <row r="355">
      <c r="A355" s="71">
        <v>46176.0</v>
      </c>
      <c r="B355" s="22" t="s">
        <v>922</v>
      </c>
      <c r="C355" s="25" t="str">
        <f>IFERROR(__xludf.DUMMYFUNCTION("""COMPUTED_VALUE"""),"MCC015UC0008")</f>
        <v>MCC015UC0008</v>
      </c>
      <c r="D355" s="25" t="str">
        <f>IFERROR(__xludf.DUMMYFUNCTION("""COMPUTED_VALUE"""),"FILME STRETCH 500X25")</f>
        <v>FILME STRETCH 500X25</v>
      </c>
      <c r="E355" s="22">
        <v>10.0</v>
      </c>
      <c r="G355" s="22" t="s">
        <v>913</v>
      </c>
      <c r="H355" s="22" t="s">
        <v>615</v>
      </c>
      <c r="I355" s="22" t="s">
        <v>1071</v>
      </c>
      <c r="J355" s="22" t="s">
        <v>946</v>
      </c>
    </row>
    <row r="356">
      <c r="A356" s="71">
        <v>46176.0</v>
      </c>
      <c r="B356" s="22" t="s">
        <v>922</v>
      </c>
      <c r="C356" s="25" t="str">
        <f>IFERROR(__xludf.DUMMYFUNCTION("""COMPUTED_VALUE"""),"MCC015UC0008")</f>
        <v>MCC015UC0008</v>
      </c>
      <c r="D356" s="25" t="str">
        <f>IFERROR(__xludf.DUMMYFUNCTION("""COMPUTED_VALUE"""),"FILME STRETCH 500X25")</f>
        <v>FILME STRETCH 500X25</v>
      </c>
      <c r="E356" s="22">
        <v>10.0</v>
      </c>
      <c r="G356" s="22" t="s">
        <v>913</v>
      </c>
      <c r="H356" s="22" t="s">
        <v>235</v>
      </c>
      <c r="I356" s="22" t="s">
        <v>1072</v>
      </c>
      <c r="J356" s="22" t="s">
        <v>946</v>
      </c>
    </row>
    <row r="357">
      <c r="A357" s="71">
        <v>46177.0</v>
      </c>
      <c r="B357" s="22" t="s">
        <v>921</v>
      </c>
      <c r="C357" s="25" t="str">
        <f>IFERROR(__xludf.DUMMYFUNCTION("""COMPUTED_VALUE"""),"MCC015UC0045")</f>
        <v>MCC015UC0045</v>
      </c>
      <c r="D357" s="25" t="str">
        <f>IFERROR(__xludf.DUMMYFUNCTION("""COMPUTED_VALUE"""),"FITA ADESIVA 69MM X 100M")</f>
        <v>FITA ADESIVA 69MM X 100M</v>
      </c>
      <c r="E357" s="22">
        <v>24.0</v>
      </c>
      <c r="G357" s="22" t="s">
        <v>567</v>
      </c>
      <c r="H357" s="22" t="s">
        <v>232</v>
      </c>
      <c r="I357" s="22" t="s">
        <v>1073</v>
      </c>
      <c r="J357" s="22" t="s">
        <v>946</v>
      </c>
    </row>
    <row r="358">
      <c r="A358" s="71">
        <v>46177.0</v>
      </c>
      <c r="B358" s="22" t="s">
        <v>973</v>
      </c>
      <c r="C358" s="25" t="str">
        <f>IFERROR(__xludf.DUMMYFUNCTION("""COMPUTED_VALUE"""),"MCC015UC0038")</f>
        <v>MCC015UC0038</v>
      </c>
      <c r="D358" s="25" t="str">
        <f>IFERROR(__xludf.DUMMYFUNCTION("""COMPUTED_VALUE"""),"BOBINA SHRINK 500MM")</f>
        <v>BOBINA SHRINK 500MM</v>
      </c>
      <c r="E358" s="22">
        <v>1.0</v>
      </c>
      <c r="G358" s="22" t="s">
        <v>567</v>
      </c>
      <c r="H358" s="22" t="s">
        <v>232</v>
      </c>
      <c r="I358" s="22" t="s">
        <v>1074</v>
      </c>
      <c r="J358" s="22" t="s">
        <v>946</v>
      </c>
    </row>
    <row r="359">
      <c r="A359" s="71">
        <v>46177.0</v>
      </c>
      <c r="B359" s="22" t="s">
        <v>1025</v>
      </c>
      <c r="C359" s="25" t="str">
        <f>IFERROR(__xludf.DUMMYFUNCTION("""COMPUTED_VALUE"""),"30000110")</f>
        <v>30000110</v>
      </c>
      <c r="D359" s="25" t="str">
        <f>IFERROR(__xludf.DUMMYFUNCTION("""COMPUTED_VALUE"""),"- CAIXA EMB PAPELÃO CV 375X285X70")</f>
        <v>- CAIXA EMB PAPELÃO CV 375X285X70</v>
      </c>
      <c r="E359" s="22">
        <v>800.0</v>
      </c>
      <c r="G359" s="22" t="s">
        <v>913</v>
      </c>
      <c r="H359" s="22" t="s">
        <v>1042</v>
      </c>
      <c r="I359" s="22" t="s">
        <v>1067</v>
      </c>
      <c r="J359" s="22" t="s">
        <v>946</v>
      </c>
    </row>
    <row r="360">
      <c r="A360" s="71">
        <v>46177.0</v>
      </c>
      <c r="B360" s="22" t="s">
        <v>922</v>
      </c>
      <c r="C360" s="25" t="str">
        <f>IFERROR(__xludf.DUMMYFUNCTION("""COMPUTED_VALUE"""),"MCC015UC0008")</f>
        <v>MCC015UC0008</v>
      </c>
      <c r="D360" s="25" t="str">
        <f>IFERROR(__xludf.DUMMYFUNCTION("""COMPUTED_VALUE"""),"FILME STRETCH 500X25")</f>
        <v>FILME STRETCH 500X25</v>
      </c>
      <c r="E360" s="22">
        <v>20.0</v>
      </c>
      <c r="G360" s="22" t="s">
        <v>913</v>
      </c>
      <c r="H360" s="22" t="s">
        <v>1075</v>
      </c>
      <c r="I360" s="22" t="s">
        <v>1076</v>
      </c>
      <c r="J360" s="22" t="s">
        <v>946</v>
      </c>
    </row>
    <row r="361">
      <c r="A361" s="71">
        <v>46177.0</v>
      </c>
      <c r="B361" s="22" t="s">
        <v>987</v>
      </c>
      <c r="C361" s="25" t="str">
        <f>IFERROR(__xludf.DUMMYFUNCTION("""COMPUTED_VALUE"""),"MCC046UC0597")</f>
        <v>MCC046UC0597</v>
      </c>
      <c r="D361" s="25" t="str">
        <f>IFERROR(__xludf.DUMMYFUNCTION("""COMPUTED_VALUE"""),"ETIQUETA ADESIVA COUCHE ROSA - SAS 105X150MM")</f>
        <v>ETIQUETA ADESIVA COUCHE ROSA - SAS 105X150MM</v>
      </c>
      <c r="E361" s="22">
        <v>5.0</v>
      </c>
      <c r="G361" s="22" t="s">
        <v>913</v>
      </c>
      <c r="H361" s="22" t="s">
        <v>214</v>
      </c>
      <c r="I361" s="22" t="s">
        <v>1077</v>
      </c>
      <c r="J361" s="22" t="s">
        <v>946</v>
      </c>
    </row>
    <row r="362">
      <c r="A362" s="71">
        <v>46177.0</v>
      </c>
      <c r="B362" s="22" t="s">
        <v>1039</v>
      </c>
      <c r="C362" s="25" t="str">
        <f>IFERROR(__xludf.DUMMYFUNCTION("""COMPUTED_VALUE"""),"MCC049UC0607")</f>
        <v>MCC049UC0607</v>
      </c>
      <c r="D362" s="25" t="str">
        <f>IFERROR(__xludf.DUMMYFUNCTION("""COMPUTED_VALUE"""),"PAPEL A3 RESMA COM 500 FLS")</f>
        <v>PAPEL A3 RESMA COM 500 FLS</v>
      </c>
      <c r="E362" s="22">
        <v>10.0</v>
      </c>
      <c r="G362" s="22" t="s">
        <v>913</v>
      </c>
      <c r="H362" s="22" t="s">
        <v>455</v>
      </c>
      <c r="I362" s="22" t="s">
        <v>901</v>
      </c>
      <c r="J362" s="22" t="s">
        <v>946</v>
      </c>
    </row>
    <row r="363">
      <c r="A363" s="71">
        <v>46177.0</v>
      </c>
      <c r="B363" s="22" t="s">
        <v>949</v>
      </c>
      <c r="C363" s="25" t="str">
        <f>IFERROR(__xludf.DUMMYFUNCTION("""COMPUTED_VALUE"""),"MCC046UC0082")</f>
        <v>MCC046UC0082</v>
      </c>
      <c r="D363" s="25" t="str">
        <f>IFERROR(__xludf.DUMMYFUNCTION("""COMPUTED_VALUE"""),"PAPEL SULFITE A4 75G 500 FOLHAS")</f>
        <v>PAPEL SULFITE A4 75G 500 FOLHAS</v>
      </c>
      <c r="E363" s="22">
        <v>10.0</v>
      </c>
      <c r="G363" s="22" t="s">
        <v>913</v>
      </c>
      <c r="H363" s="22" t="s">
        <v>455</v>
      </c>
      <c r="I363" s="22" t="s">
        <v>901</v>
      </c>
      <c r="J363" s="22" t="s">
        <v>946</v>
      </c>
    </row>
    <row r="364">
      <c r="A364" s="71">
        <v>46177.0</v>
      </c>
      <c r="B364" s="22" t="s">
        <v>922</v>
      </c>
      <c r="C364" s="25" t="str">
        <f>IFERROR(__xludf.DUMMYFUNCTION("""COMPUTED_VALUE"""),"MCC015UC0008")</f>
        <v>MCC015UC0008</v>
      </c>
      <c r="D364" s="25" t="str">
        <f>IFERROR(__xludf.DUMMYFUNCTION("""COMPUTED_VALUE"""),"FILME STRETCH 500X25")</f>
        <v>FILME STRETCH 500X25</v>
      </c>
      <c r="E364" s="22">
        <v>12.0</v>
      </c>
      <c r="G364" s="22" t="s">
        <v>913</v>
      </c>
      <c r="H364" s="22" t="s">
        <v>1075</v>
      </c>
      <c r="I364" s="22" t="s">
        <v>1076</v>
      </c>
      <c r="J364" s="22" t="s">
        <v>946</v>
      </c>
    </row>
    <row r="365">
      <c r="A365" s="71">
        <v>46178.0</v>
      </c>
      <c r="B365" s="22" t="s">
        <v>1025</v>
      </c>
      <c r="C365" s="25" t="str">
        <f>IFERROR(__xludf.DUMMYFUNCTION("""COMPUTED_VALUE"""),"30000110")</f>
        <v>30000110</v>
      </c>
      <c r="D365" s="25" t="str">
        <f>IFERROR(__xludf.DUMMYFUNCTION("""COMPUTED_VALUE"""),"- CAIXA EMB PAPELÃO CV 375X285X70")</f>
        <v>- CAIXA EMB PAPELÃO CV 375X285X70</v>
      </c>
      <c r="E365" s="22">
        <v>800.0</v>
      </c>
      <c r="G365" s="22" t="s">
        <v>913</v>
      </c>
      <c r="H365" s="22" t="s">
        <v>1042</v>
      </c>
      <c r="I365" s="22" t="s">
        <v>1078</v>
      </c>
      <c r="J365" s="22" t="s">
        <v>946</v>
      </c>
    </row>
    <row r="366">
      <c r="A366" s="71">
        <v>46178.0</v>
      </c>
      <c r="B366" s="22" t="s">
        <v>997</v>
      </c>
      <c r="C366" s="25" t="str">
        <f>IFERROR(__xludf.DUMMYFUNCTION("""COMPUTED_VALUE"""),"MCC046UC0048")</f>
        <v>MCC046UC0048</v>
      </c>
      <c r="D366" s="25" t="str">
        <f>IFERROR(__xludf.DUMMYFUNCTION("""COMPUTED_VALUE"""),"PAPEL MACULATURA GROSSO - KRAFT - 1,20CM")</f>
        <v>PAPEL MACULATURA GROSSO - KRAFT - 1,20CM</v>
      </c>
      <c r="E366" s="22">
        <v>4.0</v>
      </c>
      <c r="G366" s="22" t="s">
        <v>913</v>
      </c>
      <c r="H366" s="22" t="s">
        <v>1042</v>
      </c>
      <c r="I366" s="22" t="s">
        <v>1067</v>
      </c>
      <c r="J366" s="22" t="s">
        <v>946</v>
      </c>
    </row>
    <row r="367">
      <c r="A367" s="71">
        <v>46178.0</v>
      </c>
      <c r="B367" s="22" t="s">
        <v>997</v>
      </c>
      <c r="C367" s="25" t="str">
        <f>IFERROR(__xludf.DUMMYFUNCTION("""COMPUTED_VALUE"""),"MCC046UC0048")</f>
        <v>MCC046UC0048</v>
      </c>
      <c r="D367" s="25" t="str">
        <f>IFERROR(__xludf.DUMMYFUNCTION("""COMPUTED_VALUE"""),"PAPEL MACULATURA GROSSO - KRAFT - 1,20CM")</f>
        <v>PAPEL MACULATURA GROSSO - KRAFT - 1,20CM</v>
      </c>
      <c r="E367" s="22">
        <v>42.0</v>
      </c>
      <c r="G367" s="22" t="s">
        <v>913</v>
      </c>
      <c r="H367" s="22" t="s">
        <v>1042</v>
      </c>
      <c r="I367" s="22" t="s">
        <v>1067</v>
      </c>
      <c r="J367" s="22" t="s">
        <v>946</v>
      </c>
    </row>
    <row r="368">
      <c r="A368" s="71">
        <v>46178.0</v>
      </c>
      <c r="B368" s="22" t="s">
        <v>921</v>
      </c>
      <c r="C368" s="25" t="str">
        <f>IFERROR(__xludf.DUMMYFUNCTION("""COMPUTED_VALUE"""),"MCC015UC0045")</f>
        <v>MCC015UC0045</v>
      </c>
      <c r="D368" s="25" t="str">
        <f>IFERROR(__xludf.DUMMYFUNCTION("""COMPUTED_VALUE"""),"FITA ADESIVA 69MM X 100M")</f>
        <v>FITA ADESIVA 69MM X 100M</v>
      </c>
      <c r="E368" s="22">
        <v>24.0</v>
      </c>
      <c r="G368" s="22" t="s">
        <v>913</v>
      </c>
      <c r="H368" s="22" t="s">
        <v>235</v>
      </c>
      <c r="I368" s="22" t="s">
        <v>896</v>
      </c>
      <c r="J368" s="22" t="s">
        <v>946</v>
      </c>
    </row>
    <row r="369">
      <c r="A369" s="71">
        <v>46178.0</v>
      </c>
      <c r="B369" s="22" t="s">
        <v>964</v>
      </c>
      <c r="C369" s="25" t="str">
        <f>IFERROR(__xludf.DUMMYFUNCTION("""COMPUTED_VALUE"""),"MCC046UC0596")</f>
        <v>MCC046UC0596</v>
      </c>
      <c r="D369" s="25" t="str">
        <f>IFERROR(__xludf.DUMMYFUNCTION("""COMPUTED_VALUE"""),"ETIQUETA ADESIVA COUCHE BRANCA - 105X150MM SAS")</f>
        <v>ETIQUETA ADESIVA COUCHE BRANCA - 105X150MM SAS</v>
      </c>
      <c r="E369" s="22">
        <v>-30.0</v>
      </c>
      <c r="G369" s="22" t="s">
        <v>913</v>
      </c>
      <c r="H369" s="22" t="s">
        <v>1042</v>
      </c>
      <c r="I369" s="22" t="s">
        <v>1079</v>
      </c>
      <c r="J369" s="22" t="s">
        <v>946</v>
      </c>
    </row>
    <row r="370">
      <c r="A370" s="71">
        <v>46178.0</v>
      </c>
      <c r="B370" s="22" t="s">
        <v>922</v>
      </c>
      <c r="C370" s="25" t="str">
        <f>IFERROR(__xludf.DUMMYFUNCTION("""COMPUTED_VALUE"""),"MCC015UC0008")</f>
        <v>MCC015UC0008</v>
      </c>
      <c r="D370" s="25" t="str">
        <f>IFERROR(__xludf.DUMMYFUNCTION("""COMPUTED_VALUE"""),"FILME STRETCH 500X25")</f>
        <v>FILME STRETCH 500X25</v>
      </c>
      <c r="E370" s="22">
        <v>22.0</v>
      </c>
      <c r="G370" s="22" t="s">
        <v>913</v>
      </c>
      <c r="H370" s="22" t="s">
        <v>1075</v>
      </c>
      <c r="I370" s="22" t="s">
        <v>1076</v>
      </c>
      <c r="J370" s="22" t="s">
        <v>946</v>
      </c>
    </row>
    <row r="371">
      <c r="A371" s="71">
        <v>46181.0</v>
      </c>
      <c r="B371" s="22" t="s">
        <v>987</v>
      </c>
      <c r="C371" s="25" t="str">
        <f>IFERROR(__xludf.DUMMYFUNCTION("""COMPUTED_VALUE"""),"MCC046UC0597")</f>
        <v>MCC046UC0597</v>
      </c>
      <c r="D371" s="25" t="str">
        <f>IFERROR(__xludf.DUMMYFUNCTION("""COMPUTED_VALUE"""),"ETIQUETA ADESIVA COUCHE ROSA - SAS 105X150MM")</f>
        <v>ETIQUETA ADESIVA COUCHE ROSA - SAS 105X150MM</v>
      </c>
      <c r="E371" s="22">
        <v>2.0</v>
      </c>
      <c r="G371" s="22" t="s">
        <v>567</v>
      </c>
      <c r="H371" s="22" t="s">
        <v>232</v>
      </c>
      <c r="I371" s="22" t="s">
        <v>1080</v>
      </c>
      <c r="J371" s="22" t="s">
        <v>946</v>
      </c>
    </row>
    <row r="372">
      <c r="A372" s="71">
        <v>46181.0</v>
      </c>
      <c r="B372" s="22" t="s">
        <v>921</v>
      </c>
      <c r="C372" s="25" t="str">
        <f>IFERROR(__xludf.DUMMYFUNCTION("""COMPUTED_VALUE"""),"MCC015UC0045")</f>
        <v>MCC015UC0045</v>
      </c>
      <c r="D372" s="25" t="str">
        <f>IFERROR(__xludf.DUMMYFUNCTION("""COMPUTED_VALUE"""),"FITA ADESIVA 69MM X 100M")</f>
        <v>FITA ADESIVA 69MM X 100M</v>
      </c>
      <c r="E372" s="22">
        <v>24.0</v>
      </c>
      <c r="G372" s="22" t="s">
        <v>913</v>
      </c>
      <c r="H372" s="22" t="s">
        <v>235</v>
      </c>
      <c r="I372" s="22" t="s">
        <v>237</v>
      </c>
      <c r="J372" s="22" t="s">
        <v>946</v>
      </c>
    </row>
    <row r="373">
      <c r="A373" s="71">
        <v>46181.0</v>
      </c>
      <c r="B373" s="22" t="s">
        <v>922</v>
      </c>
      <c r="C373" s="25" t="str">
        <f>IFERROR(__xludf.DUMMYFUNCTION("""COMPUTED_VALUE"""),"MCC015UC0008")</f>
        <v>MCC015UC0008</v>
      </c>
      <c r="D373" s="25" t="str">
        <f>IFERROR(__xludf.DUMMYFUNCTION("""COMPUTED_VALUE"""),"FILME STRETCH 500X25")</f>
        <v>FILME STRETCH 500X25</v>
      </c>
      <c r="E373" s="22">
        <v>50.0</v>
      </c>
      <c r="G373" s="22" t="s">
        <v>635</v>
      </c>
      <c r="H373" s="22" t="s">
        <v>343</v>
      </c>
      <c r="I373" s="22" t="s">
        <v>918</v>
      </c>
      <c r="J373" s="22" t="s">
        <v>946</v>
      </c>
    </row>
    <row r="374">
      <c r="A374" s="71">
        <v>46181.0</v>
      </c>
      <c r="B374" s="22" t="s">
        <v>922</v>
      </c>
      <c r="C374" s="25" t="str">
        <f>IFERROR(__xludf.DUMMYFUNCTION("""COMPUTED_VALUE"""),"MCC015UC0008")</f>
        <v>MCC015UC0008</v>
      </c>
      <c r="D374" s="25" t="str">
        <f>IFERROR(__xludf.DUMMYFUNCTION("""COMPUTED_VALUE"""),"FILME STRETCH 500X25")</f>
        <v>FILME STRETCH 500X25</v>
      </c>
      <c r="E374" s="22">
        <v>2.0</v>
      </c>
      <c r="G374" s="22" t="s">
        <v>913</v>
      </c>
      <c r="H374" s="22" t="s">
        <v>455</v>
      </c>
      <c r="I374" s="22" t="s">
        <v>742</v>
      </c>
      <c r="J374" s="22" t="s">
        <v>946</v>
      </c>
    </row>
    <row r="375">
      <c r="A375" s="71">
        <v>46181.0</v>
      </c>
      <c r="B375" s="22" t="s">
        <v>980</v>
      </c>
      <c r="C375" s="25" t="str">
        <f>IFERROR(__xludf.DUMMYFUNCTION("""COMPUTED_VALUE"""),"30000107")</f>
        <v>30000107</v>
      </c>
      <c r="D375" s="25" t="str">
        <f>IFERROR(__xludf.DUMMYFUNCTION("""COMPUTED_VALUE"""),"- CAIXA 7")</f>
        <v>- CAIXA 7</v>
      </c>
      <c r="E375" s="22">
        <v>1.0</v>
      </c>
      <c r="G375" s="22" t="s">
        <v>913</v>
      </c>
      <c r="H375" s="22" t="s">
        <v>455</v>
      </c>
      <c r="I375" s="22" t="s">
        <v>1081</v>
      </c>
      <c r="J375" s="22" t="s">
        <v>946</v>
      </c>
    </row>
    <row r="376">
      <c r="A376" s="71">
        <v>46181.0</v>
      </c>
      <c r="B376" s="22" t="s">
        <v>1025</v>
      </c>
      <c r="C376" s="25" t="str">
        <f>IFERROR(__xludf.DUMMYFUNCTION("""COMPUTED_VALUE"""),"30000110")</f>
        <v>30000110</v>
      </c>
      <c r="D376" s="25" t="str">
        <f>IFERROR(__xludf.DUMMYFUNCTION("""COMPUTED_VALUE"""),"- CAIXA EMB PAPELÃO CV 375X285X70")</f>
        <v>- CAIXA EMB PAPELÃO CV 375X285X70</v>
      </c>
      <c r="E376" s="22">
        <v>1.0</v>
      </c>
      <c r="G376" s="22" t="s">
        <v>913</v>
      </c>
      <c r="H376" s="22" t="s">
        <v>455</v>
      </c>
      <c r="I376" s="22" t="s">
        <v>735</v>
      </c>
      <c r="J376" s="22" t="s">
        <v>946</v>
      </c>
    </row>
    <row r="377">
      <c r="A377" s="71">
        <v>46181.0</v>
      </c>
      <c r="B377" s="22" t="s">
        <v>921</v>
      </c>
      <c r="C377" s="25" t="str">
        <f>IFERROR(__xludf.DUMMYFUNCTION("""COMPUTED_VALUE"""),"MCC015UC0045")</f>
        <v>MCC015UC0045</v>
      </c>
      <c r="D377" s="25" t="str">
        <f>IFERROR(__xludf.DUMMYFUNCTION("""COMPUTED_VALUE"""),"FITA ADESIVA 69MM X 100M")</f>
        <v>FITA ADESIVA 69MM X 100M</v>
      </c>
      <c r="E377" s="22">
        <v>24.0</v>
      </c>
      <c r="G377" s="22" t="s">
        <v>635</v>
      </c>
      <c r="H377" s="22" t="s">
        <v>343</v>
      </c>
      <c r="I377" s="22" t="s">
        <v>805</v>
      </c>
      <c r="J377" s="22" t="s">
        <v>946</v>
      </c>
    </row>
    <row r="378">
      <c r="A378" s="71">
        <v>46182.0</v>
      </c>
      <c r="B378" s="22" t="s">
        <v>1082</v>
      </c>
      <c r="C378" s="25" t="str">
        <f>IFERROR(__xludf.DUMMYFUNCTION("""COMPUTED_VALUE"""),"30000108")</f>
        <v>30000108</v>
      </c>
      <c r="D378" s="25" t="str">
        <f>IFERROR(__xludf.DUMMYFUNCTION("""COMPUTED_VALUE"""),"- CAIXA 8")</f>
        <v>- CAIXA 8</v>
      </c>
      <c r="E378" s="22">
        <v>600.0</v>
      </c>
      <c r="G378" s="22" t="s">
        <v>913</v>
      </c>
      <c r="H378" s="22" t="s">
        <v>1042</v>
      </c>
      <c r="I378" s="22" t="s">
        <v>1083</v>
      </c>
      <c r="J378" s="22" t="s">
        <v>946</v>
      </c>
    </row>
    <row r="379">
      <c r="A379" s="71">
        <v>46182.0</v>
      </c>
      <c r="B379" s="22" t="s">
        <v>922</v>
      </c>
      <c r="C379" s="25" t="str">
        <f>IFERROR(__xludf.DUMMYFUNCTION("""COMPUTED_VALUE"""),"MCC015UC0008")</f>
        <v>MCC015UC0008</v>
      </c>
      <c r="D379" s="25" t="str">
        <f>IFERROR(__xludf.DUMMYFUNCTION("""COMPUTED_VALUE"""),"FILME STRETCH 500X25")</f>
        <v>FILME STRETCH 500X25</v>
      </c>
      <c r="E379" s="22">
        <v>28.0</v>
      </c>
      <c r="G379" s="22" t="s">
        <v>635</v>
      </c>
      <c r="H379" s="22" t="s">
        <v>297</v>
      </c>
      <c r="I379" s="22" t="s">
        <v>1084</v>
      </c>
      <c r="J379" s="22" t="s">
        <v>946</v>
      </c>
    </row>
    <row r="380">
      <c r="A380" s="71">
        <v>46182.0</v>
      </c>
      <c r="B380" s="22" t="s">
        <v>972</v>
      </c>
      <c r="C380" s="25" t="str">
        <f>IFERROR(__xludf.DUMMYFUNCTION("""COMPUTED_VALUE"""),"MCC046UC0599")</f>
        <v>MCC046UC0599</v>
      </c>
      <c r="D380" s="25" t="str">
        <f>IFERROR(__xludf.DUMMYFUNCTION("""COMPUTED_VALUE"""),"ETIQUETA ADESIVA COUCHE AMARELA - 105X150MM SAS")</f>
        <v>ETIQUETA ADESIVA COUCHE AMARELA - 105X150MM SAS</v>
      </c>
      <c r="E380" s="22">
        <v>3.0</v>
      </c>
      <c r="G380" s="22" t="s">
        <v>923</v>
      </c>
      <c r="H380" s="22" t="s">
        <v>337</v>
      </c>
      <c r="I380" s="22" t="s">
        <v>940</v>
      </c>
      <c r="J380" s="22" t="s">
        <v>946</v>
      </c>
    </row>
    <row r="381">
      <c r="A381" s="71">
        <v>46183.0</v>
      </c>
      <c r="B381" s="22" t="s">
        <v>1022</v>
      </c>
      <c r="C381" s="25" t="str">
        <f>IFERROR(__xludf.DUMMYFUNCTION("""COMPUTED_VALUE"""),"30000104")</f>
        <v>30000104</v>
      </c>
      <c r="D381" s="25" t="str">
        <f>IFERROR(__xludf.DUMMYFUNCTION("""COMPUTED_VALUE"""),"- CAIXA EMB PAPELÃO TF 345X290X280")</f>
        <v>- CAIXA EMB PAPELÃO TF 345X290X280</v>
      </c>
      <c r="E381" s="22">
        <v>-800.0</v>
      </c>
      <c r="G381" s="22" t="s">
        <v>913</v>
      </c>
      <c r="H381" s="22" t="s">
        <v>1042</v>
      </c>
      <c r="I381" s="22" t="s">
        <v>1066</v>
      </c>
      <c r="J381" s="22" t="s">
        <v>946</v>
      </c>
    </row>
    <row r="382">
      <c r="A382" s="71">
        <v>46183.0</v>
      </c>
      <c r="B382" s="22" t="s">
        <v>1039</v>
      </c>
      <c r="C382" s="25" t="str">
        <f>IFERROR(__xludf.DUMMYFUNCTION("""COMPUTED_VALUE"""),"MCC049UC0607")</f>
        <v>MCC049UC0607</v>
      </c>
      <c r="D382" s="25" t="str">
        <f>IFERROR(__xludf.DUMMYFUNCTION("""COMPUTED_VALUE"""),"PAPEL A3 RESMA COM 500 FLS")</f>
        <v>PAPEL A3 RESMA COM 500 FLS</v>
      </c>
      <c r="E382" s="22">
        <v>5.0</v>
      </c>
      <c r="G382" s="22" t="s">
        <v>913</v>
      </c>
      <c r="H382" s="22" t="s">
        <v>967</v>
      </c>
      <c r="I382" s="22" t="s">
        <v>1085</v>
      </c>
      <c r="J382" s="22" t="s">
        <v>946</v>
      </c>
    </row>
    <row r="383">
      <c r="A383" s="71">
        <v>46183.0</v>
      </c>
      <c r="B383" s="22" t="s">
        <v>1039</v>
      </c>
      <c r="C383" s="25" t="str">
        <f>IFERROR(__xludf.DUMMYFUNCTION("""COMPUTED_VALUE"""),"MCC049UC0607")</f>
        <v>MCC049UC0607</v>
      </c>
      <c r="D383" s="25" t="str">
        <f>IFERROR(__xludf.DUMMYFUNCTION("""COMPUTED_VALUE"""),"PAPEL A3 RESMA COM 500 FLS")</f>
        <v>PAPEL A3 RESMA COM 500 FLS</v>
      </c>
      <c r="E383" s="22">
        <v>5.0</v>
      </c>
      <c r="G383" s="22" t="s">
        <v>913</v>
      </c>
      <c r="H383" s="22" t="s">
        <v>967</v>
      </c>
      <c r="I383" s="22" t="s">
        <v>1086</v>
      </c>
      <c r="J383" s="22" t="s">
        <v>946</v>
      </c>
    </row>
    <row r="384">
      <c r="A384" s="71">
        <v>46183.0</v>
      </c>
      <c r="B384" s="22" t="s">
        <v>1025</v>
      </c>
      <c r="C384" s="25" t="str">
        <f>IFERROR(__xludf.DUMMYFUNCTION("""COMPUTED_VALUE"""),"30000110")</f>
        <v>30000110</v>
      </c>
      <c r="D384" s="25" t="str">
        <f>IFERROR(__xludf.DUMMYFUNCTION("""COMPUTED_VALUE"""),"- CAIXA EMB PAPELÃO CV 375X285X70")</f>
        <v>- CAIXA EMB PAPELÃO CV 375X285X70</v>
      </c>
      <c r="E384" s="22">
        <v>1.0</v>
      </c>
      <c r="G384" s="22" t="s">
        <v>913</v>
      </c>
      <c r="H384" s="22" t="s">
        <v>455</v>
      </c>
      <c r="I384" s="22" t="s">
        <v>1087</v>
      </c>
      <c r="J384" s="22" t="s">
        <v>946</v>
      </c>
    </row>
    <row r="385">
      <c r="A385" s="71">
        <v>46183.0</v>
      </c>
      <c r="B385" s="22" t="s">
        <v>1025</v>
      </c>
      <c r="C385" s="25" t="str">
        <f>IFERROR(__xludf.DUMMYFUNCTION("""COMPUTED_VALUE"""),"30000110")</f>
        <v>30000110</v>
      </c>
      <c r="D385" s="25" t="str">
        <f>IFERROR(__xludf.DUMMYFUNCTION("""COMPUTED_VALUE"""),"- CAIXA EMB PAPELÃO CV 375X285X70")</f>
        <v>- CAIXA EMB PAPELÃO CV 375X285X70</v>
      </c>
      <c r="E385" s="22">
        <v>800.0</v>
      </c>
      <c r="G385" s="22" t="s">
        <v>913</v>
      </c>
      <c r="H385" s="22" t="s">
        <v>1042</v>
      </c>
      <c r="I385" s="22" t="s">
        <v>1078</v>
      </c>
      <c r="J385" s="22" t="s">
        <v>946</v>
      </c>
    </row>
    <row r="386" hidden="1">
      <c r="A386" s="71">
        <v>46140.0</v>
      </c>
      <c r="B386" s="22" t="s">
        <v>921</v>
      </c>
      <c r="C386" s="25" t="str">
        <f>IFERROR(__xludf.DUMMYFUNCTION("""COMPUTED_VALUE"""),"MCC015UC0045")</f>
        <v>MCC015UC0045</v>
      </c>
      <c r="D386" s="25" t="str">
        <f>IFERROR(__xludf.DUMMYFUNCTION("""COMPUTED_VALUE"""),"FITA ADESIVA 69MM X 100M")</f>
        <v>FITA ADESIVA 69MM X 100M</v>
      </c>
      <c r="E386" s="22">
        <v>24.0</v>
      </c>
      <c r="G386" s="22" t="s">
        <v>913</v>
      </c>
      <c r="H386" s="22" t="s">
        <v>282</v>
      </c>
      <c r="I386" s="22" t="s">
        <v>1088</v>
      </c>
      <c r="J386" s="22" t="s">
        <v>946</v>
      </c>
    </row>
    <row r="387" hidden="1">
      <c r="A387" s="71">
        <v>46140.0</v>
      </c>
      <c r="B387" s="22" t="s">
        <v>964</v>
      </c>
      <c r="C387" s="25" t="str">
        <f>IFERROR(__xludf.DUMMYFUNCTION("""COMPUTED_VALUE"""),"MCC046UC0596")</f>
        <v>MCC046UC0596</v>
      </c>
      <c r="D387" s="25" t="str">
        <f>IFERROR(__xludf.DUMMYFUNCTION("""COMPUTED_VALUE"""),"ETIQUETA ADESIVA COUCHE BRANCA - 105X150MM SAS")</f>
        <v>ETIQUETA ADESIVA COUCHE BRANCA - 105X150MM SAS</v>
      </c>
      <c r="E387" s="22">
        <v>10.0</v>
      </c>
      <c r="G387" s="22" t="s">
        <v>913</v>
      </c>
      <c r="H387" s="22" t="s">
        <v>282</v>
      </c>
      <c r="I387" s="22" t="s">
        <v>762</v>
      </c>
      <c r="J387" s="22" t="s">
        <v>946</v>
      </c>
    </row>
    <row r="388" hidden="1">
      <c r="A388" s="71">
        <v>46140.0</v>
      </c>
      <c r="B388" s="22" t="s">
        <v>949</v>
      </c>
      <c r="C388" s="25" t="str">
        <f>IFERROR(__xludf.DUMMYFUNCTION("""COMPUTED_VALUE"""),"MCC046UC0082")</f>
        <v>MCC046UC0082</v>
      </c>
      <c r="D388" s="25" t="str">
        <f>IFERROR(__xludf.DUMMYFUNCTION("""COMPUTED_VALUE"""),"PAPEL SULFITE A4 75G 500 FOLHAS")</f>
        <v>PAPEL SULFITE A4 75G 500 FOLHAS</v>
      </c>
      <c r="E388" s="22">
        <v>10.0</v>
      </c>
      <c r="G388" s="22" t="s">
        <v>913</v>
      </c>
      <c r="H388" s="22" t="s">
        <v>235</v>
      </c>
      <c r="I388" s="22" t="s">
        <v>1089</v>
      </c>
      <c r="J388" s="22" t="s">
        <v>946</v>
      </c>
    </row>
    <row r="389">
      <c r="A389" s="45"/>
      <c r="C389" s="25" t="str">
        <f>IFERROR(__xludf.DUMMYFUNCTION("""COMPUTED_VALUE"""),"")</f>
        <v/>
      </c>
      <c r="D389" s="25" t="str">
        <f>IFERROR(__xludf.DUMMYFUNCTION("""COMPUTED_VALUE"""),"")</f>
        <v/>
      </c>
    </row>
    <row r="390">
      <c r="A390" s="45"/>
      <c r="C390" s="25" t="str">
        <f>IFERROR(__xludf.DUMMYFUNCTION("""COMPUTED_VALUE"""),"")</f>
        <v/>
      </c>
      <c r="D390" s="25" t="str">
        <f>IFERROR(__xludf.DUMMYFUNCTION("""COMPUTED_VALUE"""),"")</f>
        <v/>
      </c>
    </row>
    <row r="391">
      <c r="A391" s="45"/>
      <c r="C391" s="25" t="str">
        <f>IFERROR(__xludf.DUMMYFUNCTION("""COMPUTED_VALUE"""),"")</f>
        <v/>
      </c>
      <c r="D391" s="25" t="str">
        <f>IFERROR(__xludf.DUMMYFUNCTION("""COMPUTED_VALUE"""),"")</f>
        <v/>
      </c>
    </row>
    <row r="392">
      <c r="A392" s="45"/>
      <c r="C392" s="25" t="str">
        <f>IFERROR(__xludf.DUMMYFUNCTION("""COMPUTED_VALUE"""),"")</f>
        <v/>
      </c>
      <c r="D392" s="25" t="str">
        <f>IFERROR(__xludf.DUMMYFUNCTION("""COMPUTED_VALUE"""),"")</f>
        <v/>
      </c>
    </row>
    <row r="393">
      <c r="A393" s="45"/>
      <c r="C393" s="25" t="str">
        <f>IFERROR(__xludf.DUMMYFUNCTION("""COMPUTED_VALUE"""),"")</f>
        <v/>
      </c>
      <c r="D393" s="25" t="str">
        <f>IFERROR(__xludf.DUMMYFUNCTION("""COMPUTED_VALUE"""),"")</f>
        <v/>
      </c>
    </row>
    <row r="394">
      <c r="A394" s="45"/>
      <c r="C394" s="25" t="str">
        <f>IFERROR(__xludf.DUMMYFUNCTION("""COMPUTED_VALUE"""),"")</f>
        <v/>
      </c>
      <c r="D394" s="25" t="str">
        <f>IFERROR(__xludf.DUMMYFUNCTION("""COMPUTED_VALUE"""),"")</f>
        <v/>
      </c>
    </row>
    <row r="395">
      <c r="A395" s="45"/>
      <c r="C395" s="25" t="str">
        <f>IFERROR(__xludf.DUMMYFUNCTION("""COMPUTED_VALUE"""),"")</f>
        <v/>
      </c>
      <c r="D395" s="25" t="str">
        <f>IFERROR(__xludf.DUMMYFUNCTION("""COMPUTED_VALUE"""),"")</f>
        <v/>
      </c>
    </row>
    <row r="396">
      <c r="A396" s="45"/>
      <c r="C396" s="25" t="str">
        <f>IFERROR(__xludf.DUMMYFUNCTION("""COMPUTED_VALUE"""),"")</f>
        <v/>
      </c>
      <c r="D396" s="25" t="str">
        <f>IFERROR(__xludf.DUMMYFUNCTION("""COMPUTED_VALUE"""),"")</f>
        <v/>
      </c>
    </row>
    <row r="397">
      <c r="A397" s="45"/>
      <c r="C397" s="25" t="str">
        <f>IFERROR(__xludf.DUMMYFUNCTION("""COMPUTED_VALUE"""),"")</f>
        <v/>
      </c>
      <c r="D397" s="25" t="str">
        <f>IFERROR(__xludf.DUMMYFUNCTION("""COMPUTED_VALUE"""),"")</f>
        <v/>
      </c>
    </row>
    <row r="398">
      <c r="A398" s="45"/>
      <c r="C398" s="25" t="str">
        <f>IFERROR(__xludf.DUMMYFUNCTION("""COMPUTED_VALUE"""),"")</f>
        <v/>
      </c>
      <c r="D398" s="25" t="str">
        <f>IFERROR(__xludf.DUMMYFUNCTION("""COMPUTED_VALUE"""),"")</f>
        <v/>
      </c>
    </row>
    <row r="399">
      <c r="A399" s="45"/>
      <c r="C399" s="25" t="str">
        <f>IFERROR(__xludf.DUMMYFUNCTION("""COMPUTED_VALUE"""),"")</f>
        <v/>
      </c>
      <c r="D399" s="25" t="str">
        <f>IFERROR(__xludf.DUMMYFUNCTION("""COMPUTED_VALUE"""),"")</f>
        <v/>
      </c>
    </row>
    <row r="400">
      <c r="A400" s="45"/>
      <c r="C400" s="25" t="str">
        <f>IFERROR(__xludf.DUMMYFUNCTION("""COMPUTED_VALUE"""),"")</f>
        <v/>
      </c>
      <c r="D400" s="25" t="str">
        <f>IFERROR(__xludf.DUMMYFUNCTION("""COMPUTED_VALUE"""),"")</f>
        <v/>
      </c>
    </row>
    <row r="401">
      <c r="A401" s="45"/>
      <c r="C401" s="25" t="str">
        <f>IFERROR(__xludf.DUMMYFUNCTION("""COMPUTED_VALUE"""),"")</f>
        <v/>
      </c>
      <c r="D401" s="25" t="str">
        <f>IFERROR(__xludf.DUMMYFUNCTION("""COMPUTED_VALUE"""),"")</f>
        <v/>
      </c>
    </row>
    <row r="402">
      <c r="A402" s="45"/>
      <c r="C402" s="25" t="str">
        <f>IFERROR(__xludf.DUMMYFUNCTION("""COMPUTED_VALUE"""),"")</f>
        <v/>
      </c>
      <c r="D402" s="25" t="str">
        <f>IFERROR(__xludf.DUMMYFUNCTION("""COMPUTED_VALUE"""),"")</f>
        <v/>
      </c>
    </row>
    <row r="403">
      <c r="A403" s="45"/>
      <c r="C403" s="25" t="str">
        <f>IFERROR(__xludf.DUMMYFUNCTION("""COMPUTED_VALUE"""),"")</f>
        <v/>
      </c>
      <c r="D403" s="25" t="str">
        <f>IFERROR(__xludf.DUMMYFUNCTION("""COMPUTED_VALUE"""),"")</f>
        <v/>
      </c>
    </row>
    <row r="404">
      <c r="A404" s="45"/>
      <c r="C404" s="25" t="str">
        <f>IFERROR(__xludf.DUMMYFUNCTION("""COMPUTED_VALUE"""),"")</f>
        <v/>
      </c>
      <c r="D404" s="25" t="str">
        <f>IFERROR(__xludf.DUMMYFUNCTION("""COMPUTED_VALUE"""),"")</f>
        <v/>
      </c>
    </row>
    <row r="405">
      <c r="A405" s="45"/>
      <c r="C405" s="25" t="str">
        <f>IFERROR(__xludf.DUMMYFUNCTION("""COMPUTED_VALUE"""),"")</f>
        <v/>
      </c>
      <c r="D405" s="25" t="str">
        <f>IFERROR(__xludf.DUMMYFUNCTION("""COMPUTED_VALUE"""),"")</f>
        <v/>
      </c>
    </row>
    <row r="406">
      <c r="A406" s="45"/>
      <c r="C406" s="25" t="str">
        <f>IFERROR(__xludf.DUMMYFUNCTION("""COMPUTED_VALUE"""),"")</f>
        <v/>
      </c>
      <c r="D406" s="25" t="str">
        <f>IFERROR(__xludf.DUMMYFUNCTION("""COMPUTED_VALUE"""),"")</f>
        <v/>
      </c>
    </row>
    <row r="407">
      <c r="A407" s="45"/>
      <c r="C407" s="25" t="str">
        <f>IFERROR(__xludf.DUMMYFUNCTION("""COMPUTED_VALUE"""),"")</f>
        <v/>
      </c>
      <c r="D407" s="25" t="str">
        <f>IFERROR(__xludf.DUMMYFUNCTION("""COMPUTED_VALUE"""),"")</f>
        <v/>
      </c>
    </row>
    <row r="408">
      <c r="A408" s="45"/>
      <c r="C408" s="25" t="str">
        <f>IFERROR(__xludf.DUMMYFUNCTION("""COMPUTED_VALUE"""),"")</f>
        <v/>
      </c>
      <c r="D408" s="25" t="str">
        <f>IFERROR(__xludf.DUMMYFUNCTION("""COMPUTED_VALUE"""),"")</f>
        <v/>
      </c>
    </row>
    <row r="409">
      <c r="A409" s="45"/>
      <c r="C409" s="25" t="str">
        <f>IFERROR(__xludf.DUMMYFUNCTION("""COMPUTED_VALUE"""),"")</f>
        <v/>
      </c>
      <c r="D409" s="25" t="str">
        <f>IFERROR(__xludf.DUMMYFUNCTION("""COMPUTED_VALUE"""),"")</f>
        <v/>
      </c>
    </row>
    <row r="410">
      <c r="A410" s="45"/>
      <c r="C410" s="25" t="str">
        <f>IFERROR(__xludf.DUMMYFUNCTION("""COMPUTED_VALUE"""),"")</f>
        <v/>
      </c>
      <c r="D410" s="25" t="str">
        <f>IFERROR(__xludf.DUMMYFUNCTION("""COMPUTED_VALUE"""),"")</f>
        <v/>
      </c>
    </row>
    <row r="411">
      <c r="A411" s="45"/>
      <c r="C411" s="25" t="str">
        <f>IFERROR(__xludf.DUMMYFUNCTION("""COMPUTED_VALUE"""),"")</f>
        <v/>
      </c>
      <c r="D411" s="25" t="str">
        <f>IFERROR(__xludf.DUMMYFUNCTION("""COMPUTED_VALUE"""),"")</f>
        <v/>
      </c>
    </row>
    <row r="412">
      <c r="A412" s="45"/>
      <c r="C412" s="25" t="str">
        <f>IFERROR(__xludf.DUMMYFUNCTION("""COMPUTED_VALUE"""),"")</f>
        <v/>
      </c>
      <c r="D412" s="25" t="str">
        <f>IFERROR(__xludf.DUMMYFUNCTION("""COMPUTED_VALUE"""),"")</f>
        <v/>
      </c>
    </row>
    <row r="413">
      <c r="A413" s="45"/>
      <c r="C413" s="25" t="str">
        <f>IFERROR(__xludf.DUMMYFUNCTION("""COMPUTED_VALUE"""),"")</f>
        <v/>
      </c>
      <c r="D413" s="25" t="str">
        <f>IFERROR(__xludf.DUMMYFUNCTION("""COMPUTED_VALUE"""),"")</f>
        <v/>
      </c>
    </row>
    <row r="414">
      <c r="A414" s="45"/>
      <c r="C414" s="25" t="str">
        <f>IFERROR(__xludf.DUMMYFUNCTION("""COMPUTED_VALUE"""),"")</f>
        <v/>
      </c>
      <c r="D414" s="25" t="str">
        <f>IFERROR(__xludf.DUMMYFUNCTION("""COMPUTED_VALUE"""),"")</f>
        <v/>
      </c>
    </row>
    <row r="415">
      <c r="A415" s="45"/>
      <c r="C415" s="25" t="str">
        <f>IFERROR(__xludf.DUMMYFUNCTION("""COMPUTED_VALUE"""),"")</f>
        <v/>
      </c>
      <c r="D415" s="25" t="str">
        <f>IFERROR(__xludf.DUMMYFUNCTION("""COMPUTED_VALUE"""),"")</f>
        <v/>
      </c>
    </row>
    <row r="416">
      <c r="A416" s="45"/>
      <c r="C416" s="25" t="str">
        <f>IFERROR(__xludf.DUMMYFUNCTION("""COMPUTED_VALUE"""),"")</f>
        <v/>
      </c>
      <c r="D416" s="25" t="str">
        <f>IFERROR(__xludf.DUMMYFUNCTION("""COMPUTED_VALUE"""),"")</f>
        <v/>
      </c>
    </row>
    <row r="417">
      <c r="A417" s="45"/>
      <c r="C417" s="25" t="str">
        <f>IFERROR(__xludf.DUMMYFUNCTION("""COMPUTED_VALUE"""),"")</f>
        <v/>
      </c>
      <c r="D417" s="25" t="str">
        <f>IFERROR(__xludf.DUMMYFUNCTION("""COMPUTED_VALUE"""),"")</f>
        <v/>
      </c>
    </row>
    <row r="418">
      <c r="A418" s="45"/>
      <c r="C418" s="25" t="str">
        <f>IFERROR(__xludf.DUMMYFUNCTION("""COMPUTED_VALUE"""),"")</f>
        <v/>
      </c>
      <c r="D418" s="25" t="str">
        <f>IFERROR(__xludf.DUMMYFUNCTION("""COMPUTED_VALUE"""),"")</f>
        <v/>
      </c>
    </row>
    <row r="419">
      <c r="A419" s="45"/>
      <c r="C419" s="25" t="str">
        <f>IFERROR(__xludf.DUMMYFUNCTION("""COMPUTED_VALUE"""),"")</f>
        <v/>
      </c>
      <c r="D419" s="25" t="str">
        <f>IFERROR(__xludf.DUMMYFUNCTION("""COMPUTED_VALUE"""),"")</f>
        <v/>
      </c>
    </row>
    <row r="420">
      <c r="A420" s="45"/>
      <c r="C420" s="25" t="str">
        <f>IFERROR(__xludf.DUMMYFUNCTION("""COMPUTED_VALUE"""),"")</f>
        <v/>
      </c>
      <c r="D420" s="25" t="str">
        <f>IFERROR(__xludf.DUMMYFUNCTION("""COMPUTED_VALUE"""),"")</f>
        <v/>
      </c>
    </row>
    <row r="421">
      <c r="A421" s="45"/>
      <c r="C421" s="25" t="str">
        <f>IFERROR(__xludf.DUMMYFUNCTION("""COMPUTED_VALUE"""),"")</f>
        <v/>
      </c>
      <c r="D421" s="25" t="str">
        <f>IFERROR(__xludf.DUMMYFUNCTION("""COMPUTED_VALUE"""),"")</f>
        <v/>
      </c>
    </row>
    <row r="422">
      <c r="A422" s="45"/>
      <c r="C422" s="25" t="str">
        <f>IFERROR(__xludf.DUMMYFUNCTION("""COMPUTED_VALUE"""),"")</f>
        <v/>
      </c>
      <c r="D422" s="25" t="str">
        <f>IFERROR(__xludf.DUMMYFUNCTION("""COMPUTED_VALUE"""),"")</f>
        <v/>
      </c>
    </row>
    <row r="423">
      <c r="A423" s="45"/>
      <c r="C423" s="25" t="str">
        <f>IFERROR(__xludf.DUMMYFUNCTION("""COMPUTED_VALUE"""),"")</f>
        <v/>
      </c>
      <c r="D423" s="25" t="str">
        <f>IFERROR(__xludf.DUMMYFUNCTION("""COMPUTED_VALUE"""),"")</f>
        <v/>
      </c>
    </row>
    <row r="424">
      <c r="A424" s="45"/>
      <c r="C424" s="25" t="str">
        <f>IFERROR(__xludf.DUMMYFUNCTION("""COMPUTED_VALUE"""),"")</f>
        <v/>
      </c>
      <c r="D424" s="25" t="str">
        <f>IFERROR(__xludf.DUMMYFUNCTION("""COMPUTED_VALUE"""),"")</f>
        <v/>
      </c>
    </row>
    <row r="425">
      <c r="A425" s="45"/>
      <c r="C425" s="25" t="str">
        <f>IFERROR(__xludf.DUMMYFUNCTION("""COMPUTED_VALUE"""),"")</f>
        <v/>
      </c>
      <c r="D425" s="25" t="str">
        <f>IFERROR(__xludf.DUMMYFUNCTION("""COMPUTED_VALUE"""),"")</f>
        <v/>
      </c>
    </row>
    <row r="426">
      <c r="A426" s="45"/>
      <c r="C426" s="25" t="str">
        <f>IFERROR(__xludf.DUMMYFUNCTION("""COMPUTED_VALUE"""),"")</f>
        <v/>
      </c>
      <c r="D426" s="25" t="str">
        <f>IFERROR(__xludf.DUMMYFUNCTION("""COMPUTED_VALUE"""),"")</f>
        <v/>
      </c>
    </row>
    <row r="427">
      <c r="A427" s="45"/>
      <c r="C427" s="25" t="str">
        <f>IFERROR(__xludf.DUMMYFUNCTION("""COMPUTED_VALUE"""),"")</f>
        <v/>
      </c>
      <c r="D427" s="25" t="str">
        <f>IFERROR(__xludf.DUMMYFUNCTION("""COMPUTED_VALUE"""),"")</f>
        <v/>
      </c>
    </row>
    <row r="428">
      <c r="A428" s="45"/>
      <c r="C428" s="25" t="str">
        <f>IFERROR(__xludf.DUMMYFUNCTION("""COMPUTED_VALUE"""),"")</f>
        <v/>
      </c>
      <c r="D428" s="25" t="str">
        <f>IFERROR(__xludf.DUMMYFUNCTION("""COMPUTED_VALUE"""),"")</f>
        <v/>
      </c>
    </row>
    <row r="429">
      <c r="A429" s="45"/>
      <c r="C429" s="25" t="str">
        <f>IFERROR(__xludf.DUMMYFUNCTION("""COMPUTED_VALUE"""),"")</f>
        <v/>
      </c>
      <c r="D429" s="25" t="str">
        <f>IFERROR(__xludf.DUMMYFUNCTION("""COMPUTED_VALUE"""),"")</f>
        <v/>
      </c>
    </row>
    <row r="430">
      <c r="A430" s="45"/>
      <c r="C430" s="25" t="str">
        <f>IFERROR(__xludf.DUMMYFUNCTION("""COMPUTED_VALUE"""),"")</f>
        <v/>
      </c>
      <c r="D430" s="25" t="str">
        <f>IFERROR(__xludf.DUMMYFUNCTION("""COMPUTED_VALUE"""),"")</f>
        <v/>
      </c>
    </row>
    <row r="431">
      <c r="A431" s="45"/>
      <c r="C431" s="25" t="str">
        <f>IFERROR(__xludf.DUMMYFUNCTION("""COMPUTED_VALUE"""),"")</f>
        <v/>
      </c>
      <c r="D431" s="25" t="str">
        <f>IFERROR(__xludf.DUMMYFUNCTION("""COMPUTED_VALUE"""),"")</f>
        <v/>
      </c>
    </row>
    <row r="432">
      <c r="A432" s="45"/>
      <c r="C432" s="25" t="str">
        <f>IFERROR(__xludf.DUMMYFUNCTION("""COMPUTED_VALUE"""),"")</f>
        <v/>
      </c>
      <c r="D432" s="25" t="str">
        <f>IFERROR(__xludf.DUMMYFUNCTION("""COMPUTED_VALUE"""),"")</f>
        <v/>
      </c>
    </row>
    <row r="433">
      <c r="A433" s="45"/>
      <c r="C433" s="25" t="str">
        <f>IFERROR(__xludf.DUMMYFUNCTION("""COMPUTED_VALUE"""),"")</f>
        <v/>
      </c>
      <c r="D433" s="25" t="str">
        <f>IFERROR(__xludf.DUMMYFUNCTION("""COMPUTED_VALUE"""),"")</f>
        <v/>
      </c>
    </row>
    <row r="434">
      <c r="A434" s="45"/>
      <c r="C434" s="25" t="str">
        <f>IFERROR(__xludf.DUMMYFUNCTION("""COMPUTED_VALUE"""),"")</f>
        <v/>
      </c>
      <c r="D434" s="25" t="str">
        <f>IFERROR(__xludf.DUMMYFUNCTION("""COMPUTED_VALUE"""),"")</f>
        <v/>
      </c>
    </row>
    <row r="435">
      <c r="A435" s="45"/>
      <c r="C435" s="25" t="str">
        <f>IFERROR(__xludf.DUMMYFUNCTION("""COMPUTED_VALUE"""),"")</f>
        <v/>
      </c>
      <c r="D435" s="25" t="str">
        <f>IFERROR(__xludf.DUMMYFUNCTION("""COMPUTED_VALUE"""),"")</f>
        <v/>
      </c>
    </row>
    <row r="436">
      <c r="A436" s="45"/>
      <c r="C436" s="25" t="str">
        <f>IFERROR(__xludf.DUMMYFUNCTION("""COMPUTED_VALUE"""),"")</f>
        <v/>
      </c>
      <c r="D436" s="25" t="str">
        <f>IFERROR(__xludf.DUMMYFUNCTION("""COMPUTED_VALUE"""),"")</f>
        <v/>
      </c>
    </row>
    <row r="437">
      <c r="A437" s="45"/>
      <c r="C437" s="25" t="str">
        <f>IFERROR(__xludf.DUMMYFUNCTION("""COMPUTED_VALUE"""),"")</f>
        <v/>
      </c>
      <c r="D437" s="25" t="str">
        <f>IFERROR(__xludf.DUMMYFUNCTION("""COMPUTED_VALUE"""),"")</f>
        <v/>
      </c>
    </row>
    <row r="438">
      <c r="A438" s="45"/>
      <c r="C438" s="25" t="str">
        <f>IFERROR(__xludf.DUMMYFUNCTION("""COMPUTED_VALUE"""),"")</f>
        <v/>
      </c>
      <c r="D438" s="25" t="str">
        <f>IFERROR(__xludf.DUMMYFUNCTION("""COMPUTED_VALUE"""),"")</f>
        <v/>
      </c>
    </row>
    <row r="439">
      <c r="A439" s="45"/>
      <c r="C439" s="25" t="str">
        <f>IFERROR(__xludf.DUMMYFUNCTION("""COMPUTED_VALUE"""),"")</f>
        <v/>
      </c>
      <c r="D439" s="25" t="str">
        <f>IFERROR(__xludf.DUMMYFUNCTION("""COMPUTED_VALUE"""),"")</f>
        <v/>
      </c>
    </row>
    <row r="440">
      <c r="A440" s="45"/>
      <c r="C440" s="25" t="str">
        <f>IFERROR(__xludf.DUMMYFUNCTION("""COMPUTED_VALUE"""),"")</f>
        <v/>
      </c>
      <c r="D440" s="25" t="str">
        <f>IFERROR(__xludf.DUMMYFUNCTION("""COMPUTED_VALUE"""),"")</f>
        <v/>
      </c>
    </row>
    <row r="441">
      <c r="A441" s="45"/>
      <c r="C441" s="25" t="str">
        <f>IFERROR(__xludf.DUMMYFUNCTION("""COMPUTED_VALUE"""),"")</f>
        <v/>
      </c>
      <c r="D441" s="25" t="str">
        <f>IFERROR(__xludf.DUMMYFUNCTION("""COMPUTED_VALUE"""),"")</f>
        <v/>
      </c>
    </row>
    <row r="442">
      <c r="A442" s="45"/>
      <c r="C442" s="25" t="str">
        <f>IFERROR(__xludf.DUMMYFUNCTION("""COMPUTED_VALUE"""),"")</f>
        <v/>
      </c>
      <c r="D442" s="25" t="str">
        <f>IFERROR(__xludf.DUMMYFUNCTION("""COMPUTED_VALUE"""),"")</f>
        <v/>
      </c>
    </row>
    <row r="443">
      <c r="A443" s="45"/>
      <c r="C443" s="25" t="str">
        <f>IFERROR(__xludf.DUMMYFUNCTION("""COMPUTED_VALUE"""),"")</f>
        <v/>
      </c>
      <c r="D443" s="25" t="str">
        <f>IFERROR(__xludf.DUMMYFUNCTION("""COMPUTED_VALUE"""),"")</f>
        <v/>
      </c>
    </row>
    <row r="444">
      <c r="A444" s="45"/>
      <c r="C444" s="25" t="str">
        <f>IFERROR(__xludf.DUMMYFUNCTION("""COMPUTED_VALUE"""),"")</f>
        <v/>
      </c>
      <c r="D444" s="25" t="str">
        <f>IFERROR(__xludf.DUMMYFUNCTION("""COMPUTED_VALUE"""),"")</f>
        <v/>
      </c>
    </row>
    <row r="445">
      <c r="A445" s="45"/>
      <c r="C445" s="25" t="str">
        <f>IFERROR(__xludf.DUMMYFUNCTION("""COMPUTED_VALUE"""),"")</f>
        <v/>
      </c>
      <c r="D445" s="25" t="str">
        <f>IFERROR(__xludf.DUMMYFUNCTION("""COMPUTED_VALUE"""),"")</f>
        <v/>
      </c>
    </row>
    <row r="446">
      <c r="A446" s="45"/>
      <c r="C446" s="25" t="str">
        <f>IFERROR(__xludf.DUMMYFUNCTION("""COMPUTED_VALUE"""),"")</f>
        <v/>
      </c>
      <c r="D446" s="25" t="str">
        <f>IFERROR(__xludf.DUMMYFUNCTION("""COMPUTED_VALUE"""),"")</f>
        <v/>
      </c>
    </row>
    <row r="447">
      <c r="A447" s="45"/>
      <c r="C447" s="25" t="str">
        <f>IFERROR(__xludf.DUMMYFUNCTION("""COMPUTED_VALUE"""),"")</f>
        <v/>
      </c>
      <c r="D447" s="25" t="str">
        <f>IFERROR(__xludf.DUMMYFUNCTION("""COMPUTED_VALUE"""),"")</f>
        <v/>
      </c>
    </row>
    <row r="448">
      <c r="A448" s="45"/>
      <c r="C448" s="25" t="str">
        <f>IFERROR(__xludf.DUMMYFUNCTION("""COMPUTED_VALUE"""),"")</f>
        <v/>
      </c>
      <c r="D448" s="25" t="str">
        <f>IFERROR(__xludf.DUMMYFUNCTION("""COMPUTED_VALUE"""),"")</f>
        <v/>
      </c>
    </row>
    <row r="449">
      <c r="A449" s="45"/>
      <c r="C449" s="25" t="str">
        <f>IFERROR(__xludf.DUMMYFUNCTION("""COMPUTED_VALUE"""),"")</f>
        <v/>
      </c>
      <c r="D449" s="25" t="str">
        <f>IFERROR(__xludf.DUMMYFUNCTION("""COMPUTED_VALUE"""),"")</f>
        <v/>
      </c>
    </row>
    <row r="450">
      <c r="A450" s="45"/>
      <c r="C450" s="25" t="str">
        <f>IFERROR(__xludf.DUMMYFUNCTION("""COMPUTED_VALUE"""),"")</f>
        <v/>
      </c>
      <c r="D450" s="25" t="str">
        <f>IFERROR(__xludf.DUMMYFUNCTION("""COMPUTED_VALUE"""),"")</f>
        <v/>
      </c>
    </row>
    <row r="451">
      <c r="A451" s="45"/>
      <c r="C451" s="25" t="str">
        <f>IFERROR(__xludf.DUMMYFUNCTION("""COMPUTED_VALUE"""),"")</f>
        <v/>
      </c>
      <c r="D451" s="25" t="str">
        <f>IFERROR(__xludf.DUMMYFUNCTION("""COMPUTED_VALUE"""),"")</f>
        <v/>
      </c>
    </row>
    <row r="452">
      <c r="A452" s="45"/>
      <c r="C452" s="25" t="str">
        <f>IFERROR(__xludf.DUMMYFUNCTION("""COMPUTED_VALUE"""),"")</f>
        <v/>
      </c>
      <c r="D452" s="25" t="str">
        <f>IFERROR(__xludf.DUMMYFUNCTION("""COMPUTED_VALUE"""),"")</f>
        <v/>
      </c>
    </row>
    <row r="453">
      <c r="A453" s="45"/>
      <c r="C453" s="25" t="str">
        <f>IFERROR(__xludf.DUMMYFUNCTION("""COMPUTED_VALUE"""),"")</f>
        <v/>
      </c>
      <c r="D453" s="25" t="str">
        <f>IFERROR(__xludf.DUMMYFUNCTION("""COMPUTED_VALUE"""),"")</f>
        <v/>
      </c>
    </row>
    <row r="454">
      <c r="A454" s="45"/>
      <c r="C454" s="25" t="str">
        <f>IFERROR(__xludf.DUMMYFUNCTION("""COMPUTED_VALUE"""),"")</f>
        <v/>
      </c>
      <c r="D454" s="25" t="str">
        <f>IFERROR(__xludf.DUMMYFUNCTION("""COMPUTED_VALUE"""),"")</f>
        <v/>
      </c>
    </row>
    <row r="455">
      <c r="A455" s="45"/>
      <c r="C455" s="25" t="str">
        <f>IFERROR(__xludf.DUMMYFUNCTION("""COMPUTED_VALUE"""),"")</f>
        <v/>
      </c>
      <c r="D455" s="25" t="str">
        <f>IFERROR(__xludf.DUMMYFUNCTION("""COMPUTED_VALUE"""),"")</f>
        <v/>
      </c>
    </row>
    <row r="456">
      <c r="A456" s="45"/>
      <c r="C456" s="25" t="str">
        <f>IFERROR(__xludf.DUMMYFUNCTION("""COMPUTED_VALUE"""),"")</f>
        <v/>
      </c>
      <c r="D456" s="25" t="str">
        <f>IFERROR(__xludf.DUMMYFUNCTION("""COMPUTED_VALUE"""),"")</f>
        <v/>
      </c>
    </row>
    <row r="457">
      <c r="A457" s="45"/>
      <c r="C457" s="25" t="str">
        <f>IFERROR(__xludf.DUMMYFUNCTION("""COMPUTED_VALUE"""),"")</f>
        <v/>
      </c>
      <c r="D457" s="25" t="str">
        <f>IFERROR(__xludf.DUMMYFUNCTION("""COMPUTED_VALUE"""),"")</f>
        <v/>
      </c>
    </row>
    <row r="458">
      <c r="A458" s="45"/>
      <c r="C458" s="25" t="str">
        <f>IFERROR(__xludf.DUMMYFUNCTION("""COMPUTED_VALUE"""),"")</f>
        <v/>
      </c>
      <c r="D458" s="25" t="str">
        <f>IFERROR(__xludf.DUMMYFUNCTION("""COMPUTED_VALUE"""),"")</f>
        <v/>
      </c>
    </row>
    <row r="459">
      <c r="A459" s="45"/>
      <c r="C459" s="25" t="str">
        <f>IFERROR(__xludf.DUMMYFUNCTION("""COMPUTED_VALUE"""),"")</f>
        <v/>
      </c>
      <c r="D459" s="25" t="str">
        <f>IFERROR(__xludf.DUMMYFUNCTION("""COMPUTED_VALUE"""),"")</f>
        <v/>
      </c>
    </row>
    <row r="460">
      <c r="A460" s="45"/>
      <c r="C460" s="25" t="str">
        <f>IFERROR(__xludf.DUMMYFUNCTION("""COMPUTED_VALUE"""),"")</f>
        <v/>
      </c>
      <c r="D460" s="25" t="str">
        <f>IFERROR(__xludf.DUMMYFUNCTION("""COMPUTED_VALUE"""),"")</f>
        <v/>
      </c>
    </row>
    <row r="461">
      <c r="A461" s="45"/>
      <c r="C461" s="25" t="str">
        <f>IFERROR(__xludf.DUMMYFUNCTION("""COMPUTED_VALUE"""),"")</f>
        <v/>
      </c>
      <c r="D461" s="25" t="str">
        <f>IFERROR(__xludf.DUMMYFUNCTION("""COMPUTED_VALUE"""),"")</f>
        <v/>
      </c>
    </row>
    <row r="462">
      <c r="A462" s="45"/>
      <c r="C462" s="25" t="str">
        <f>IFERROR(__xludf.DUMMYFUNCTION("""COMPUTED_VALUE"""),"")</f>
        <v/>
      </c>
      <c r="D462" s="25" t="str">
        <f>IFERROR(__xludf.DUMMYFUNCTION("""COMPUTED_VALUE"""),"")</f>
        <v/>
      </c>
    </row>
    <row r="463">
      <c r="A463" s="45"/>
      <c r="C463" s="25" t="str">
        <f>IFERROR(__xludf.DUMMYFUNCTION("""COMPUTED_VALUE"""),"")</f>
        <v/>
      </c>
      <c r="D463" s="25" t="str">
        <f>IFERROR(__xludf.DUMMYFUNCTION("""COMPUTED_VALUE"""),"")</f>
        <v/>
      </c>
    </row>
    <row r="464">
      <c r="A464" s="45"/>
      <c r="C464" s="25" t="str">
        <f>IFERROR(__xludf.DUMMYFUNCTION("""COMPUTED_VALUE"""),"")</f>
        <v/>
      </c>
      <c r="D464" s="25" t="str">
        <f>IFERROR(__xludf.DUMMYFUNCTION("""COMPUTED_VALUE"""),"")</f>
        <v/>
      </c>
    </row>
    <row r="465">
      <c r="A465" s="45"/>
      <c r="C465" s="25" t="str">
        <f>IFERROR(__xludf.DUMMYFUNCTION("""COMPUTED_VALUE"""),"")</f>
        <v/>
      </c>
      <c r="D465" s="25" t="str">
        <f>IFERROR(__xludf.DUMMYFUNCTION("""COMPUTED_VALUE"""),"")</f>
        <v/>
      </c>
    </row>
    <row r="466">
      <c r="A466" s="45"/>
      <c r="C466" s="25" t="str">
        <f>IFERROR(__xludf.DUMMYFUNCTION("""COMPUTED_VALUE"""),"")</f>
        <v/>
      </c>
      <c r="D466" s="25" t="str">
        <f>IFERROR(__xludf.DUMMYFUNCTION("""COMPUTED_VALUE"""),"")</f>
        <v/>
      </c>
    </row>
    <row r="467">
      <c r="A467" s="45"/>
      <c r="C467" s="25" t="str">
        <f>IFERROR(__xludf.DUMMYFUNCTION("""COMPUTED_VALUE"""),"")</f>
        <v/>
      </c>
      <c r="D467" s="25" t="str">
        <f>IFERROR(__xludf.DUMMYFUNCTION("""COMPUTED_VALUE"""),"")</f>
        <v/>
      </c>
    </row>
    <row r="468">
      <c r="A468" s="45"/>
      <c r="C468" s="25" t="str">
        <f>IFERROR(__xludf.DUMMYFUNCTION("""COMPUTED_VALUE"""),"")</f>
        <v/>
      </c>
      <c r="D468" s="25" t="str">
        <f>IFERROR(__xludf.DUMMYFUNCTION("""COMPUTED_VALUE"""),"")</f>
        <v/>
      </c>
    </row>
    <row r="469">
      <c r="A469" s="45"/>
      <c r="C469" s="25" t="str">
        <f>IFERROR(__xludf.DUMMYFUNCTION("""COMPUTED_VALUE"""),"")</f>
        <v/>
      </c>
      <c r="D469" s="25" t="str">
        <f>IFERROR(__xludf.DUMMYFUNCTION("""COMPUTED_VALUE"""),"")</f>
        <v/>
      </c>
    </row>
    <row r="470">
      <c r="A470" s="45"/>
      <c r="C470" s="25" t="str">
        <f>IFERROR(__xludf.DUMMYFUNCTION("""COMPUTED_VALUE"""),"")</f>
        <v/>
      </c>
      <c r="D470" s="25" t="str">
        <f>IFERROR(__xludf.DUMMYFUNCTION("""COMPUTED_VALUE"""),"")</f>
        <v/>
      </c>
    </row>
    <row r="471">
      <c r="A471" s="45"/>
      <c r="C471" s="25" t="str">
        <f>IFERROR(__xludf.DUMMYFUNCTION("""COMPUTED_VALUE"""),"")</f>
        <v/>
      </c>
      <c r="D471" s="25" t="str">
        <f>IFERROR(__xludf.DUMMYFUNCTION("""COMPUTED_VALUE"""),"")</f>
        <v/>
      </c>
    </row>
    <row r="472">
      <c r="A472" s="45"/>
      <c r="C472" s="25" t="str">
        <f>IFERROR(__xludf.DUMMYFUNCTION("""COMPUTED_VALUE"""),"")</f>
        <v/>
      </c>
      <c r="D472" s="25" t="str">
        <f>IFERROR(__xludf.DUMMYFUNCTION("""COMPUTED_VALUE"""),"")</f>
        <v/>
      </c>
    </row>
    <row r="473">
      <c r="A473" s="45"/>
      <c r="C473" s="25" t="str">
        <f>IFERROR(__xludf.DUMMYFUNCTION("""COMPUTED_VALUE"""),"")</f>
        <v/>
      </c>
      <c r="D473" s="25" t="str">
        <f>IFERROR(__xludf.DUMMYFUNCTION("""COMPUTED_VALUE"""),"")</f>
        <v/>
      </c>
    </row>
    <row r="474">
      <c r="A474" s="45"/>
      <c r="C474" s="25" t="str">
        <f>IFERROR(__xludf.DUMMYFUNCTION("""COMPUTED_VALUE"""),"")</f>
        <v/>
      </c>
      <c r="D474" s="25" t="str">
        <f>IFERROR(__xludf.DUMMYFUNCTION("""COMPUTED_VALUE"""),"")</f>
        <v/>
      </c>
    </row>
    <row r="475">
      <c r="A475" s="45"/>
      <c r="C475" s="25" t="str">
        <f>IFERROR(__xludf.DUMMYFUNCTION("""COMPUTED_VALUE"""),"")</f>
        <v/>
      </c>
      <c r="D475" s="25" t="str">
        <f>IFERROR(__xludf.DUMMYFUNCTION("""COMPUTED_VALUE"""),"")</f>
        <v/>
      </c>
    </row>
    <row r="476">
      <c r="A476" s="45"/>
      <c r="C476" s="25" t="str">
        <f>IFERROR(__xludf.DUMMYFUNCTION("""COMPUTED_VALUE"""),"")</f>
        <v/>
      </c>
      <c r="D476" s="25" t="str">
        <f>IFERROR(__xludf.DUMMYFUNCTION("""COMPUTED_VALUE"""),"")</f>
        <v/>
      </c>
    </row>
    <row r="477">
      <c r="A477" s="45"/>
      <c r="C477" s="25" t="str">
        <f>IFERROR(__xludf.DUMMYFUNCTION("""COMPUTED_VALUE"""),"")</f>
        <v/>
      </c>
      <c r="D477" s="25" t="str">
        <f>IFERROR(__xludf.DUMMYFUNCTION("""COMPUTED_VALUE"""),"")</f>
        <v/>
      </c>
    </row>
    <row r="478">
      <c r="A478" s="45"/>
      <c r="C478" s="25" t="str">
        <f>IFERROR(__xludf.DUMMYFUNCTION("""COMPUTED_VALUE"""),"")</f>
        <v/>
      </c>
      <c r="D478" s="25" t="str">
        <f>IFERROR(__xludf.DUMMYFUNCTION("""COMPUTED_VALUE"""),"")</f>
        <v/>
      </c>
    </row>
    <row r="479">
      <c r="A479" s="45"/>
      <c r="C479" s="25" t="str">
        <f>IFERROR(__xludf.DUMMYFUNCTION("""COMPUTED_VALUE"""),"")</f>
        <v/>
      </c>
      <c r="D479" s="25" t="str">
        <f>IFERROR(__xludf.DUMMYFUNCTION("""COMPUTED_VALUE"""),"")</f>
        <v/>
      </c>
    </row>
    <row r="480">
      <c r="A480" s="45"/>
      <c r="C480" s="25" t="str">
        <f>IFERROR(__xludf.DUMMYFUNCTION("""COMPUTED_VALUE"""),"")</f>
        <v/>
      </c>
      <c r="D480" s="25" t="str">
        <f>IFERROR(__xludf.DUMMYFUNCTION("""COMPUTED_VALUE"""),"")</f>
        <v/>
      </c>
    </row>
    <row r="481">
      <c r="A481" s="45"/>
      <c r="C481" s="25" t="str">
        <f>IFERROR(__xludf.DUMMYFUNCTION("""COMPUTED_VALUE"""),"")</f>
        <v/>
      </c>
      <c r="D481" s="25" t="str">
        <f>IFERROR(__xludf.DUMMYFUNCTION("""COMPUTED_VALUE"""),"")</f>
        <v/>
      </c>
    </row>
    <row r="482">
      <c r="A482" s="45"/>
      <c r="C482" s="25" t="str">
        <f>IFERROR(__xludf.DUMMYFUNCTION("""COMPUTED_VALUE"""),"")</f>
        <v/>
      </c>
      <c r="D482" s="25" t="str">
        <f>IFERROR(__xludf.DUMMYFUNCTION("""COMPUTED_VALUE"""),"")</f>
        <v/>
      </c>
    </row>
    <row r="483">
      <c r="A483" s="45"/>
      <c r="C483" s="25" t="str">
        <f>IFERROR(__xludf.DUMMYFUNCTION("""COMPUTED_VALUE"""),"")</f>
        <v/>
      </c>
      <c r="D483" s="25" t="str">
        <f>IFERROR(__xludf.DUMMYFUNCTION("""COMPUTED_VALUE"""),"")</f>
        <v/>
      </c>
    </row>
    <row r="484">
      <c r="A484" s="45"/>
      <c r="C484" s="25" t="str">
        <f>IFERROR(__xludf.DUMMYFUNCTION("""COMPUTED_VALUE"""),"")</f>
        <v/>
      </c>
      <c r="D484" s="25" t="str">
        <f>IFERROR(__xludf.DUMMYFUNCTION("""COMPUTED_VALUE"""),"")</f>
        <v/>
      </c>
    </row>
    <row r="485">
      <c r="A485" s="45"/>
      <c r="C485" s="25" t="str">
        <f>IFERROR(__xludf.DUMMYFUNCTION("""COMPUTED_VALUE"""),"")</f>
        <v/>
      </c>
      <c r="D485" s="25" t="str">
        <f>IFERROR(__xludf.DUMMYFUNCTION("""COMPUTED_VALUE"""),"")</f>
        <v/>
      </c>
    </row>
    <row r="486">
      <c r="A486" s="45"/>
      <c r="C486" s="25" t="str">
        <f>IFERROR(__xludf.DUMMYFUNCTION("""COMPUTED_VALUE"""),"")</f>
        <v/>
      </c>
      <c r="D486" s="25" t="str">
        <f>IFERROR(__xludf.DUMMYFUNCTION("""COMPUTED_VALUE"""),"")</f>
        <v/>
      </c>
    </row>
    <row r="487">
      <c r="A487" s="45"/>
      <c r="C487" s="25" t="str">
        <f>IFERROR(__xludf.DUMMYFUNCTION("""COMPUTED_VALUE"""),"")</f>
        <v/>
      </c>
      <c r="D487" s="25" t="str">
        <f>IFERROR(__xludf.DUMMYFUNCTION("""COMPUTED_VALUE"""),"")</f>
        <v/>
      </c>
    </row>
    <row r="488">
      <c r="A488" s="45"/>
      <c r="C488" s="25" t="str">
        <f>IFERROR(__xludf.DUMMYFUNCTION("""COMPUTED_VALUE"""),"")</f>
        <v/>
      </c>
      <c r="D488" s="25" t="str">
        <f>IFERROR(__xludf.DUMMYFUNCTION("""COMPUTED_VALUE"""),"")</f>
        <v/>
      </c>
    </row>
    <row r="489">
      <c r="A489" s="45"/>
      <c r="C489" s="25" t="str">
        <f>IFERROR(__xludf.DUMMYFUNCTION("""COMPUTED_VALUE"""),"")</f>
        <v/>
      </c>
      <c r="D489" s="25" t="str">
        <f>IFERROR(__xludf.DUMMYFUNCTION("""COMPUTED_VALUE"""),"")</f>
        <v/>
      </c>
    </row>
    <row r="490">
      <c r="A490" s="45"/>
      <c r="C490" s="25" t="str">
        <f>IFERROR(__xludf.DUMMYFUNCTION("""COMPUTED_VALUE"""),"")</f>
        <v/>
      </c>
      <c r="D490" s="25" t="str">
        <f>IFERROR(__xludf.DUMMYFUNCTION("""COMPUTED_VALUE"""),"")</f>
        <v/>
      </c>
    </row>
    <row r="491">
      <c r="A491" s="45"/>
      <c r="C491" s="25" t="str">
        <f>IFERROR(__xludf.DUMMYFUNCTION("""COMPUTED_VALUE"""),"")</f>
        <v/>
      </c>
      <c r="D491" s="25" t="str">
        <f>IFERROR(__xludf.DUMMYFUNCTION("""COMPUTED_VALUE"""),"")</f>
        <v/>
      </c>
    </row>
    <row r="492">
      <c r="A492" s="45"/>
      <c r="C492" s="25" t="str">
        <f>IFERROR(__xludf.DUMMYFUNCTION("""COMPUTED_VALUE"""),"")</f>
        <v/>
      </c>
      <c r="D492" s="25" t="str">
        <f>IFERROR(__xludf.DUMMYFUNCTION("""COMPUTED_VALUE"""),"")</f>
        <v/>
      </c>
    </row>
    <row r="493">
      <c r="A493" s="45"/>
      <c r="C493" s="25" t="str">
        <f>IFERROR(__xludf.DUMMYFUNCTION("""COMPUTED_VALUE"""),"")</f>
        <v/>
      </c>
      <c r="D493" s="25" t="str">
        <f>IFERROR(__xludf.DUMMYFUNCTION("""COMPUTED_VALUE"""),"")</f>
        <v/>
      </c>
    </row>
    <row r="494">
      <c r="A494" s="45"/>
      <c r="C494" s="25" t="str">
        <f>IFERROR(__xludf.DUMMYFUNCTION("""COMPUTED_VALUE"""),"")</f>
        <v/>
      </c>
      <c r="D494" s="25" t="str">
        <f>IFERROR(__xludf.DUMMYFUNCTION("""COMPUTED_VALUE"""),"")</f>
        <v/>
      </c>
    </row>
    <row r="495">
      <c r="A495" s="45"/>
      <c r="C495" s="25" t="str">
        <f>IFERROR(__xludf.DUMMYFUNCTION("""COMPUTED_VALUE"""),"")</f>
        <v/>
      </c>
      <c r="D495" s="25" t="str">
        <f>IFERROR(__xludf.DUMMYFUNCTION("""COMPUTED_VALUE"""),"")</f>
        <v/>
      </c>
    </row>
    <row r="496">
      <c r="A496" s="45"/>
      <c r="C496" s="25" t="str">
        <f>IFERROR(__xludf.DUMMYFUNCTION("""COMPUTED_VALUE"""),"")</f>
        <v/>
      </c>
      <c r="D496" s="25" t="str">
        <f>IFERROR(__xludf.DUMMYFUNCTION("""COMPUTED_VALUE"""),"")</f>
        <v/>
      </c>
    </row>
    <row r="497">
      <c r="A497" s="45"/>
      <c r="C497" s="25" t="str">
        <f>IFERROR(__xludf.DUMMYFUNCTION("""COMPUTED_VALUE"""),"")</f>
        <v/>
      </c>
      <c r="D497" s="25" t="str">
        <f>IFERROR(__xludf.DUMMYFUNCTION("""COMPUTED_VALUE"""),"")</f>
        <v/>
      </c>
    </row>
    <row r="498">
      <c r="A498" s="45"/>
      <c r="C498" s="25" t="str">
        <f>IFERROR(__xludf.DUMMYFUNCTION("""COMPUTED_VALUE"""),"")</f>
        <v/>
      </c>
      <c r="D498" s="25" t="str">
        <f>IFERROR(__xludf.DUMMYFUNCTION("""COMPUTED_VALUE"""),"")</f>
        <v/>
      </c>
    </row>
    <row r="499">
      <c r="A499" s="45"/>
      <c r="C499" s="25" t="str">
        <f>IFERROR(__xludf.DUMMYFUNCTION("""COMPUTED_VALUE"""),"")</f>
        <v/>
      </c>
      <c r="D499" s="25" t="str">
        <f>IFERROR(__xludf.DUMMYFUNCTION("""COMPUTED_VALUE"""),"")</f>
        <v/>
      </c>
    </row>
    <row r="500">
      <c r="A500" s="45"/>
      <c r="C500" s="25" t="str">
        <f>IFERROR(__xludf.DUMMYFUNCTION("""COMPUTED_VALUE"""),"")</f>
        <v/>
      </c>
      <c r="D500" s="25" t="str">
        <f>IFERROR(__xludf.DUMMYFUNCTION("""COMPUTED_VALUE"""),"")</f>
        <v/>
      </c>
    </row>
    <row r="501">
      <c r="A501" s="45"/>
      <c r="C501" s="25" t="str">
        <f>IFERROR(__xludf.DUMMYFUNCTION("""COMPUTED_VALUE"""),"")</f>
        <v/>
      </c>
      <c r="D501" s="25" t="str">
        <f>IFERROR(__xludf.DUMMYFUNCTION("""COMPUTED_VALUE"""),"")</f>
        <v/>
      </c>
    </row>
    <row r="502">
      <c r="A502" s="45"/>
      <c r="C502" s="25" t="str">
        <f>IFERROR(__xludf.DUMMYFUNCTION("""COMPUTED_VALUE"""),"")</f>
        <v/>
      </c>
      <c r="D502" s="25" t="str">
        <f>IFERROR(__xludf.DUMMYFUNCTION("""COMPUTED_VALUE"""),"")</f>
        <v/>
      </c>
    </row>
    <row r="503">
      <c r="A503" s="45"/>
      <c r="C503" s="25" t="str">
        <f>IFERROR(__xludf.DUMMYFUNCTION("""COMPUTED_VALUE"""),"")</f>
        <v/>
      </c>
      <c r="D503" s="25" t="str">
        <f>IFERROR(__xludf.DUMMYFUNCTION("""COMPUTED_VALUE"""),"")</f>
        <v/>
      </c>
    </row>
    <row r="504">
      <c r="A504" s="45"/>
      <c r="C504" s="25" t="str">
        <f>IFERROR(__xludf.DUMMYFUNCTION("""COMPUTED_VALUE"""),"")</f>
        <v/>
      </c>
      <c r="D504" s="25" t="str">
        <f>IFERROR(__xludf.DUMMYFUNCTION("""COMPUTED_VALUE"""),"")</f>
        <v/>
      </c>
    </row>
    <row r="505">
      <c r="A505" s="45"/>
      <c r="C505" s="25" t="str">
        <f>IFERROR(__xludf.DUMMYFUNCTION("""COMPUTED_VALUE"""),"")</f>
        <v/>
      </c>
      <c r="D505" s="25" t="str">
        <f>IFERROR(__xludf.DUMMYFUNCTION("""COMPUTED_VALUE"""),"")</f>
        <v/>
      </c>
    </row>
    <row r="506">
      <c r="A506" s="45"/>
      <c r="C506" s="25" t="str">
        <f>IFERROR(__xludf.DUMMYFUNCTION("""COMPUTED_VALUE"""),"")</f>
        <v/>
      </c>
      <c r="D506" s="25" t="str">
        <f>IFERROR(__xludf.DUMMYFUNCTION("""COMPUTED_VALUE"""),"")</f>
        <v/>
      </c>
    </row>
    <row r="507">
      <c r="A507" s="45"/>
      <c r="C507" s="25" t="str">
        <f>IFERROR(__xludf.DUMMYFUNCTION("""COMPUTED_VALUE"""),"")</f>
        <v/>
      </c>
      <c r="D507" s="25" t="str">
        <f>IFERROR(__xludf.DUMMYFUNCTION("""COMPUTED_VALUE"""),"")</f>
        <v/>
      </c>
    </row>
    <row r="508">
      <c r="A508" s="45"/>
      <c r="C508" s="25" t="str">
        <f>IFERROR(__xludf.DUMMYFUNCTION("""COMPUTED_VALUE"""),"")</f>
        <v/>
      </c>
      <c r="D508" s="25" t="str">
        <f>IFERROR(__xludf.DUMMYFUNCTION("""COMPUTED_VALUE"""),"")</f>
        <v/>
      </c>
    </row>
    <row r="509">
      <c r="A509" s="45"/>
      <c r="C509" s="25" t="str">
        <f>IFERROR(__xludf.DUMMYFUNCTION("""COMPUTED_VALUE"""),"")</f>
        <v/>
      </c>
      <c r="D509" s="25" t="str">
        <f>IFERROR(__xludf.DUMMYFUNCTION("""COMPUTED_VALUE"""),"")</f>
        <v/>
      </c>
    </row>
    <row r="510">
      <c r="A510" s="45"/>
      <c r="C510" s="25" t="str">
        <f>IFERROR(__xludf.DUMMYFUNCTION("""COMPUTED_VALUE"""),"")</f>
        <v/>
      </c>
      <c r="D510" s="25" t="str">
        <f>IFERROR(__xludf.DUMMYFUNCTION("""COMPUTED_VALUE"""),"")</f>
        <v/>
      </c>
    </row>
    <row r="511">
      <c r="A511" s="45"/>
      <c r="C511" s="25" t="str">
        <f>IFERROR(__xludf.DUMMYFUNCTION("""COMPUTED_VALUE"""),"")</f>
        <v/>
      </c>
      <c r="D511" s="25" t="str">
        <f>IFERROR(__xludf.DUMMYFUNCTION("""COMPUTED_VALUE"""),"")</f>
        <v/>
      </c>
    </row>
    <row r="512">
      <c r="A512" s="45"/>
      <c r="C512" s="25" t="str">
        <f>IFERROR(__xludf.DUMMYFUNCTION("""COMPUTED_VALUE"""),"")</f>
        <v/>
      </c>
      <c r="D512" s="25" t="str">
        <f>IFERROR(__xludf.DUMMYFUNCTION("""COMPUTED_VALUE"""),"")</f>
        <v/>
      </c>
    </row>
    <row r="513">
      <c r="A513" s="45"/>
      <c r="C513" s="25" t="str">
        <f>IFERROR(__xludf.DUMMYFUNCTION("""COMPUTED_VALUE"""),"")</f>
        <v/>
      </c>
      <c r="D513" s="25" t="str">
        <f>IFERROR(__xludf.DUMMYFUNCTION("""COMPUTED_VALUE"""),"")</f>
        <v/>
      </c>
    </row>
    <row r="514">
      <c r="A514" s="45"/>
      <c r="C514" s="25" t="str">
        <f>IFERROR(__xludf.DUMMYFUNCTION("""COMPUTED_VALUE"""),"")</f>
        <v/>
      </c>
      <c r="D514" s="25" t="str">
        <f>IFERROR(__xludf.DUMMYFUNCTION("""COMPUTED_VALUE"""),"")</f>
        <v/>
      </c>
    </row>
    <row r="515">
      <c r="A515" s="45"/>
      <c r="C515" s="25" t="str">
        <f>IFERROR(__xludf.DUMMYFUNCTION("""COMPUTED_VALUE"""),"")</f>
        <v/>
      </c>
      <c r="D515" s="25" t="str">
        <f>IFERROR(__xludf.DUMMYFUNCTION("""COMPUTED_VALUE"""),"")</f>
        <v/>
      </c>
    </row>
    <row r="516">
      <c r="A516" s="45"/>
      <c r="C516" s="25" t="str">
        <f>IFERROR(__xludf.DUMMYFUNCTION("""COMPUTED_VALUE"""),"")</f>
        <v/>
      </c>
      <c r="D516" s="25" t="str">
        <f>IFERROR(__xludf.DUMMYFUNCTION("""COMPUTED_VALUE"""),"")</f>
        <v/>
      </c>
    </row>
    <row r="517">
      <c r="A517" s="45"/>
      <c r="C517" s="25" t="str">
        <f>IFERROR(__xludf.DUMMYFUNCTION("""COMPUTED_VALUE"""),"")</f>
        <v/>
      </c>
      <c r="D517" s="25" t="str">
        <f>IFERROR(__xludf.DUMMYFUNCTION("""COMPUTED_VALUE"""),"")</f>
        <v/>
      </c>
    </row>
    <row r="518">
      <c r="A518" s="45"/>
      <c r="C518" s="25" t="str">
        <f>IFERROR(__xludf.DUMMYFUNCTION("""COMPUTED_VALUE"""),"")</f>
        <v/>
      </c>
      <c r="D518" s="25" t="str">
        <f>IFERROR(__xludf.DUMMYFUNCTION("""COMPUTED_VALUE"""),"")</f>
        <v/>
      </c>
    </row>
    <row r="519">
      <c r="A519" s="45"/>
      <c r="C519" s="25" t="str">
        <f>IFERROR(__xludf.DUMMYFUNCTION("""COMPUTED_VALUE"""),"")</f>
        <v/>
      </c>
      <c r="D519" s="25" t="str">
        <f>IFERROR(__xludf.DUMMYFUNCTION("""COMPUTED_VALUE"""),"")</f>
        <v/>
      </c>
    </row>
    <row r="520">
      <c r="A520" s="45"/>
      <c r="C520" s="25" t="str">
        <f>IFERROR(__xludf.DUMMYFUNCTION("""COMPUTED_VALUE"""),"")</f>
        <v/>
      </c>
      <c r="D520" s="25" t="str">
        <f>IFERROR(__xludf.DUMMYFUNCTION("""COMPUTED_VALUE"""),"")</f>
        <v/>
      </c>
    </row>
    <row r="521">
      <c r="A521" s="45"/>
      <c r="C521" s="25" t="str">
        <f>IFERROR(__xludf.DUMMYFUNCTION("""COMPUTED_VALUE"""),"")</f>
        <v/>
      </c>
      <c r="D521" s="25" t="str">
        <f>IFERROR(__xludf.DUMMYFUNCTION("""COMPUTED_VALUE"""),"")</f>
        <v/>
      </c>
    </row>
    <row r="522">
      <c r="A522" s="45"/>
      <c r="C522" s="25" t="str">
        <f>IFERROR(__xludf.DUMMYFUNCTION("""COMPUTED_VALUE"""),"")</f>
        <v/>
      </c>
      <c r="D522" s="25" t="str">
        <f>IFERROR(__xludf.DUMMYFUNCTION("""COMPUTED_VALUE"""),"")</f>
        <v/>
      </c>
    </row>
    <row r="523">
      <c r="A523" s="45"/>
      <c r="C523" s="25" t="str">
        <f>IFERROR(__xludf.DUMMYFUNCTION("""COMPUTED_VALUE"""),"")</f>
        <v/>
      </c>
      <c r="D523" s="25" t="str">
        <f>IFERROR(__xludf.DUMMYFUNCTION("""COMPUTED_VALUE"""),"")</f>
        <v/>
      </c>
    </row>
    <row r="524">
      <c r="A524" s="45"/>
      <c r="C524" s="25" t="str">
        <f>IFERROR(__xludf.DUMMYFUNCTION("""COMPUTED_VALUE"""),"")</f>
        <v/>
      </c>
      <c r="D524" s="25" t="str">
        <f>IFERROR(__xludf.DUMMYFUNCTION("""COMPUTED_VALUE"""),"")</f>
        <v/>
      </c>
    </row>
    <row r="525">
      <c r="A525" s="45"/>
      <c r="C525" s="25" t="str">
        <f>IFERROR(__xludf.DUMMYFUNCTION("""COMPUTED_VALUE"""),"")</f>
        <v/>
      </c>
      <c r="D525" s="25" t="str">
        <f>IFERROR(__xludf.DUMMYFUNCTION("""COMPUTED_VALUE"""),"")</f>
        <v/>
      </c>
    </row>
    <row r="526">
      <c r="A526" s="45"/>
      <c r="C526" s="25" t="str">
        <f>IFERROR(__xludf.DUMMYFUNCTION("""COMPUTED_VALUE"""),"")</f>
        <v/>
      </c>
      <c r="D526" s="25" t="str">
        <f>IFERROR(__xludf.DUMMYFUNCTION("""COMPUTED_VALUE"""),"")</f>
        <v/>
      </c>
    </row>
    <row r="527">
      <c r="A527" s="45"/>
      <c r="C527" s="25" t="str">
        <f>IFERROR(__xludf.DUMMYFUNCTION("""COMPUTED_VALUE"""),"")</f>
        <v/>
      </c>
      <c r="D527" s="25" t="str">
        <f>IFERROR(__xludf.DUMMYFUNCTION("""COMPUTED_VALUE"""),"")</f>
        <v/>
      </c>
    </row>
    <row r="528">
      <c r="A528" s="45"/>
      <c r="C528" s="25" t="str">
        <f>IFERROR(__xludf.DUMMYFUNCTION("""COMPUTED_VALUE"""),"")</f>
        <v/>
      </c>
      <c r="D528" s="25" t="str">
        <f>IFERROR(__xludf.DUMMYFUNCTION("""COMPUTED_VALUE"""),"")</f>
        <v/>
      </c>
    </row>
    <row r="529">
      <c r="A529" s="45"/>
      <c r="C529" s="25" t="str">
        <f>IFERROR(__xludf.DUMMYFUNCTION("""COMPUTED_VALUE"""),"")</f>
        <v/>
      </c>
      <c r="D529" s="25" t="str">
        <f>IFERROR(__xludf.DUMMYFUNCTION("""COMPUTED_VALUE"""),"")</f>
        <v/>
      </c>
    </row>
    <row r="530">
      <c r="A530" s="45"/>
      <c r="C530" s="25" t="str">
        <f>IFERROR(__xludf.DUMMYFUNCTION("""COMPUTED_VALUE"""),"")</f>
        <v/>
      </c>
      <c r="D530" s="25" t="str">
        <f>IFERROR(__xludf.DUMMYFUNCTION("""COMPUTED_VALUE"""),"")</f>
        <v/>
      </c>
    </row>
    <row r="531">
      <c r="A531" s="45"/>
      <c r="C531" s="25" t="str">
        <f>IFERROR(__xludf.DUMMYFUNCTION("""COMPUTED_VALUE"""),"")</f>
        <v/>
      </c>
      <c r="D531" s="25" t="str">
        <f>IFERROR(__xludf.DUMMYFUNCTION("""COMPUTED_VALUE"""),"")</f>
        <v/>
      </c>
    </row>
    <row r="532">
      <c r="A532" s="45"/>
      <c r="C532" s="25" t="str">
        <f>IFERROR(__xludf.DUMMYFUNCTION("""COMPUTED_VALUE"""),"")</f>
        <v/>
      </c>
      <c r="D532" s="25" t="str">
        <f>IFERROR(__xludf.DUMMYFUNCTION("""COMPUTED_VALUE"""),"")</f>
        <v/>
      </c>
    </row>
    <row r="533">
      <c r="A533" s="45"/>
      <c r="C533" s="25" t="str">
        <f>IFERROR(__xludf.DUMMYFUNCTION("""COMPUTED_VALUE"""),"")</f>
        <v/>
      </c>
      <c r="D533" s="25" t="str">
        <f>IFERROR(__xludf.DUMMYFUNCTION("""COMPUTED_VALUE"""),"")</f>
        <v/>
      </c>
    </row>
    <row r="534">
      <c r="A534" s="45"/>
      <c r="C534" s="25" t="str">
        <f>IFERROR(__xludf.DUMMYFUNCTION("""COMPUTED_VALUE"""),"")</f>
        <v/>
      </c>
      <c r="D534" s="25" t="str">
        <f>IFERROR(__xludf.DUMMYFUNCTION("""COMPUTED_VALUE"""),"")</f>
        <v/>
      </c>
    </row>
    <row r="535">
      <c r="A535" s="45"/>
      <c r="C535" s="25" t="str">
        <f>IFERROR(__xludf.DUMMYFUNCTION("""COMPUTED_VALUE"""),"")</f>
        <v/>
      </c>
      <c r="D535" s="25" t="str">
        <f>IFERROR(__xludf.DUMMYFUNCTION("""COMPUTED_VALUE"""),"")</f>
        <v/>
      </c>
    </row>
    <row r="536">
      <c r="A536" s="45"/>
      <c r="C536" s="25" t="str">
        <f>IFERROR(__xludf.DUMMYFUNCTION("""COMPUTED_VALUE"""),"")</f>
        <v/>
      </c>
      <c r="D536" s="25" t="str">
        <f>IFERROR(__xludf.DUMMYFUNCTION("""COMPUTED_VALUE"""),"")</f>
        <v/>
      </c>
    </row>
    <row r="537">
      <c r="A537" s="45"/>
      <c r="C537" s="25" t="str">
        <f>IFERROR(__xludf.DUMMYFUNCTION("""COMPUTED_VALUE"""),"")</f>
        <v/>
      </c>
      <c r="D537" s="25" t="str">
        <f>IFERROR(__xludf.DUMMYFUNCTION("""COMPUTED_VALUE"""),"")</f>
        <v/>
      </c>
    </row>
    <row r="538">
      <c r="A538" s="45"/>
      <c r="C538" s="25" t="str">
        <f>IFERROR(__xludf.DUMMYFUNCTION("""COMPUTED_VALUE"""),"")</f>
        <v/>
      </c>
      <c r="D538" s="25" t="str">
        <f>IFERROR(__xludf.DUMMYFUNCTION("""COMPUTED_VALUE"""),"")</f>
        <v/>
      </c>
    </row>
    <row r="539">
      <c r="A539" s="45"/>
      <c r="C539" s="25" t="str">
        <f>IFERROR(__xludf.DUMMYFUNCTION("""COMPUTED_VALUE"""),"")</f>
        <v/>
      </c>
      <c r="D539" s="25" t="str">
        <f>IFERROR(__xludf.DUMMYFUNCTION("""COMPUTED_VALUE"""),"")</f>
        <v/>
      </c>
    </row>
    <row r="540">
      <c r="A540" s="45"/>
      <c r="C540" s="25" t="str">
        <f>IFERROR(__xludf.DUMMYFUNCTION("""COMPUTED_VALUE"""),"")</f>
        <v/>
      </c>
      <c r="D540" s="25" t="str">
        <f>IFERROR(__xludf.DUMMYFUNCTION("""COMPUTED_VALUE"""),"")</f>
        <v/>
      </c>
    </row>
    <row r="541">
      <c r="A541" s="45"/>
      <c r="C541" s="25" t="str">
        <f>IFERROR(__xludf.DUMMYFUNCTION("""COMPUTED_VALUE"""),"")</f>
        <v/>
      </c>
      <c r="D541" s="25" t="str">
        <f>IFERROR(__xludf.DUMMYFUNCTION("""COMPUTED_VALUE"""),"")</f>
        <v/>
      </c>
    </row>
    <row r="542">
      <c r="A542" s="45"/>
      <c r="C542" s="25" t="str">
        <f>IFERROR(__xludf.DUMMYFUNCTION("""COMPUTED_VALUE"""),"")</f>
        <v/>
      </c>
      <c r="D542" s="25" t="str">
        <f>IFERROR(__xludf.DUMMYFUNCTION("""COMPUTED_VALUE"""),"")</f>
        <v/>
      </c>
    </row>
    <row r="543">
      <c r="A543" s="45"/>
      <c r="C543" s="25" t="str">
        <f>IFERROR(__xludf.DUMMYFUNCTION("""COMPUTED_VALUE"""),"")</f>
        <v/>
      </c>
      <c r="D543" s="25" t="str">
        <f>IFERROR(__xludf.DUMMYFUNCTION("""COMPUTED_VALUE"""),"")</f>
        <v/>
      </c>
    </row>
    <row r="544">
      <c r="A544" s="45"/>
      <c r="C544" s="25" t="str">
        <f>IFERROR(__xludf.DUMMYFUNCTION("""COMPUTED_VALUE"""),"")</f>
        <v/>
      </c>
      <c r="D544" s="25" t="str">
        <f>IFERROR(__xludf.DUMMYFUNCTION("""COMPUTED_VALUE"""),"")</f>
        <v/>
      </c>
    </row>
    <row r="545">
      <c r="A545" s="45"/>
      <c r="C545" s="25" t="str">
        <f>IFERROR(__xludf.DUMMYFUNCTION("""COMPUTED_VALUE"""),"")</f>
        <v/>
      </c>
      <c r="D545" s="25" t="str">
        <f>IFERROR(__xludf.DUMMYFUNCTION("""COMPUTED_VALUE"""),"")</f>
        <v/>
      </c>
    </row>
    <row r="546">
      <c r="A546" s="45"/>
      <c r="C546" s="25" t="str">
        <f>IFERROR(__xludf.DUMMYFUNCTION("""COMPUTED_VALUE"""),"")</f>
        <v/>
      </c>
      <c r="D546" s="25" t="str">
        <f>IFERROR(__xludf.DUMMYFUNCTION("""COMPUTED_VALUE"""),"")</f>
        <v/>
      </c>
    </row>
    <row r="547">
      <c r="A547" s="45"/>
      <c r="C547" s="25" t="str">
        <f>IFERROR(__xludf.DUMMYFUNCTION("""COMPUTED_VALUE"""),"")</f>
        <v/>
      </c>
      <c r="D547" s="25" t="str">
        <f>IFERROR(__xludf.DUMMYFUNCTION("""COMPUTED_VALUE"""),"")</f>
        <v/>
      </c>
    </row>
    <row r="548">
      <c r="A548" s="45"/>
      <c r="C548" s="25" t="str">
        <f>IFERROR(__xludf.DUMMYFUNCTION("""COMPUTED_VALUE"""),"")</f>
        <v/>
      </c>
      <c r="D548" s="25" t="str">
        <f>IFERROR(__xludf.DUMMYFUNCTION("""COMPUTED_VALUE"""),"")</f>
        <v/>
      </c>
    </row>
    <row r="549">
      <c r="A549" s="45"/>
      <c r="C549" s="25" t="str">
        <f>IFERROR(__xludf.DUMMYFUNCTION("""COMPUTED_VALUE"""),"")</f>
        <v/>
      </c>
      <c r="D549" s="25" t="str">
        <f>IFERROR(__xludf.DUMMYFUNCTION("""COMPUTED_VALUE"""),"")</f>
        <v/>
      </c>
    </row>
    <row r="550">
      <c r="A550" s="45"/>
      <c r="C550" s="25" t="str">
        <f>IFERROR(__xludf.DUMMYFUNCTION("""COMPUTED_VALUE"""),"")</f>
        <v/>
      </c>
      <c r="D550" s="25" t="str">
        <f>IFERROR(__xludf.DUMMYFUNCTION("""COMPUTED_VALUE"""),"")</f>
        <v/>
      </c>
    </row>
    <row r="551">
      <c r="A551" s="45"/>
      <c r="C551" s="25" t="str">
        <f>IFERROR(__xludf.DUMMYFUNCTION("""COMPUTED_VALUE"""),"")</f>
        <v/>
      </c>
      <c r="D551" s="25" t="str">
        <f>IFERROR(__xludf.DUMMYFUNCTION("""COMPUTED_VALUE"""),"")</f>
        <v/>
      </c>
    </row>
    <row r="552">
      <c r="A552" s="45"/>
      <c r="C552" s="25" t="str">
        <f>IFERROR(__xludf.DUMMYFUNCTION("""COMPUTED_VALUE"""),"")</f>
        <v/>
      </c>
      <c r="D552" s="25" t="str">
        <f>IFERROR(__xludf.DUMMYFUNCTION("""COMPUTED_VALUE"""),"")</f>
        <v/>
      </c>
    </row>
    <row r="553">
      <c r="A553" s="45"/>
      <c r="C553" s="25" t="str">
        <f>IFERROR(__xludf.DUMMYFUNCTION("""COMPUTED_VALUE"""),"")</f>
        <v/>
      </c>
      <c r="D553" s="25" t="str">
        <f>IFERROR(__xludf.DUMMYFUNCTION("""COMPUTED_VALUE"""),"")</f>
        <v/>
      </c>
    </row>
    <row r="554">
      <c r="A554" s="45"/>
      <c r="C554" s="25" t="str">
        <f>IFERROR(__xludf.DUMMYFUNCTION("""COMPUTED_VALUE"""),"")</f>
        <v/>
      </c>
      <c r="D554" s="25" t="str">
        <f>IFERROR(__xludf.DUMMYFUNCTION("""COMPUTED_VALUE"""),"")</f>
        <v/>
      </c>
    </row>
    <row r="555">
      <c r="A555" s="45"/>
      <c r="C555" s="25" t="str">
        <f>IFERROR(__xludf.DUMMYFUNCTION("""COMPUTED_VALUE"""),"")</f>
        <v/>
      </c>
      <c r="D555" s="25" t="str">
        <f>IFERROR(__xludf.DUMMYFUNCTION("""COMPUTED_VALUE"""),"")</f>
        <v/>
      </c>
    </row>
    <row r="556">
      <c r="A556" s="45"/>
      <c r="C556" s="25" t="str">
        <f>IFERROR(__xludf.DUMMYFUNCTION("""COMPUTED_VALUE"""),"")</f>
        <v/>
      </c>
      <c r="D556" s="25" t="str">
        <f>IFERROR(__xludf.DUMMYFUNCTION("""COMPUTED_VALUE"""),"")</f>
        <v/>
      </c>
    </row>
    <row r="557">
      <c r="A557" s="45"/>
      <c r="C557" s="25" t="str">
        <f>IFERROR(__xludf.DUMMYFUNCTION("""COMPUTED_VALUE"""),"")</f>
        <v/>
      </c>
      <c r="D557" s="25" t="str">
        <f>IFERROR(__xludf.DUMMYFUNCTION("""COMPUTED_VALUE"""),"")</f>
        <v/>
      </c>
    </row>
    <row r="558">
      <c r="A558" s="45"/>
      <c r="C558" s="25" t="str">
        <f>IFERROR(__xludf.DUMMYFUNCTION("""COMPUTED_VALUE"""),"")</f>
        <v/>
      </c>
      <c r="D558" s="25" t="str">
        <f>IFERROR(__xludf.DUMMYFUNCTION("""COMPUTED_VALUE"""),"")</f>
        <v/>
      </c>
    </row>
    <row r="559">
      <c r="A559" s="45"/>
      <c r="C559" s="25" t="str">
        <f>IFERROR(__xludf.DUMMYFUNCTION("""COMPUTED_VALUE"""),"")</f>
        <v/>
      </c>
      <c r="D559" s="25" t="str">
        <f>IFERROR(__xludf.DUMMYFUNCTION("""COMPUTED_VALUE"""),"")</f>
        <v/>
      </c>
    </row>
    <row r="560">
      <c r="A560" s="45"/>
      <c r="C560" s="25" t="str">
        <f>IFERROR(__xludf.DUMMYFUNCTION("""COMPUTED_VALUE"""),"")</f>
        <v/>
      </c>
      <c r="D560" s="25" t="str">
        <f>IFERROR(__xludf.DUMMYFUNCTION("""COMPUTED_VALUE"""),"")</f>
        <v/>
      </c>
    </row>
    <row r="561">
      <c r="A561" s="45"/>
      <c r="C561" s="25" t="str">
        <f>IFERROR(__xludf.DUMMYFUNCTION("""COMPUTED_VALUE"""),"")</f>
        <v/>
      </c>
      <c r="D561" s="25" t="str">
        <f>IFERROR(__xludf.DUMMYFUNCTION("""COMPUTED_VALUE"""),"")</f>
        <v/>
      </c>
    </row>
    <row r="562">
      <c r="A562" s="45"/>
      <c r="C562" s="25" t="str">
        <f>IFERROR(__xludf.DUMMYFUNCTION("""COMPUTED_VALUE"""),"")</f>
        <v/>
      </c>
      <c r="D562" s="25" t="str">
        <f>IFERROR(__xludf.DUMMYFUNCTION("""COMPUTED_VALUE"""),"")</f>
        <v/>
      </c>
    </row>
    <row r="563">
      <c r="A563" s="45"/>
      <c r="C563" s="25" t="str">
        <f>IFERROR(__xludf.DUMMYFUNCTION("""COMPUTED_VALUE"""),"")</f>
        <v/>
      </c>
      <c r="D563" s="25" t="str">
        <f>IFERROR(__xludf.DUMMYFUNCTION("""COMPUTED_VALUE"""),"")</f>
        <v/>
      </c>
    </row>
    <row r="564">
      <c r="A564" s="45"/>
      <c r="C564" s="25" t="str">
        <f>IFERROR(__xludf.DUMMYFUNCTION("""COMPUTED_VALUE"""),"")</f>
        <v/>
      </c>
      <c r="D564" s="25" t="str">
        <f>IFERROR(__xludf.DUMMYFUNCTION("""COMPUTED_VALUE"""),"")</f>
        <v/>
      </c>
    </row>
    <row r="565">
      <c r="A565" s="45"/>
      <c r="C565" s="25" t="str">
        <f>IFERROR(__xludf.DUMMYFUNCTION("""COMPUTED_VALUE"""),"")</f>
        <v/>
      </c>
      <c r="D565" s="25" t="str">
        <f>IFERROR(__xludf.DUMMYFUNCTION("""COMPUTED_VALUE"""),"")</f>
        <v/>
      </c>
    </row>
    <row r="566">
      <c r="A566" s="45"/>
      <c r="C566" s="25" t="str">
        <f>IFERROR(__xludf.DUMMYFUNCTION("""COMPUTED_VALUE"""),"")</f>
        <v/>
      </c>
      <c r="D566" s="25" t="str">
        <f>IFERROR(__xludf.DUMMYFUNCTION("""COMPUTED_VALUE"""),"")</f>
        <v/>
      </c>
    </row>
    <row r="567">
      <c r="A567" s="45"/>
      <c r="C567" s="25" t="str">
        <f>IFERROR(__xludf.DUMMYFUNCTION("""COMPUTED_VALUE"""),"")</f>
        <v/>
      </c>
      <c r="D567" s="25" t="str">
        <f>IFERROR(__xludf.DUMMYFUNCTION("""COMPUTED_VALUE"""),"")</f>
        <v/>
      </c>
    </row>
    <row r="568">
      <c r="A568" s="45"/>
      <c r="C568" s="25" t="str">
        <f>IFERROR(__xludf.DUMMYFUNCTION("""COMPUTED_VALUE"""),"")</f>
        <v/>
      </c>
      <c r="D568" s="25" t="str">
        <f>IFERROR(__xludf.DUMMYFUNCTION("""COMPUTED_VALUE"""),"")</f>
        <v/>
      </c>
    </row>
    <row r="569">
      <c r="A569" s="45"/>
      <c r="C569" s="25" t="str">
        <f>IFERROR(__xludf.DUMMYFUNCTION("""COMPUTED_VALUE"""),"")</f>
        <v/>
      </c>
      <c r="D569" s="25" t="str">
        <f>IFERROR(__xludf.DUMMYFUNCTION("""COMPUTED_VALUE"""),"")</f>
        <v/>
      </c>
    </row>
    <row r="570">
      <c r="A570" s="45"/>
      <c r="C570" s="25" t="str">
        <f>IFERROR(__xludf.DUMMYFUNCTION("""COMPUTED_VALUE"""),"")</f>
        <v/>
      </c>
      <c r="D570" s="25" t="str">
        <f>IFERROR(__xludf.DUMMYFUNCTION("""COMPUTED_VALUE"""),"")</f>
        <v/>
      </c>
    </row>
    <row r="571">
      <c r="A571" s="45"/>
      <c r="C571" s="25" t="str">
        <f>IFERROR(__xludf.DUMMYFUNCTION("""COMPUTED_VALUE"""),"")</f>
        <v/>
      </c>
      <c r="D571" s="25" t="str">
        <f>IFERROR(__xludf.DUMMYFUNCTION("""COMPUTED_VALUE"""),"")</f>
        <v/>
      </c>
    </row>
    <row r="572">
      <c r="A572" s="45"/>
      <c r="C572" s="25" t="str">
        <f>IFERROR(__xludf.DUMMYFUNCTION("""COMPUTED_VALUE"""),"")</f>
        <v/>
      </c>
      <c r="D572" s="25" t="str">
        <f>IFERROR(__xludf.DUMMYFUNCTION("""COMPUTED_VALUE"""),"")</f>
        <v/>
      </c>
    </row>
    <row r="573">
      <c r="A573" s="45"/>
      <c r="C573" s="25" t="str">
        <f>IFERROR(__xludf.DUMMYFUNCTION("""COMPUTED_VALUE"""),"")</f>
        <v/>
      </c>
      <c r="D573" s="25" t="str">
        <f>IFERROR(__xludf.DUMMYFUNCTION("""COMPUTED_VALUE"""),"")</f>
        <v/>
      </c>
    </row>
    <row r="574">
      <c r="A574" s="45"/>
      <c r="C574" s="25" t="str">
        <f>IFERROR(__xludf.DUMMYFUNCTION("""COMPUTED_VALUE"""),"")</f>
        <v/>
      </c>
      <c r="D574" s="25" t="str">
        <f>IFERROR(__xludf.DUMMYFUNCTION("""COMPUTED_VALUE"""),"")</f>
        <v/>
      </c>
    </row>
    <row r="575">
      <c r="A575" s="45"/>
      <c r="C575" s="25" t="str">
        <f>IFERROR(__xludf.DUMMYFUNCTION("""COMPUTED_VALUE"""),"")</f>
        <v/>
      </c>
      <c r="D575" s="25" t="str">
        <f>IFERROR(__xludf.DUMMYFUNCTION("""COMPUTED_VALUE"""),"")</f>
        <v/>
      </c>
    </row>
    <row r="576">
      <c r="A576" s="45"/>
      <c r="C576" s="25" t="str">
        <f>IFERROR(__xludf.DUMMYFUNCTION("""COMPUTED_VALUE"""),"")</f>
        <v/>
      </c>
      <c r="D576" s="25" t="str">
        <f>IFERROR(__xludf.DUMMYFUNCTION("""COMPUTED_VALUE"""),"")</f>
        <v/>
      </c>
    </row>
    <row r="577">
      <c r="A577" s="45"/>
      <c r="C577" s="25" t="str">
        <f>IFERROR(__xludf.DUMMYFUNCTION("""COMPUTED_VALUE"""),"")</f>
        <v/>
      </c>
      <c r="D577" s="25" t="str">
        <f>IFERROR(__xludf.DUMMYFUNCTION("""COMPUTED_VALUE"""),"")</f>
        <v/>
      </c>
    </row>
    <row r="578">
      <c r="A578" s="45"/>
      <c r="C578" s="25" t="str">
        <f>IFERROR(__xludf.DUMMYFUNCTION("""COMPUTED_VALUE"""),"")</f>
        <v/>
      </c>
      <c r="D578" s="25" t="str">
        <f>IFERROR(__xludf.DUMMYFUNCTION("""COMPUTED_VALUE"""),"")</f>
        <v/>
      </c>
    </row>
    <row r="579">
      <c r="A579" s="45"/>
      <c r="C579" s="25" t="str">
        <f>IFERROR(__xludf.DUMMYFUNCTION("""COMPUTED_VALUE"""),"")</f>
        <v/>
      </c>
      <c r="D579" s="25" t="str">
        <f>IFERROR(__xludf.DUMMYFUNCTION("""COMPUTED_VALUE"""),"")</f>
        <v/>
      </c>
    </row>
    <row r="580">
      <c r="A580" s="45"/>
      <c r="C580" s="25" t="str">
        <f>IFERROR(__xludf.DUMMYFUNCTION("""COMPUTED_VALUE"""),"")</f>
        <v/>
      </c>
      <c r="D580" s="25" t="str">
        <f>IFERROR(__xludf.DUMMYFUNCTION("""COMPUTED_VALUE"""),"")</f>
        <v/>
      </c>
    </row>
    <row r="581">
      <c r="A581" s="45"/>
      <c r="C581" s="25" t="str">
        <f>IFERROR(__xludf.DUMMYFUNCTION("""COMPUTED_VALUE"""),"")</f>
        <v/>
      </c>
      <c r="D581" s="25" t="str">
        <f>IFERROR(__xludf.DUMMYFUNCTION("""COMPUTED_VALUE"""),"")</f>
        <v/>
      </c>
    </row>
    <row r="582">
      <c r="A582" s="45"/>
      <c r="C582" s="25" t="str">
        <f>IFERROR(__xludf.DUMMYFUNCTION("""COMPUTED_VALUE"""),"")</f>
        <v/>
      </c>
      <c r="D582" s="25" t="str">
        <f>IFERROR(__xludf.DUMMYFUNCTION("""COMPUTED_VALUE"""),"")</f>
        <v/>
      </c>
    </row>
    <row r="583">
      <c r="A583" s="45"/>
      <c r="C583" s="25" t="str">
        <f>IFERROR(__xludf.DUMMYFUNCTION("""COMPUTED_VALUE"""),"")</f>
        <v/>
      </c>
      <c r="D583" s="25" t="str">
        <f>IFERROR(__xludf.DUMMYFUNCTION("""COMPUTED_VALUE"""),"")</f>
        <v/>
      </c>
    </row>
    <row r="584">
      <c r="A584" s="45"/>
      <c r="C584" s="25" t="str">
        <f>IFERROR(__xludf.DUMMYFUNCTION("""COMPUTED_VALUE"""),"")</f>
        <v/>
      </c>
      <c r="D584" s="25" t="str">
        <f>IFERROR(__xludf.DUMMYFUNCTION("""COMPUTED_VALUE"""),"")</f>
        <v/>
      </c>
    </row>
    <row r="585">
      <c r="A585" s="45"/>
      <c r="C585" s="25" t="str">
        <f>IFERROR(__xludf.DUMMYFUNCTION("""COMPUTED_VALUE"""),"")</f>
        <v/>
      </c>
      <c r="D585" s="25" t="str">
        <f>IFERROR(__xludf.DUMMYFUNCTION("""COMPUTED_VALUE"""),"")</f>
        <v/>
      </c>
    </row>
    <row r="586">
      <c r="A586" s="45"/>
      <c r="C586" s="25" t="str">
        <f>IFERROR(__xludf.DUMMYFUNCTION("""COMPUTED_VALUE"""),"")</f>
        <v/>
      </c>
      <c r="D586" s="25" t="str">
        <f>IFERROR(__xludf.DUMMYFUNCTION("""COMPUTED_VALUE"""),"")</f>
        <v/>
      </c>
    </row>
    <row r="587">
      <c r="A587" s="45"/>
      <c r="C587" s="25" t="str">
        <f>IFERROR(__xludf.DUMMYFUNCTION("""COMPUTED_VALUE"""),"")</f>
        <v/>
      </c>
      <c r="D587" s="25" t="str">
        <f>IFERROR(__xludf.DUMMYFUNCTION("""COMPUTED_VALUE"""),"")</f>
        <v/>
      </c>
    </row>
    <row r="588">
      <c r="A588" s="45"/>
      <c r="C588" s="25" t="str">
        <f>IFERROR(__xludf.DUMMYFUNCTION("""COMPUTED_VALUE"""),"")</f>
        <v/>
      </c>
      <c r="D588" s="25" t="str">
        <f>IFERROR(__xludf.DUMMYFUNCTION("""COMPUTED_VALUE"""),"")</f>
        <v/>
      </c>
    </row>
    <row r="589">
      <c r="A589" s="45"/>
      <c r="C589" s="25" t="str">
        <f>IFERROR(__xludf.DUMMYFUNCTION("""COMPUTED_VALUE"""),"")</f>
        <v/>
      </c>
      <c r="D589" s="25" t="str">
        <f>IFERROR(__xludf.DUMMYFUNCTION("""COMPUTED_VALUE"""),"")</f>
        <v/>
      </c>
    </row>
    <row r="590">
      <c r="A590" s="45"/>
      <c r="C590" s="25" t="str">
        <f>IFERROR(__xludf.DUMMYFUNCTION("""COMPUTED_VALUE"""),"")</f>
        <v/>
      </c>
      <c r="D590" s="25" t="str">
        <f>IFERROR(__xludf.DUMMYFUNCTION("""COMPUTED_VALUE"""),"")</f>
        <v/>
      </c>
    </row>
    <row r="591">
      <c r="A591" s="45"/>
      <c r="C591" s="25" t="str">
        <f>IFERROR(__xludf.DUMMYFUNCTION("""COMPUTED_VALUE"""),"")</f>
        <v/>
      </c>
      <c r="D591" s="25" t="str">
        <f>IFERROR(__xludf.DUMMYFUNCTION("""COMPUTED_VALUE"""),"")</f>
        <v/>
      </c>
    </row>
    <row r="592">
      <c r="A592" s="45"/>
      <c r="C592" s="25" t="str">
        <f>IFERROR(__xludf.DUMMYFUNCTION("""COMPUTED_VALUE"""),"")</f>
        <v/>
      </c>
      <c r="D592" s="25" t="str">
        <f>IFERROR(__xludf.DUMMYFUNCTION("""COMPUTED_VALUE"""),"")</f>
        <v/>
      </c>
    </row>
    <row r="593">
      <c r="A593" s="45"/>
      <c r="C593" s="25" t="str">
        <f>IFERROR(__xludf.DUMMYFUNCTION("""COMPUTED_VALUE"""),"")</f>
        <v/>
      </c>
      <c r="D593" s="25" t="str">
        <f>IFERROR(__xludf.DUMMYFUNCTION("""COMPUTED_VALUE"""),"")</f>
        <v/>
      </c>
    </row>
    <row r="594">
      <c r="A594" s="45"/>
      <c r="C594" s="25" t="str">
        <f>IFERROR(__xludf.DUMMYFUNCTION("""COMPUTED_VALUE"""),"")</f>
        <v/>
      </c>
      <c r="D594" s="25" t="str">
        <f>IFERROR(__xludf.DUMMYFUNCTION("""COMPUTED_VALUE"""),"")</f>
        <v/>
      </c>
    </row>
    <row r="595">
      <c r="A595" s="45"/>
      <c r="C595" s="25" t="str">
        <f>IFERROR(__xludf.DUMMYFUNCTION("""COMPUTED_VALUE"""),"")</f>
        <v/>
      </c>
      <c r="D595" s="25" t="str">
        <f>IFERROR(__xludf.DUMMYFUNCTION("""COMPUTED_VALUE"""),"")</f>
        <v/>
      </c>
    </row>
    <row r="596">
      <c r="A596" s="45"/>
      <c r="C596" s="25" t="str">
        <f>IFERROR(__xludf.DUMMYFUNCTION("""COMPUTED_VALUE"""),"")</f>
        <v/>
      </c>
      <c r="D596" s="25" t="str">
        <f>IFERROR(__xludf.DUMMYFUNCTION("""COMPUTED_VALUE"""),"")</f>
        <v/>
      </c>
    </row>
    <row r="597">
      <c r="A597" s="45"/>
      <c r="C597" s="25" t="str">
        <f>IFERROR(__xludf.DUMMYFUNCTION("""COMPUTED_VALUE"""),"")</f>
        <v/>
      </c>
      <c r="D597" s="25" t="str">
        <f>IFERROR(__xludf.DUMMYFUNCTION("""COMPUTED_VALUE"""),"")</f>
        <v/>
      </c>
    </row>
    <row r="598">
      <c r="A598" s="45"/>
      <c r="C598" s="25" t="str">
        <f>IFERROR(__xludf.DUMMYFUNCTION("""COMPUTED_VALUE"""),"")</f>
        <v/>
      </c>
      <c r="D598" s="25" t="str">
        <f>IFERROR(__xludf.DUMMYFUNCTION("""COMPUTED_VALUE"""),"")</f>
        <v/>
      </c>
    </row>
    <row r="599">
      <c r="A599" s="45"/>
      <c r="C599" s="25" t="str">
        <f>IFERROR(__xludf.DUMMYFUNCTION("""COMPUTED_VALUE"""),"")</f>
        <v/>
      </c>
      <c r="D599" s="25" t="str">
        <f>IFERROR(__xludf.DUMMYFUNCTION("""COMPUTED_VALUE"""),"")</f>
        <v/>
      </c>
    </row>
    <row r="600">
      <c r="A600" s="45"/>
      <c r="C600" s="25" t="str">
        <f>IFERROR(__xludf.DUMMYFUNCTION("""COMPUTED_VALUE"""),"")</f>
        <v/>
      </c>
      <c r="D600" s="25" t="str">
        <f>IFERROR(__xludf.DUMMYFUNCTION("""COMPUTED_VALUE"""),"")</f>
        <v/>
      </c>
    </row>
    <row r="601">
      <c r="A601" s="45"/>
      <c r="C601" s="25" t="str">
        <f>IFERROR(__xludf.DUMMYFUNCTION("""COMPUTED_VALUE"""),"")</f>
        <v/>
      </c>
      <c r="D601" s="25" t="str">
        <f>IFERROR(__xludf.DUMMYFUNCTION("""COMPUTED_VALUE"""),"")</f>
        <v/>
      </c>
    </row>
    <row r="602">
      <c r="A602" s="45"/>
      <c r="C602" s="25" t="str">
        <f>IFERROR(__xludf.DUMMYFUNCTION("""COMPUTED_VALUE"""),"")</f>
        <v/>
      </c>
      <c r="D602" s="25" t="str">
        <f>IFERROR(__xludf.DUMMYFUNCTION("""COMPUTED_VALUE"""),"")</f>
        <v/>
      </c>
    </row>
    <row r="603">
      <c r="A603" s="45"/>
      <c r="C603" s="25" t="str">
        <f>IFERROR(__xludf.DUMMYFUNCTION("""COMPUTED_VALUE"""),"")</f>
        <v/>
      </c>
      <c r="D603" s="25" t="str">
        <f>IFERROR(__xludf.DUMMYFUNCTION("""COMPUTED_VALUE"""),"")</f>
        <v/>
      </c>
    </row>
    <row r="604">
      <c r="A604" s="45"/>
      <c r="C604" s="25" t="str">
        <f>IFERROR(__xludf.DUMMYFUNCTION("""COMPUTED_VALUE"""),"")</f>
        <v/>
      </c>
      <c r="D604" s="25" t="str">
        <f>IFERROR(__xludf.DUMMYFUNCTION("""COMPUTED_VALUE"""),"")</f>
        <v/>
      </c>
    </row>
    <row r="605">
      <c r="A605" s="45"/>
      <c r="C605" s="25" t="str">
        <f>IFERROR(__xludf.DUMMYFUNCTION("""COMPUTED_VALUE"""),"")</f>
        <v/>
      </c>
      <c r="D605" s="25" t="str">
        <f>IFERROR(__xludf.DUMMYFUNCTION("""COMPUTED_VALUE"""),"")</f>
        <v/>
      </c>
    </row>
    <row r="606">
      <c r="A606" s="45"/>
      <c r="C606" s="25" t="str">
        <f>IFERROR(__xludf.DUMMYFUNCTION("""COMPUTED_VALUE"""),"")</f>
        <v/>
      </c>
      <c r="D606" s="25" t="str">
        <f>IFERROR(__xludf.DUMMYFUNCTION("""COMPUTED_VALUE"""),"")</f>
        <v/>
      </c>
    </row>
    <row r="607">
      <c r="A607" s="45"/>
      <c r="C607" s="25" t="str">
        <f>IFERROR(__xludf.DUMMYFUNCTION("""COMPUTED_VALUE"""),"")</f>
        <v/>
      </c>
      <c r="D607" s="25" t="str">
        <f>IFERROR(__xludf.DUMMYFUNCTION("""COMPUTED_VALUE"""),"")</f>
        <v/>
      </c>
    </row>
    <row r="608">
      <c r="A608" s="45"/>
      <c r="C608" s="25" t="str">
        <f>IFERROR(__xludf.DUMMYFUNCTION("""COMPUTED_VALUE"""),"")</f>
        <v/>
      </c>
      <c r="D608" s="25" t="str">
        <f>IFERROR(__xludf.DUMMYFUNCTION("""COMPUTED_VALUE"""),"")</f>
        <v/>
      </c>
    </row>
    <row r="609">
      <c r="A609" s="45"/>
      <c r="C609" s="25" t="str">
        <f>IFERROR(__xludf.DUMMYFUNCTION("""COMPUTED_VALUE"""),"")</f>
        <v/>
      </c>
      <c r="D609" s="25" t="str">
        <f>IFERROR(__xludf.DUMMYFUNCTION("""COMPUTED_VALUE"""),"")</f>
        <v/>
      </c>
    </row>
    <row r="610">
      <c r="A610" s="45"/>
      <c r="C610" s="25" t="str">
        <f>IFERROR(__xludf.DUMMYFUNCTION("""COMPUTED_VALUE"""),"")</f>
        <v/>
      </c>
      <c r="D610" s="25" t="str">
        <f>IFERROR(__xludf.DUMMYFUNCTION("""COMPUTED_VALUE"""),"")</f>
        <v/>
      </c>
    </row>
    <row r="611">
      <c r="A611" s="45"/>
      <c r="C611" s="25" t="str">
        <f>IFERROR(__xludf.DUMMYFUNCTION("""COMPUTED_VALUE"""),"")</f>
        <v/>
      </c>
      <c r="D611" s="25" t="str">
        <f>IFERROR(__xludf.DUMMYFUNCTION("""COMPUTED_VALUE"""),"")</f>
        <v/>
      </c>
    </row>
    <row r="612">
      <c r="A612" s="45"/>
      <c r="C612" s="25" t="str">
        <f>IFERROR(__xludf.DUMMYFUNCTION("""COMPUTED_VALUE"""),"")</f>
        <v/>
      </c>
      <c r="D612" s="25" t="str">
        <f>IFERROR(__xludf.DUMMYFUNCTION("""COMPUTED_VALUE"""),"")</f>
        <v/>
      </c>
    </row>
    <row r="613">
      <c r="A613" s="45"/>
      <c r="C613" s="25" t="str">
        <f>IFERROR(__xludf.DUMMYFUNCTION("""COMPUTED_VALUE"""),"")</f>
        <v/>
      </c>
      <c r="D613" s="25" t="str">
        <f>IFERROR(__xludf.DUMMYFUNCTION("""COMPUTED_VALUE"""),"")</f>
        <v/>
      </c>
    </row>
    <row r="614">
      <c r="A614" s="45"/>
      <c r="C614" s="25" t="str">
        <f>IFERROR(__xludf.DUMMYFUNCTION("""COMPUTED_VALUE"""),"")</f>
        <v/>
      </c>
      <c r="D614" s="25" t="str">
        <f>IFERROR(__xludf.DUMMYFUNCTION("""COMPUTED_VALUE"""),"")</f>
        <v/>
      </c>
    </row>
    <row r="615">
      <c r="A615" s="45"/>
      <c r="C615" s="25" t="str">
        <f>IFERROR(__xludf.DUMMYFUNCTION("""COMPUTED_VALUE"""),"")</f>
        <v/>
      </c>
      <c r="D615" s="25" t="str">
        <f>IFERROR(__xludf.DUMMYFUNCTION("""COMPUTED_VALUE"""),"")</f>
        <v/>
      </c>
    </row>
    <row r="616">
      <c r="A616" s="45"/>
      <c r="C616" s="25" t="str">
        <f>IFERROR(__xludf.DUMMYFUNCTION("""COMPUTED_VALUE"""),"")</f>
        <v/>
      </c>
      <c r="D616" s="25" t="str">
        <f>IFERROR(__xludf.DUMMYFUNCTION("""COMPUTED_VALUE"""),"")</f>
        <v/>
      </c>
    </row>
    <row r="617">
      <c r="A617" s="45"/>
      <c r="C617" s="25" t="str">
        <f>IFERROR(__xludf.DUMMYFUNCTION("""COMPUTED_VALUE"""),"")</f>
        <v/>
      </c>
      <c r="D617" s="25" t="str">
        <f>IFERROR(__xludf.DUMMYFUNCTION("""COMPUTED_VALUE"""),"")</f>
        <v/>
      </c>
    </row>
    <row r="618">
      <c r="A618" s="45"/>
      <c r="C618" s="25" t="str">
        <f>IFERROR(__xludf.DUMMYFUNCTION("""COMPUTED_VALUE"""),"")</f>
        <v/>
      </c>
      <c r="D618" s="25" t="str">
        <f>IFERROR(__xludf.DUMMYFUNCTION("""COMPUTED_VALUE"""),"")</f>
        <v/>
      </c>
    </row>
    <row r="619">
      <c r="A619" s="45"/>
      <c r="C619" s="25" t="str">
        <f>IFERROR(__xludf.DUMMYFUNCTION("""COMPUTED_VALUE"""),"")</f>
        <v/>
      </c>
      <c r="D619" s="25" t="str">
        <f>IFERROR(__xludf.DUMMYFUNCTION("""COMPUTED_VALUE"""),"")</f>
        <v/>
      </c>
    </row>
    <row r="620">
      <c r="A620" s="45"/>
      <c r="C620" s="25" t="str">
        <f>IFERROR(__xludf.DUMMYFUNCTION("""COMPUTED_VALUE"""),"")</f>
        <v/>
      </c>
      <c r="D620" s="25" t="str">
        <f>IFERROR(__xludf.DUMMYFUNCTION("""COMPUTED_VALUE"""),"")</f>
        <v/>
      </c>
    </row>
    <row r="621">
      <c r="A621" s="45"/>
      <c r="C621" s="25" t="str">
        <f>IFERROR(__xludf.DUMMYFUNCTION("""COMPUTED_VALUE"""),"")</f>
        <v/>
      </c>
      <c r="D621" s="25" t="str">
        <f>IFERROR(__xludf.DUMMYFUNCTION("""COMPUTED_VALUE"""),"")</f>
        <v/>
      </c>
    </row>
    <row r="622">
      <c r="A622" s="45"/>
      <c r="C622" s="25" t="str">
        <f>IFERROR(__xludf.DUMMYFUNCTION("""COMPUTED_VALUE"""),"")</f>
        <v/>
      </c>
      <c r="D622" s="25" t="str">
        <f>IFERROR(__xludf.DUMMYFUNCTION("""COMPUTED_VALUE"""),"")</f>
        <v/>
      </c>
    </row>
    <row r="623">
      <c r="A623" s="45"/>
      <c r="C623" s="25" t="str">
        <f>IFERROR(__xludf.DUMMYFUNCTION("""COMPUTED_VALUE"""),"")</f>
        <v/>
      </c>
      <c r="D623" s="25" t="str">
        <f>IFERROR(__xludf.DUMMYFUNCTION("""COMPUTED_VALUE"""),"")</f>
        <v/>
      </c>
    </row>
    <row r="624">
      <c r="A624" s="45"/>
      <c r="C624" s="25" t="str">
        <f>IFERROR(__xludf.DUMMYFUNCTION("""COMPUTED_VALUE"""),"")</f>
        <v/>
      </c>
      <c r="D624" s="25" t="str">
        <f>IFERROR(__xludf.DUMMYFUNCTION("""COMPUTED_VALUE"""),"")</f>
        <v/>
      </c>
    </row>
    <row r="625">
      <c r="A625" s="45"/>
      <c r="C625" s="25" t="str">
        <f>IFERROR(__xludf.DUMMYFUNCTION("""COMPUTED_VALUE"""),"")</f>
        <v/>
      </c>
      <c r="D625" s="25" t="str">
        <f>IFERROR(__xludf.DUMMYFUNCTION("""COMPUTED_VALUE"""),"")</f>
        <v/>
      </c>
    </row>
    <row r="626">
      <c r="A626" s="45"/>
      <c r="C626" s="25" t="str">
        <f>IFERROR(__xludf.DUMMYFUNCTION("""COMPUTED_VALUE"""),"")</f>
        <v/>
      </c>
      <c r="D626" s="25" t="str">
        <f>IFERROR(__xludf.DUMMYFUNCTION("""COMPUTED_VALUE"""),"")</f>
        <v/>
      </c>
    </row>
    <row r="627">
      <c r="A627" s="45"/>
      <c r="C627" s="25" t="str">
        <f>IFERROR(__xludf.DUMMYFUNCTION("""COMPUTED_VALUE"""),"")</f>
        <v/>
      </c>
      <c r="D627" s="25" t="str">
        <f>IFERROR(__xludf.DUMMYFUNCTION("""COMPUTED_VALUE"""),"")</f>
        <v/>
      </c>
    </row>
    <row r="628">
      <c r="A628" s="45"/>
      <c r="C628" s="25" t="str">
        <f>IFERROR(__xludf.DUMMYFUNCTION("""COMPUTED_VALUE"""),"")</f>
        <v/>
      </c>
      <c r="D628" s="25" t="str">
        <f>IFERROR(__xludf.DUMMYFUNCTION("""COMPUTED_VALUE"""),"")</f>
        <v/>
      </c>
    </row>
    <row r="629">
      <c r="A629" s="45"/>
      <c r="C629" s="25" t="str">
        <f>IFERROR(__xludf.DUMMYFUNCTION("""COMPUTED_VALUE"""),"")</f>
        <v/>
      </c>
      <c r="D629" s="25" t="str">
        <f>IFERROR(__xludf.DUMMYFUNCTION("""COMPUTED_VALUE"""),"")</f>
        <v/>
      </c>
    </row>
    <row r="630">
      <c r="A630" s="45"/>
      <c r="C630" s="25" t="str">
        <f>IFERROR(__xludf.DUMMYFUNCTION("""COMPUTED_VALUE"""),"")</f>
        <v/>
      </c>
      <c r="D630" s="25" t="str">
        <f>IFERROR(__xludf.DUMMYFUNCTION("""COMPUTED_VALUE"""),"")</f>
        <v/>
      </c>
    </row>
    <row r="631">
      <c r="A631" s="45"/>
      <c r="C631" s="25" t="str">
        <f>IFERROR(__xludf.DUMMYFUNCTION("""COMPUTED_VALUE"""),"")</f>
        <v/>
      </c>
      <c r="D631" s="25" t="str">
        <f>IFERROR(__xludf.DUMMYFUNCTION("""COMPUTED_VALUE"""),"")</f>
        <v/>
      </c>
    </row>
    <row r="632">
      <c r="A632" s="45"/>
      <c r="C632" s="25" t="str">
        <f>IFERROR(__xludf.DUMMYFUNCTION("""COMPUTED_VALUE"""),"")</f>
        <v/>
      </c>
      <c r="D632" s="25" t="str">
        <f>IFERROR(__xludf.DUMMYFUNCTION("""COMPUTED_VALUE"""),"")</f>
        <v/>
      </c>
    </row>
    <row r="633">
      <c r="A633" s="45"/>
      <c r="C633" s="25" t="str">
        <f>IFERROR(__xludf.DUMMYFUNCTION("""COMPUTED_VALUE"""),"")</f>
        <v/>
      </c>
      <c r="D633" s="25" t="str">
        <f>IFERROR(__xludf.DUMMYFUNCTION("""COMPUTED_VALUE"""),"")</f>
        <v/>
      </c>
    </row>
    <row r="634">
      <c r="A634" s="45"/>
      <c r="C634" s="25" t="str">
        <f>IFERROR(__xludf.DUMMYFUNCTION("""COMPUTED_VALUE"""),"")</f>
        <v/>
      </c>
      <c r="D634" s="25" t="str">
        <f>IFERROR(__xludf.DUMMYFUNCTION("""COMPUTED_VALUE"""),"")</f>
        <v/>
      </c>
    </row>
    <row r="635">
      <c r="A635" s="45"/>
      <c r="C635" s="25" t="str">
        <f>IFERROR(__xludf.DUMMYFUNCTION("""COMPUTED_VALUE"""),"")</f>
        <v/>
      </c>
      <c r="D635" s="25" t="str">
        <f>IFERROR(__xludf.DUMMYFUNCTION("""COMPUTED_VALUE"""),"")</f>
        <v/>
      </c>
    </row>
    <row r="636">
      <c r="A636" s="45"/>
      <c r="C636" s="25" t="str">
        <f>IFERROR(__xludf.DUMMYFUNCTION("""COMPUTED_VALUE"""),"")</f>
        <v/>
      </c>
      <c r="D636" s="25" t="str">
        <f>IFERROR(__xludf.DUMMYFUNCTION("""COMPUTED_VALUE"""),"")</f>
        <v/>
      </c>
    </row>
    <row r="637">
      <c r="A637" s="45"/>
      <c r="C637" s="25" t="str">
        <f>IFERROR(__xludf.DUMMYFUNCTION("""COMPUTED_VALUE"""),"")</f>
        <v/>
      </c>
      <c r="D637" s="25" t="str">
        <f>IFERROR(__xludf.DUMMYFUNCTION("""COMPUTED_VALUE"""),"")</f>
        <v/>
      </c>
    </row>
    <row r="638">
      <c r="A638" s="45"/>
      <c r="C638" s="25" t="str">
        <f>IFERROR(__xludf.DUMMYFUNCTION("""COMPUTED_VALUE"""),"")</f>
        <v/>
      </c>
      <c r="D638" s="25" t="str">
        <f>IFERROR(__xludf.DUMMYFUNCTION("""COMPUTED_VALUE"""),"")</f>
        <v/>
      </c>
    </row>
    <row r="639">
      <c r="A639" s="45"/>
      <c r="C639" s="25" t="str">
        <f>IFERROR(__xludf.DUMMYFUNCTION("""COMPUTED_VALUE"""),"")</f>
        <v/>
      </c>
      <c r="D639" s="25" t="str">
        <f>IFERROR(__xludf.DUMMYFUNCTION("""COMPUTED_VALUE"""),"")</f>
        <v/>
      </c>
    </row>
    <row r="640">
      <c r="A640" s="45"/>
      <c r="C640" s="25" t="str">
        <f>IFERROR(__xludf.DUMMYFUNCTION("""COMPUTED_VALUE"""),"")</f>
        <v/>
      </c>
      <c r="D640" s="25" t="str">
        <f>IFERROR(__xludf.DUMMYFUNCTION("""COMPUTED_VALUE"""),"")</f>
        <v/>
      </c>
    </row>
    <row r="641">
      <c r="A641" s="45"/>
      <c r="C641" s="25" t="str">
        <f>IFERROR(__xludf.DUMMYFUNCTION("""COMPUTED_VALUE"""),"")</f>
        <v/>
      </c>
      <c r="D641" s="25" t="str">
        <f>IFERROR(__xludf.DUMMYFUNCTION("""COMPUTED_VALUE"""),"")</f>
        <v/>
      </c>
    </row>
    <row r="642">
      <c r="A642" s="45"/>
      <c r="C642" s="25" t="str">
        <f>IFERROR(__xludf.DUMMYFUNCTION("""COMPUTED_VALUE"""),"")</f>
        <v/>
      </c>
      <c r="D642" s="25" t="str">
        <f>IFERROR(__xludf.DUMMYFUNCTION("""COMPUTED_VALUE"""),"")</f>
        <v/>
      </c>
    </row>
    <row r="643">
      <c r="A643" s="45"/>
      <c r="C643" s="25" t="str">
        <f>IFERROR(__xludf.DUMMYFUNCTION("""COMPUTED_VALUE"""),"")</f>
        <v/>
      </c>
      <c r="D643" s="25" t="str">
        <f>IFERROR(__xludf.DUMMYFUNCTION("""COMPUTED_VALUE"""),"")</f>
        <v/>
      </c>
    </row>
    <row r="644">
      <c r="A644" s="45"/>
      <c r="C644" s="25" t="str">
        <f>IFERROR(__xludf.DUMMYFUNCTION("""COMPUTED_VALUE"""),"")</f>
        <v/>
      </c>
      <c r="D644" s="25" t="str">
        <f>IFERROR(__xludf.DUMMYFUNCTION("""COMPUTED_VALUE"""),"")</f>
        <v/>
      </c>
    </row>
    <row r="645">
      <c r="A645" s="45"/>
      <c r="C645" s="25" t="str">
        <f>IFERROR(__xludf.DUMMYFUNCTION("""COMPUTED_VALUE"""),"")</f>
        <v/>
      </c>
      <c r="D645" s="25" t="str">
        <f>IFERROR(__xludf.DUMMYFUNCTION("""COMPUTED_VALUE"""),"")</f>
        <v/>
      </c>
    </row>
    <row r="646">
      <c r="A646" s="45"/>
      <c r="C646" s="25" t="str">
        <f>IFERROR(__xludf.DUMMYFUNCTION("""COMPUTED_VALUE"""),"")</f>
        <v/>
      </c>
      <c r="D646" s="25" t="str">
        <f>IFERROR(__xludf.DUMMYFUNCTION("""COMPUTED_VALUE"""),"")</f>
        <v/>
      </c>
    </row>
    <row r="647">
      <c r="A647" s="45"/>
      <c r="C647" s="25" t="str">
        <f>IFERROR(__xludf.DUMMYFUNCTION("""COMPUTED_VALUE"""),"")</f>
        <v/>
      </c>
      <c r="D647" s="25" t="str">
        <f>IFERROR(__xludf.DUMMYFUNCTION("""COMPUTED_VALUE"""),"")</f>
        <v/>
      </c>
    </row>
    <row r="648">
      <c r="A648" s="45"/>
      <c r="C648" s="25" t="str">
        <f>IFERROR(__xludf.DUMMYFUNCTION("""COMPUTED_VALUE"""),"")</f>
        <v/>
      </c>
      <c r="D648" s="25" t="str">
        <f>IFERROR(__xludf.DUMMYFUNCTION("""COMPUTED_VALUE"""),"")</f>
        <v/>
      </c>
    </row>
    <row r="649">
      <c r="A649" s="45"/>
      <c r="C649" s="25" t="str">
        <f>IFERROR(__xludf.DUMMYFUNCTION("""COMPUTED_VALUE"""),"")</f>
        <v/>
      </c>
      <c r="D649" s="25" t="str">
        <f>IFERROR(__xludf.DUMMYFUNCTION("""COMPUTED_VALUE"""),"")</f>
        <v/>
      </c>
    </row>
    <row r="650">
      <c r="A650" s="45"/>
      <c r="C650" s="25" t="str">
        <f>IFERROR(__xludf.DUMMYFUNCTION("""COMPUTED_VALUE"""),"")</f>
        <v/>
      </c>
      <c r="D650" s="25" t="str">
        <f>IFERROR(__xludf.DUMMYFUNCTION("""COMPUTED_VALUE"""),"")</f>
        <v/>
      </c>
    </row>
    <row r="651">
      <c r="A651" s="45"/>
      <c r="C651" s="25" t="str">
        <f>IFERROR(__xludf.DUMMYFUNCTION("""COMPUTED_VALUE"""),"")</f>
        <v/>
      </c>
      <c r="D651" s="25" t="str">
        <f>IFERROR(__xludf.DUMMYFUNCTION("""COMPUTED_VALUE"""),"")</f>
        <v/>
      </c>
    </row>
    <row r="652">
      <c r="A652" s="45"/>
      <c r="C652" s="25" t="str">
        <f>IFERROR(__xludf.DUMMYFUNCTION("""COMPUTED_VALUE"""),"")</f>
        <v/>
      </c>
      <c r="D652" s="25" t="str">
        <f>IFERROR(__xludf.DUMMYFUNCTION("""COMPUTED_VALUE"""),"")</f>
        <v/>
      </c>
    </row>
    <row r="653">
      <c r="A653" s="45"/>
      <c r="C653" s="25" t="str">
        <f>IFERROR(__xludf.DUMMYFUNCTION("""COMPUTED_VALUE"""),"")</f>
        <v/>
      </c>
      <c r="D653" s="25" t="str">
        <f>IFERROR(__xludf.DUMMYFUNCTION("""COMPUTED_VALUE"""),"")</f>
        <v/>
      </c>
    </row>
    <row r="654">
      <c r="A654" s="45"/>
      <c r="C654" s="25" t="str">
        <f>IFERROR(__xludf.DUMMYFUNCTION("""COMPUTED_VALUE"""),"")</f>
        <v/>
      </c>
      <c r="D654" s="25" t="str">
        <f>IFERROR(__xludf.DUMMYFUNCTION("""COMPUTED_VALUE"""),"")</f>
        <v/>
      </c>
    </row>
    <row r="655">
      <c r="A655" s="45"/>
      <c r="C655" s="25" t="str">
        <f>IFERROR(__xludf.DUMMYFUNCTION("""COMPUTED_VALUE"""),"")</f>
        <v/>
      </c>
      <c r="D655" s="25" t="str">
        <f>IFERROR(__xludf.DUMMYFUNCTION("""COMPUTED_VALUE"""),"")</f>
        <v/>
      </c>
    </row>
    <row r="656">
      <c r="A656" s="45"/>
      <c r="C656" s="25" t="str">
        <f>IFERROR(__xludf.DUMMYFUNCTION("""COMPUTED_VALUE"""),"")</f>
        <v/>
      </c>
      <c r="D656" s="25" t="str">
        <f>IFERROR(__xludf.DUMMYFUNCTION("""COMPUTED_VALUE"""),"")</f>
        <v/>
      </c>
    </row>
    <row r="657">
      <c r="A657" s="45"/>
      <c r="C657" s="25" t="str">
        <f>IFERROR(__xludf.DUMMYFUNCTION("""COMPUTED_VALUE"""),"")</f>
        <v/>
      </c>
      <c r="D657" s="25" t="str">
        <f>IFERROR(__xludf.DUMMYFUNCTION("""COMPUTED_VALUE"""),"")</f>
        <v/>
      </c>
    </row>
    <row r="658">
      <c r="A658" s="45"/>
      <c r="C658" s="25" t="str">
        <f>IFERROR(__xludf.DUMMYFUNCTION("""COMPUTED_VALUE"""),"")</f>
        <v/>
      </c>
      <c r="D658" s="25" t="str">
        <f>IFERROR(__xludf.DUMMYFUNCTION("""COMPUTED_VALUE"""),"")</f>
        <v/>
      </c>
    </row>
    <row r="659">
      <c r="A659" s="45"/>
      <c r="C659" s="25" t="str">
        <f>IFERROR(__xludf.DUMMYFUNCTION("""COMPUTED_VALUE"""),"")</f>
        <v/>
      </c>
      <c r="D659" s="25" t="str">
        <f>IFERROR(__xludf.DUMMYFUNCTION("""COMPUTED_VALUE"""),"")</f>
        <v/>
      </c>
    </row>
    <row r="660">
      <c r="A660" s="45"/>
      <c r="C660" s="25" t="str">
        <f>IFERROR(__xludf.DUMMYFUNCTION("""COMPUTED_VALUE"""),"")</f>
        <v/>
      </c>
      <c r="D660" s="25" t="str">
        <f>IFERROR(__xludf.DUMMYFUNCTION("""COMPUTED_VALUE"""),"")</f>
        <v/>
      </c>
    </row>
    <row r="661">
      <c r="A661" s="45"/>
      <c r="C661" s="25" t="str">
        <f>IFERROR(__xludf.DUMMYFUNCTION("""COMPUTED_VALUE"""),"")</f>
        <v/>
      </c>
      <c r="D661" s="25" t="str">
        <f>IFERROR(__xludf.DUMMYFUNCTION("""COMPUTED_VALUE"""),"")</f>
        <v/>
      </c>
    </row>
    <row r="662">
      <c r="A662" s="45"/>
      <c r="C662" s="25" t="str">
        <f>IFERROR(__xludf.DUMMYFUNCTION("""COMPUTED_VALUE"""),"")</f>
        <v/>
      </c>
      <c r="D662" s="25" t="str">
        <f>IFERROR(__xludf.DUMMYFUNCTION("""COMPUTED_VALUE"""),"")</f>
        <v/>
      </c>
    </row>
    <row r="663">
      <c r="A663" s="45"/>
      <c r="C663" s="25" t="str">
        <f>IFERROR(__xludf.DUMMYFUNCTION("""COMPUTED_VALUE"""),"")</f>
        <v/>
      </c>
      <c r="D663" s="25" t="str">
        <f>IFERROR(__xludf.DUMMYFUNCTION("""COMPUTED_VALUE"""),"")</f>
        <v/>
      </c>
    </row>
    <row r="664">
      <c r="A664" s="45"/>
      <c r="C664" s="25" t="str">
        <f>IFERROR(__xludf.DUMMYFUNCTION("""COMPUTED_VALUE"""),"")</f>
        <v/>
      </c>
      <c r="D664" s="25" t="str">
        <f>IFERROR(__xludf.DUMMYFUNCTION("""COMPUTED_VALUE"""),"")</f>
        <v/>
      </c>
    </row>
    <row r="665">
      <c r="A665" s="45"/>
      <c r="C665" s="25" t="str">
        <f>IFERROR(__xludf.DUMMYFUNCTION("""COMPUTED_VALUE"""),"")</f>
        <v/>
      </c>
      <c r="D665" s="25" t="str">
        <f>IFERROR(__xludf.DUMMYFUNCTION("""COMPUTED_VALUE"""),"")</f>
        <v/>
      </c>
    </row>
    <row r="666">
      <c r="A666" s="45"/>
      <c r="C666" s="25" t="str">
        <f>IFERROR(__xludf.DUMMYFUNCTION("""COMPUTED_VALUE"""),"")</f>
        <v/>
      </c>
      <c r="D666" s="25" t="str">
        <f>IFERROR(__xludf.DUMMYFUNCTION("""COMPUTED_VALUE"""),"")</f>
        <v/>
      </c>
    </row>
    <row r="667">
      <c r="A667" s="45"/>
      <c r="C667" s="25" t="str">
        <f>IFERROR(__xludf.DUMMYFUNCTION("""COMPUTED_VALUE"""),"")</f>
        <v/>
      </c>
      <c r="D667" s="25" t="str">
        <f>IFERROR(__xludf.DUMMYFUNCTION("""COMPUTED_VALUE"""),"")</f>
        <v/>
      </c>
    </row>
    <row r="668">
      <c r="A668" s="45"/>
      <c r="C668" s="25" t="str">
        <f>IFERROR(__xludf.DUMMYFUNCTION("""COMPUTED_VALUE"""),"")</f>
        <v/>
      </c>
      <c r="D668" s="25" t="str">
        <f>IFERROR(__xludf.DUMMYFUNCTION("""COMPUTED_VALUE"""),"")</f>
        <v/>
      </c>
    </row>
    <row r="669">
      <c r="A669" s="45"/>
      <c r="C669" s="25" t="str">
        <f>IFERROR(__xludf.DUMMYFUNCTION("""COMPUTED_VALUE"""),"")</f>
        <v/>
      </c>
      <c r="D669" s="25" t="str">
        <f>IFERROR(__xludf.DUMMYFUNCTION("""COMPUTED_VALUE"""),"")</f>
        <v/>
      </c>
    </row>
    <row r="670">
      <c r="A670" s="45"/>
      <c r="C670" s="25" t="str">
        <f>IFERROR(__xludf.DUMMYFUNCTION("""COMPUTED_VALUE"""),"")</f>
        <v/>
      </c>
      <c r="D670" s="25" t="str">
        <f>IFERROR(__xludf.DUMMYFUNCTION("""COMPUTED_VALUE"""),"")</f>
        <v/>
      </c>
    </row>
    <row r="671">
      <c r="A671" s="45"/>
      <c r="C671" s="25" t="str">
        <f>IFERROR(__xludf.DUMMYFUNCTION("""COMPUTED_VALUE"""),"")</f>
        <v/>
      </c>
      <c r="D671" s="25" t="str">
        <f>IFERROR(__xludf.DUMMYFUNCTION("""COMPUTED_VALUE"""),"")</f>
        <v/>
      </c>
    </row>
    <row r="672">
      <c r="A672" s="45"/>
      <c r="C672" s="25" t="str">
        <f>IFERROR(__xludf.DUMMYFUNCTION("""COMPUTED_VALUE"""),"")</f>
        <v/>
      </c>
      <c r="D672" s="25" t="str">
        <f>IFERROR(__xludf.DUMMYFUNCTION("""COMPUTED_VALUE"""),"")</f>
        <v/>
      </c>
    </row>
    <row r="673">
      <c r="A673" s="45"/>
      <c r="C673" s="25" t="str">
        <f>IFERROR(__xludf.DUMMYFUNCTION("""COMPUTED_VALUE"""),"")</f>
        <v/>
      </c>
      <c r="D673" s="25" t="str">
        <f>IFERROR(__xludf.DUMMYFUNCTION("""COMPUTED_VALUE"""),"")</f>
        <v/>
      </c>
    </row>
    <row r="674">
      <c r="A674" s="45"/>
      <c r="C674" s="25" t="str">
        <f>IFERROR(__xludf.DUMMYFUNCTION("""COMPUTED_VALUE"""),"")</f>
        <v/>
      </c>
      <c r="D674" s="25" t="str">
        <f>IFERROR(__xludf.DUMMYFUNCTION("""COMPUTED_VALUE"""),"")</f>
        <v/>
      </c>
    </row>
    <row r="675">
      <c r="A675" s="45"/>
      <c r="C675" s="25" t="str">
        <f>IFERROR(__xludf.DUMMYFUNCTION("""COMPUTED_VALUE"""),"")</f>
        <v/>
      </c>
      <c r="D675" s="25" t="str">
        <f>IFERROR(__xludf.DUMMYFUNCTION("""COMPUTED_VALUE"""),"")</f>
        <v/>
      </c>
    </row>
    <row r="676">
      <c r="A676" s="45"/>
      <c r="C676" s="25" t="str">
        <f>IFERROR(__xludf.DUMMYFUNCTION("""COMPUTED_VALUE"""),"")</f>
        <v/>
      </c>
      <c r="D676" s="25" t="str">
        <f>IFERROR(__xludf.DUMMYFUNCTION("""COMPUTED_VALUE"""),"")</f>
        <v/>
      </c>
    </row>
    <row r="677">
      <c r="A677" s="45"/>
      <c r="C677" s="25" t="str">
        <f>IFERROR(__xludf.DUMMYFUNCTION("""COMPUTED_VALUE"""),"")</f>
        <v/>
      </c>
      <c r="D677" s="25" t="str">
        <f>IFERROR(__xludf.DUMMYFUNCTION("""COMPUTED_VALUE"""),"")</f>
        <v/>
      </c>
    </row>
    <row r="678">
      <c r="A678" s="45"/>
      <c r="C678" s="25" t="str">
        <f>IFERROR(__xludf.DUMMYFUNCTION("""COMPUTED_VALUE"""),"")</f>
        <v/>
      </c>
      <c r="D678" s="25" t="str">
        <f>IFERROR(__xludf.DUMMYFUNCTION("""COMPUTED_VALUE"""),"")</f>
        <v/>
      </c>
    </row>
    <row r="679">
      <c r="A679" s="45"/>
      <c r="C679" s="25" t="str">
        <f>IFERROR(__xludf.DUMMYFUNCTION("""COMPUTED_VALUE"""),"")</f>
        <v/>
      </c>
      <c r="D679" s="25" t="str">
        <f>IFERROR(__xludf.DUMMYFUNCTION("""COMPUTED_VALUE"""),"")</f>
        <v/>
      </c>
    </row>
    <row r="680">
      <c r="A680" s="45"/>
      <c r="C680" s="25" t="str">
        <f>IFERROR(__xludf.DUMMYFUNCTION("""COMPUTED_VALUE"""),"")</f>
        <v/>
      </c>
      <c r="D680" s="25" t="str">
        <f>IFERROR(__xludf.DUMMYFUNCTION("""COMPUTED_VALUE"""),"")</f>
        <v/>
      </c>
    </row>
    <row r="681">
      <c r="A681" s="45"/>
      <c r="C681" s="25" t="str">
        <f>IFERROR(__xludf.DUMMYFUNCTION("""COMPUTED_VALUE"""),"")</f>
        <v/>
      </c>
      <c r="D681" s="25" t="str">
        <f>IFERROR(__xludf.DUMMYFUNCTION("""COMPUTED_VALUE"""),"")</f>
        <v/>
      </c>
    </row>
    <row r="682">
      <c r="A682" s="45"/>
      <c r="C682" s="25" t="str">
        <f>IFERROR(__xludf.DUMMYFUNCTION("""COMPUTED_VALUE"""),"")</f>
        <v/>
      </c>
      <c r="D682" s="25" t="str">
        <f>IFERROR(__xludf.DUMMYFUNCTION("""COMPUTED_VALUE"""),"")</f>
        <v/>
      </c>
    </row>
    <row r="683">
      <c r="A683" s="45"/>
      <c r="C683" s="25" t="str">
        <f>IFERROR(__xludf.DUMMYFUNCTION("""COMPUTED_VALUE"""),"")</f>
        <v/>
      </c>
      <c r="D683" s="25" t="str">
        <f>IFERROR(__xludf.DUMMYFUNCTION("""COMPUTED_VALUE"""),"")</f>
        <v/>
      </c>
    </row>
    <row r="684">
      <c r="A684" s="45"/>
      <c r="C684" s="25" t="str">
        <f>IFERROR(__xludf.DUMMYFUNCTION("""COMPUTED_VALUE"""),"")</f>
        <v/>
      </c>
      <c r="D684" s="25" t="str">
        <f>IFERROR(__xludf.DUMMYFUNCTION("""COMPUTED_VALUE"""),"")</f>
        <v/>
      </c>
    </row>
    <row r="685">
      <c r="A685" s="45"/>
      <c r="C685" s="25" t="str">
        <f>IFERROR(__xludf.DUMMYFUNCTION("""COMPUTED_VALUE"""),"")</f>
        <v/>
      </c>
      <c r="D685" s="25" t="str">
        <f>IFERROR(__xludf.DUMMYFUNCTION("""COMPUTED_VALUE"""),"")</f>
        <v/>
      </c>
    </row>
    <row r="686">
      <c r="A686" s="45"/>
      <c r="C686" s="25" t="str">
        <f>IFERROR(__xludf.DUMMYFUNCTION("""COMPUTED_VALUE"""),"")</f>
        <v/>
      </c>
      <c r="D686" s="25" t="str">
        <f>IFERROR(__xludf.DUMMYFUNCTION("""COMPUTED_VALUE"""),"")</f>
        <v/>
      </c>
    </row>
    <row r="687">
      <c r="A687" s="45"/>
      <c r="C687" s="25" t="str">
        <f>IFERROR(__xludf.DUMMYFUNCTION("""COMPUTED_VALUE"""),"")</f>
        <v/>
      </c>
      <c r="D687" s="25" t="str">
        <f>IFERROR(__xludf.DUMMYFUNCTION("""COMPUTED_VALUE"""),"")</f>
        <v/>
      </c>
    </row>
    <row r="688">
      <c r="A688" s="45"/>
      <c r="C688" s="25" t="str">
        <f>IFERROR(__xludf.DUMMYFUNCTION("""COMPUTED_VALUE"""),"")</f>
        <v/>
      </c>
      <c r="D688" s="25" t="str">
        <f>IFERROR(__xludf.DUMMYFUNCTION("""COMPUTED_VALUE"""),"")</f>
        <v/>
      </c>
    </row>
    <row r="689">
      <c r="A689" s="45"/>
      <c r="C689" s="25" t="str">
        <f>IFERROR(__xludf.DUMMYFUNCTION("""COMPUTED_VALUE"""),"")</f>
        <v/>
      </c>
      <c r="D689" s="25" t="str">
        <f>IFERROR(__xludf.DUMMYFUNCTION("""COMPUTED_VALUE"""),"")</f>
        <v/>
      </c>
    </row>
    <row r="690">
      <c r="A690" s="45"/>
      <c r="C690" s="25" t="str">
        <f>IFERROR(__xludf.DUMMYFUNCTION("""COMPUTED_VALUE"""),"")</f>
        <v/>
      </c>
      <c r="D690" s="25" t="str">
        <f>IFERROR(__xludf.DUMMYFUNCTION("""COMPUTED_VALUE"""),"")</f>
        <v/>
      </c>
    </row>
    <row r="691">
      <c r="A691" s="45"/>
      <c r="C691" s="25" t="str">
        <f>IFERROR(__xludf.DUMMYFUNCTION("""COMPUTED_VALUE"""),"")</f>
        <v/>
      </c>
      <c r="D691" s="25" t="str">
        <f>IFERROR(__xludf.DUMMYFUNCTION("""COMPUTED_VALUE"""),"")</f>
        <v/>
      </c>
    </row>
    <row r="692">
      <c r="A692" s="45"/>
      <c r="C692" s="25" t="str">
        <f>IFERROR(__xludf.DUMMYFUNCTION("""COMPUTED_VALUE"""),"")</f>
        <v/>
      </c>
      <c r="D692" s="25" t="str">
        <f>IFERROR(__xludf.DUMMYFUNCTION("""COMPUTED_VALUE"""),"")</f>
        <v/>
      </c>
    </row>
    <row r="693">
      <c r="A693" s="45"/>
      <c r="C693" s="25" t="str">
        <f>IFERROR(__xludf.DUMMYFUNCTION("""COMPUTED_VALUE"""),"")</f>
        <v/>
      </c>
      <c r="D693" s="25" t="str">
        <f>IFERROR(__xludf.DUMMYFUNCTION("""COMPUTED_VALUE"""),"")</f>
        <v/>
      </c>
    </row>
    <row r="694">
      <c r="A694" s="45"/>
      <c r="C694" s="25" t="str">
        <f>IFERROR(__xludf.DUMMYFUNCTION("""COMPUTED_VALUE"""),"")</f>
        <v/>
      </c>
      <c r="D694" s="25" t="str">
        <f>IFERROR(__xludf.DUMMYFUNCTION("""COMPUTED_VALUE"""),"")</f>
        <v/>
      </c>
    </row>
    <row r="695">
      <c r="A695" s="45"/>
      <c r="C695" s="25" t="str">
        <f>IFERROR(__xludf.DUMMYFUNCTION("""COMPUTED_VALUE"""),"")</f>
        <v/>
      </c>
      <c r="D695" s="25" t="str">
        <f>IFERROR(__xludf.DUMMYFUNCTION("""COMPUTED_VALUE"""),"")</f>
        <v/>
      </c>
    </row>
    <row r="696">
      <c r="A696" s="45"/>
      <c r="C696" s="25" t="str">
        <f>IFERROR(__xludf.DUMMYFUNCTION("""COMPUTED_VALUE"""),"")</f>
        <v/>
      </c>
      <c r="D696" s="25" t="str">
        <f>IFERROR(__xludf.DUMMYFUNCTION("""COMPUTED_VALUE"""),"")</f>
        <v/>
      </c>
    </row>
    <row r="697">
      <c r="A697" s="45"/>
      <c r="C697" s="25" t="str">
        <f>IFERROR(__xludf.DUMMYFUNCTION("""COMPUTED_VALUE"""),"")</f>
        <v/>
      </c>
      <c r="D697" s="25" t="str">
        <f>IFERROR(__xludf.DUMMYFUNCTION("""COMPUTED_VALUE"""),"")</f>
        <v/>
      </c>
    </row>
    <row r="698">
      <c r="A698" s="45"/>
      <c r="C698" s="25" t="str">
        <f>IFERROR(__xludf.DUMMYFUNCTION("""COMPUTED_VALUE"""),"")</f>
        <v/>
      </c>
      <c r="D698" s="25" t="str">
        <f>IFERROR(__xludf.DUMMYFUNCTION("""COMPUTED_VALUE"""),"")</f>
        <v/>
      </c>
    </row>
    <row r="699">
      <c r="A699" s="45"/>
      <c r="C699" s="25" t="str">
        <f>IFERROR(__xludf.DUMMYFUNCTION("""COMPUTED_VALUE"""),"")</f>
        <v/>
      </c>
      <c r="D699" s="25" t="str">
        <f>IFERROR(__xludf.DUMMYFUNCTION("""COMPUTED_VALUE"""),"")</f>
        <v/>
      </c>
    </row>
    <row r="700">
      <c r="A700" s="45"/>
      <c r="C700" s="25" t="str">
        <f>IFERROR(__xludf.DUMMYFUNCTION("""COMPUTED_VALUE"""),"")</f>
        <v/>
      </c>
      <c r="D700" s="25" t="str">
        <f>IFERROR(__xludf.DUMMYFUNCTION("""COMPUTED_VALUE"""),"")</f>
        <v/>
      </c>
    </row>
    <row r="701">
      <c r="A701" s="45"/>
      <c r="C701" s="25" t="str">
        <f>IFERROR(__xludf.DUMMYFUNCTION("""COMPUTED_VALUE"""),"")</f>
        <v/>
      </c>
      <c r="D701" s="25" t="str">
        <f>IFERROR(__xludf.DUMMYFUNCTION("""COMPUTED_VALUE"""),"")</f>
        <v/>
      </c>
    </row>
    <row r="702">
      <c r="A702" s="45"/>
      <c r="C702" s="25" t="str">
        <f>IFERROR(__xludf.DUMMYFUNCTION("""COMPUTED_VALUE"""),"")</f>
        <v/>
      </c>
      <c r="D702" s="25" t="str">
        <f>IFERROR(__xludf.DUMMYFUNCTION("""COMPUTED_VALUE"""),"")</f>
        <v/>
      </c>
    </row>
    <row r="703">
      <c r="A703" s="45"/>
      <c r="C703" s="25" t="str">
        <f>IFERROR(__xludf.DUMMYFUNCTION("""COMPUTED_VALUE"""),"")</f>
        <v/>
      </c>
      <c r="D703" s="25" t="str">
        <f>IFERROR(__xludf.DUMMYFUNCTION("""COMPUTED_VALUE"""),"")</f>
        <v/>
      </c>
    </row>
    <row r="704">
      <c r="A704" s="45"/>
      <c r="C704" s="25" t="str">
        <f>IFERROR(__xludf.DUMMYFUNCTION("""COMPUTED_VALUE"""),"")</f>
        <v/>
      </c>
      <c r="D704" s="25" t="str">
        <f>IFERROR(__xludf.DUMMYFUNCTION("""COMPUTED_VALUE"""),"")</f>
        <v/>
      </c>
    </row>
    <row r="705">
      <c r="A705" s="45"/>
      <c r="C705" s="25" t="str">
        <f>IFERROR(__xludf.DUMMYFUNCTION("""COMPUTED_VALUE"""),"")</f>
        <v/>
      </c>
      <c r="D705" s="25" t="str">
        <f>IFERROR(__xludf.DUMMYFUNCTION("""COMPUTED_VALUE"""),"")</f>
        <v/>
      </c>
    </row>
    <row r="706">
      <c r="A706" s="45"/>
      <c r="C706" s="25" t="str">
        <f>IFERROR(__xludf.DUMMYFUNCTION("""COMPUTED_VALUE"""),"")</f>
        <v/>
      </c>
      <c r="D706" s="25" t="str">
        <f>IFERROR(__xludf.DUMMYFUNCTION("""COMPUTED_VALUE"""),"")</f>
        <v/>
      </c>
    </row>
    <row r="707">
      <c r="A707" s="45"/>
      <c r="C707" s="25" t="str">
        <f>IFERROR(__xludf.DUMMYFUNCTION("""COMPUTED_VALUE"""),"")</f>
        <v/>
      </c>
      <c r="D707" s="25" t="str">
        <f>IFERROR(__xludf.DUMMYFUNCTION("""COMPUTED_VALUE"""),"")</f>
        <v/>
      </c>
    </row>
    <row r="708">
      <c r="A708" s="45"/>
      <c r="C708" s="25" t="str">
        <f>IFERROR(__xludf.DUMMYFUNCTION("""COMPUTED_VALUE"""),"")</f>
        <v/>
      </c>
      <c r="D708" s="25" t="str">
        <f>IFERROR(__xludf.DUMMYFUNCTION("""COMPUTED_VALUE"""),"")</f>
        <v/>
      </c>
    </row>
    <row r="709">
      <c r="A709" s="45"/>
      <c r="C709" s="25" t="str">
        <f>IFERROR(__xludf.DUMMYFUNCTION("""COMPUTED_VALUE"""),"")</f>
        <v/>
      </c>
      <c r="D709" s="25" t="str">
        <f>IFERROR(__xludf.DUMMYFUNCTION("""COMPUTED_VALUE"""),"")</f>
        <v/>
      </c>
    </row>
    <row r="710">
      <c r="A710" s="45"/>
      <c r="C710" s="25" t="str">
        <f>IFERROR(__xludf.DUMMYFUNCTION("""COMPUTED_VALUE"""),"")</f>
        <v/>
      </c>
      <c r="D710" s="25" t="str">
        <f>IFERROR(__xludf.DUMMYFUNCTION("""COMPUTED_VALUE"""),"")</f>
        <v/>
      </c>
    </row>
    <row r="711">
      <c r="A711" s="45"/>
      <c r="C711" s="25" t="str">
        <f>IFERROR(__xludf.DUMMYFUNCTION("""COMPUTED_VALUE"""),"")</f>
        <v/>
      </c>
      <c r="D711" s="25" t="str">
        <f>IFERROR(__xludf.DUMMYFUNCTION("""COMPUTED_VALUE"""),"")</f>
        <v/>
      </c>
    </row>
    <row r="712">
      <c r="A712" s="45"/>
      <c r="C712" s="25" t="str">
        <f>IFERROR(__xludf.DUMMYFUNCTION("""COMPUTED_VALUE"""),"")</f>
        <v/>
      </c>
      <c r="D712" s="25" t="str">
        <f>IFERROR(__xludf.DUMMYFUNCTION("""COMPUTED_VALUE"""),"")</f>
        <v/>
      </c>
    </row>
    <row r="713">
      <c r="A713" s="45"/>
      <c r="C713" s="25" t="str">
        <f>IFERROR(__xludf.DUMMYFUNCTION("""COMPUTED_VALUE"""),"")</f>
        <v/>
      </c>
      <c r="D713" s="25" t="str">
        <f>IFERROR(__xludf.DUMMYFUNCTION("""COMPUTED_VALUE"""),"")</f>
        <v/>
      </c>
    </row>
    <row r="714">
      <c r="A714" s="45"/>
      <c r="C714" s="25" t="str">
        <f>IFERROR(__xludf.DUMMYFUNCTION("""COMPUTED_VALUE"""),"")</f>
        <v/>
      </c>
      <c r="D714" s="25" t="str">
        <f>IFERROR(__xludf.DUMMYFUNCTION("""COMPUTED_VALUE"""),"")</f>
        <v/>
      </c>
    </row>
    <row r="715">
      <c r="A715" s="45"/>
      <c r="C715" s="25" t="str">
        <f>IFERROR(__xludf.DUMMYFUNCTION("""COMPUTED_VALUE"""),"")</f>
        <v/>
      </c>
      <c r="D715" s="25" t="str">
        <f>IFERROR(__xludf.DUMMYFUNCTION("""COMPUTED_VALUE"""),"")</f>
        <v/>
      </c>
    </row>
    <row r="716">
      <c r="A716" s="45"/>
      <c r="C716" s="25" t="str">
        <f>IFERROR(__xludf.DUMMYFUNCTION("""COMPUTED_VALUE"""),"")</f>
        <v/>
      </c>
      <c r="D716" s="25" t="str">
        <f>IFERROR(__xludf.DUMMYFUNCTION("""COMPUTED_VALUE"""),"")</f>
        <v/>
      </c>
    </row>
    <row r="717">
      <c r="A717" s="45"/>
      <c r="C717" s="25" t="str">
        <f>IFERROR(__xludf.DUMMYFUNCTION("""COMPUTED_VALUE"""),"")</f>
        <v/>
      </c>
      <c r="D717" s="25" t="str">
        <f>IFERROR(__xludf.DUMMYFUNCTION("""COMPUTED_VALUE"""),"")</f>
        <v/>
      </c>
    </row>
    <row r="718">
      <c r="A718" s="45"/>
      <c r="C718" s="25" t="str">
        <f>IFERROR(__xludf.DUMMYFUNCTION("""COMPUTED_VALUE"""),"")</f>
        <v/>
      </c>
      <c r="D718" s="25" t="str">
        <f>IFERROR(__xludf.DUMMYFUNCTION("""COMPUTED_VALUE"""),"")</f>
        <v/>
      </c>
    </row>
    <row r="719">
      <c r="A719" s="45"/>
      <c r="C719" s="25" t="str">
        <f>IFERROR(__xludf.DUMMYFUNCTION("""COMPUTED_VALUE"""),"")</f>
        <v/>
      </c>
      <c r="D719" s="25" t="str">
        <f>IFERROR(__xludf.DUMMYFUNCTION("""COMPUTED_VALUE"""),"")</f>
        <v/>
      </c>
    </row>
    <row r="720">
      <c r="A720" s="45"/>
      <c r="C720" s="25" t="str">
        <f>IFERROR(__xludf.DUMMYFUNCTION("""COMPUTED_VALUE"""),"")</f>
        <v/>
      </c>
      <c r="D720" s="25" t="str">
        <f>IFERROR(__xludf.DUMMYFUNCTION("""COMPUTED_VALUE"""),"")</f>
        <v/>
      </c>
    </row>
    <row r="721">
      <c r="A721" s="45"/>
      <c r="C721" s="25" t="str">
        <f>IFERROR(__xludf.DUMMYFUNCTION("""COMPUTED_VALUE"""),"")</f>
        <v/>
      </c>
      <c r="D721" s="25" t="str">
        <f>IFERROR(__xludf.DUMMYFUNCTION("""COMPUTED_VALUE"""),"")</f>
        <v/>
      </c>
    </row>
    <row r="722">
      <c r="A722" s="45"/>
      <c r="C722" s="25" t="str">
        <f>IFERROR(__xludf.DUMMYFUNCTION("""COMPUTED_VALUE"""),"")</f>
        <v/>
      </c>
      <c r="D722" s="25" t="str">
        <f>IFERROR(__xludf.DUMMYFUNCTION("""COMPUTED_VALUE"""),"")</f>
        <v/>
      </c>
    </row>
    <row r="723">
      <c r="A723" s="45"/>
      <c r="C723" s="25" t="str">
        <f>IFERROR(__xludf.DUMMYFUNCTION("""COMPUTED_VALUE"""),"")</f>
        <v/>
      </c>
      <c r="D723" s="25" t="str">
        <f>IFERROR(__xludf.DUMMYFUNCTION("""COMPUTED_VALUE"""),"")</f>
        <v/>
      </c>
    </row>
    <row r="724">
      <c r="A724" s="45"/>
      <c r="C724" s="25" t="str">
        <f>IFERROR(__xludf.DUMMYFUNCTION("""COMPUTED_VALUE"""),"")</f>
        <v/>
      </c>
      <c r="D724" s="25" t="str">
        <f>IFERROR(__xludf.DUMMYFUNCTION("""COMPUTED_VALUE"""),"")</f>
        <v/>
      </c>
    </row>
    <row r="725">
      <c r="A725" s="45"/>
      <c r="C725" s="25" t="str">
        <f>IFERROR(__xludf.DUMMYFUNCTION("""COMPUTED_VALUE"""),"")</f>
        <v/>
      </c>
      <c r="D725" s="25" t="str">
        <f>IFERROR(__xludf.DUMMYFUNCTION("""COMPUTED_VALUE"""),"")</f>
        <v/>
      </c>
    </row>
    <row r="726">
      <c r="A726" s="45"/>
      <c r="C726" s="25" t="str">
        <f>IFERROR(__xludf.DUMMYFUNCTION("""COMPUTED_VALUE"""),"")</f>
        <v/>
      </c>
      <c r="D726" s="25" t="str">
        <f>IFERROR(__xludf.DUMMYFUNCTION("""COMPUTED_VALUE"""),"")</f>
        <v/>
      </c>
    </row>
    <row r="727">
      <c r="A727" s="45"/>
      <c r="C727" s="25" t="str">
        <f>IFERROR(__xludf.DUMMYFUNCTION("""COMPUTED_VALUE"""),"")</f>
        <v/>
      </c>
      <c r="D727" s="25" t="str">
        <f>IFERROR(__xludf.DUMMYFUNCTION("""COMPUTED_VALUE"""),"")</f>
        <v/>
      </c>
    </row>
    <row r="728">
      <c r="A728" s="45"/>
      <c r="C728" s="25" t="str">
        <f>IFERROR(__xludf.DUMMYFUNCTION("""COMPUTED_VALUE"""),"")</f>
        <v/>
      </c>
      <c r="D728" s="25" t="str">
        <f>IFERROR(__xludf.DUMMYFUNCTION("""COMPUTED_VALUE"""),"")</f>
        <v/>
      </c>
    </row>
    <row r="729">
      <c r="A729" s="45"/>
      <c r="C729" s="25" t="str">
        <f>IFERROR(__xludf.DUMMYFUNCTION("""COMPUTED_VALUE"""),"")</f>
        <v/>
      </c>
      <c r="D729" s="25" t="str">
        <f>IFERROR(__xludf.DUMMYFUNCTION("""COMPUTED_VALUE"""),"")</f>
        <v/>
      </c>
    </row>
    <row r="730">
      <c r="A730" s="45"/>
      <c r="C730" s="25" t="str">
        <f>IFERROR(__xludf.DUMMYFUNCTION("""COMPUTED_VALUE"""),"")</f>
        <v/>
      </c>
      <c r="D730" s="25" t="str">
        <f>IFERROR(__xludf.DUMMYFUNCTION("""COMPUTED_VALUE"""),"")</f>
        <v/>
      </c>
    </row>
    <row r="731">
      <c r="A731" s="45"/>
      <c r="C731" s="25" t="str">
        <f>IFERROR(__xludf.DUMMYFUNCTION("""COMPUTED_VALUE"""),"")</f>
        <v/>
      </c>
      <c r="D731" s="25" t="str">
        <f>IFERROR(__xludf.DUMMYFUNCTION("""COMPUTED_VALUE"""),"")</f>
        <v/>
      </c>
    </row>
    <row r="732">
      <c r="A732" s="45"/>
      <c r="C732" s="25" t="str">
        <f>IFERROR(__xludf.DUMMYFUNCTION("""COMPUTED_VALUE"""),"")</f>
        <v/>
      </c>
      <c r="D732" s="25" t="str">
        <f>IFERROR(__xludf.DUMMYFUNCTION("""COMPUTED_VALUE"""),"")</f>
        <v/>
      </c>
    </row>
    <row r="733">
      <c r="A733" s="45"/>
      <c r="C733" s="25" t="str">
        <f>IFERROR(__xludf.DUMMYFUNCTION("""COMPUTED_VALUE"""),"")</f>
        <v/>
      </c>
      <c r="D733" s="25" t="str">
        <f>IFERROR(__xludf.DUMMYFUNCTION("""COMPUTED_VALUE"""),"")</f>
        <v/>
      </c>
    </row>
    <row r="734">
      <c r="A734" s="45"/>
      <c r="C734" s="25" t="str">
        <f>IFERROR(__xludf.DUMMYFUNCTION("""COMPUTED_VALUE"""),"")</f>
        <v/>
      </c>
      <c r="D734" s="25" t="str">
        <f>IFERROR(__xludf.DUMMYFUNCTION("""COMPUTED_VALUE"""),"")</f>
        <v/>
      </c>
    </row>
    <row r="735">
      <c r="A735" s="45"/>
      <c r="C735" s="25" t="str">
        <f>IFERROR(__xludf.DUMMYFUNCTION("""COMPUTED_VALUE"""),"")</f>
        <v/>
      </c>
      <c r="D735" s="25" t="str">
        <f>IFERROR(__xludf.DUMMYFUNCTION("""COMPUTED_VALUE"""),"")</f>
        <v/>
      </c>
    </row>
    <row r="736">
      <c r="A736" s="45"/>
      <c r="C736" s="25" t="str">
        <f>IFERROR(__xludf.DUMMYFUNCTION("""COMPUTED_VALUE"""),"")</f>
        <v/>
      </c>
      <c r="D736" s="25" t="str">
        <f>IFERROR(__xludf.DUMMYFUNCTION("""COMPUTED_VALUE"""),"")</f>
        <v/>
      </c>
    </row>
    <row r="737">
      <c r="A737" s="45"/>
      <c r="C737" s="25" t="str">
        <f>IFERROR(__xludf.DUMMYFUNCTION("""COMPUTED_VALUE"""),"")</f>
        <v/>
      </c>
      <c r="D737" s="25" t="str">
        <f>IFERROR(__xludf.DUMMYFUNCTION("""COMPUTED_VALUE"""),"")</f>
        <v/>
      </c>
    </row>
    <row r="738">
      <c r="A738" s="45"/>
      <c r="C738" s="25" t="str">
        <f>IFERROR(__xludf.DUMMYFUNCTION("""COMPUTED_VALUE"""),"")</f>
        <v/>
      </c>
      <c r="D738" s="25" t="str">
        <f>IFERROR(__xludf.DUMMYFUNCTION("""COMPUTED_VALUE"""),"")</f>
        <v/>
      </c>
    </row>
    <row r="739">
      <c r="A739" s="45"/>
      <c r="C739" s="25" t="str">
        <f>IFERROR(__xludf.DUMMYFUNCTION("""COMPUTED_VALUE"""),"")</f>
        <v/>
      </c>
      <c r="D739" s="25" t="str">
        <f>IFERROR(__xludf.DUMMYFUNCTION("""COMPUTED_VALUE"""),"")</f>
        <v/>
      </c>
    </row>
    <row r="740">
      <c r="A740" s="45"/>
      <c r="C740" s="25" t="str">
        <f>IFERROR(__xludf.DUMMYFUNCTION("""COMPUTED_VALUE"""),"")</f>
        <v/>
      </c>
      <c r="D740" s="25" t="str">
        <f>IFERROR(__xludf.DUMMYFUNCTION("""COMPUTED_VALUE"""),"")</f>
        <v/>
      </c>
    </row>
    <row r="741">
      <c r="A741" s="45"/>
      <c r="C741" s="25" t="str">
        <f>IFERROR(__xludf.DUMMYFUNCTION("""COMPUTED_VALUE"""),"")</f>
        <v/>
      </c>
      <c r="D741" s="25" t="str">
        <f>IFERROR(__xludf.DUMMYFUNCTION("""COMPUTED_VALUE"""),"")</f>
        <v/>
      </c>
    </row>
    <row r="742">
      <c r="A742" s="45"/>
      <c r="C742" s="25" t="str">
        <f>IFERROR(__xludf.DUMMYFUNCTION("""COMPUTED_VALUE"""),"")</f>
        <v/>
      </c>
      <c r="D742" s="25" t="str">
        <f>IFERROR(__xludf.DUMMYFUNCTION("""COMPUTED_VALUE"""),"")</f>
        <v/>
      </c>
    </row>
    <row r="743">
      <c r="A743" s="45"/>
      <c r="C743" s="25" t="str">
        <f>IFERROR(__xludf.DUMMYFUNCTION("""COMPUTED_VALUE"""),"")</f>
        <v/>
      </c>
      <c r="D743" s="25" t="str">
        <f>IFERROR(__xludf.DUMMYFUNCTION("""COMPUTED_VALUE"""),"")</f>
        <v/>
      </c>
    </row>
    <row r="744">
      <c r="A744" s="45"/>
      <c r="C744" s="25" t="str">
        <f>IFERROR(__xludf.DUMMYFUNCTION("""COMPUTED_VALUE"""),"")</f>
        <v/>
      </c>
      <c r="D744" s="25" t="str">
        <f>IFERROR(__xludf.DUMMYFUNCTION("""COMPUTED_VALUE"""),"")</f>
        <v/>
      </c>
    </row>
    <row r="745">
      <c r="A745" s="45"/>
      <c r="C745" s="25" t="str">
        <f>IFERROR(__xludf.DUMMYFUNCTION("""COMPUTED_VALUE"""),"")</f>
        <v/>
      </c>
      <c r="D745" s="25" t="str">
        <f>IFERROR(__xludf.DUMMYFUNCTION("""COMPUTED_VALUE"""),"")</f>
        <v/>
      </c>
    </row>
    <row r="746">
      <c r="A746" s="45"/>
      <c r="C746" s="25" t="str">
        <f>IFERROR(__xludf.DUMMYFUNCTION("""COMPUTED_VALUE"""),"")</f>
        <v/>
      </c>
      <c r="D746" s="25" t="str">
        <f>IFERROR(__xludf.DUMMYFUNCTION("""COMPUTED_VALUE"""),"")</f>
        <v/>
      </c>
    </row>
    <row r="747">
      <c r="A747" s="45"/>
      <c r="C747" s="25" t="str">
        <f>IFERROR(__xludf.DUMMYFUNCTION("""COMPUTED_VALUE"""),"")</f>
        <v/>
      </c>
      <c r="D747" s="25" t="str">
        <f>IFERROR(__xludf.DUMMYFUNCTION("""COMPUTED_VALUE"""),"")</f>
        <v/>
      </c>
    </row>
    <row r="748">
      <c r="A748" s="45"/>
      <c r="C748" s="25" t="str">
        <f>IFERROR(__xludf.DUMMYFUNCTION("""COMPUTED_VALUE"""),"")</f>
        <v/>
      </c>
      <c r="D748" s="25" t="str">
        <f>IFERROR(__xludf.DUMMYFUNCTION("""COMPUTED_VALUE"""),"")</f>
        <v/>
      </c>
    </row>
    <row r="749">
      <c r="A749" s="45"/>
      <c r="C749" s="25" t="str">
        <f>IFERROR(__xludf.DUMMYFUNCTION("""COMPUTED_VALUE"""),"")</f>
        <v/>
      </c>
      <c r="D749" s="25" t="str">
        <f>IFERROR(__xludf.DUMMYFUNCTION("""COMPUTED_VALUE"""),"")</f>
        <v/>
      </c>
    </row>
    <row r="750">
      <c r="A750" s="45"/>
      <c r="C750" s="25" t="str">
        <f>IFERROR(__xludf.DUMMYFUNCTION("""COMPUTED_VALUE"""),"")</f>
        <v/>
      </c>
      <c r="D750" s="25" t="str">
        <f>IFERROR(__xludf.DUMMYFUNCTION("""COMPUTED_VALUE"""),"")</f>
        <v/>
      </c>
    </row>
    <row r="751">
      <c r="A751" s="45"/>
      <c r="C751" s="25" t="str">
        <f>IFERROR(__xludf.DUMMYFUNCTION("""COMPUTED_VALUE"""),"")</f>
        <v/>
      </c>
      <c r="D751" s="25" t="str">
        <f>IFERROR(__xludf.DUMMYFUNCTION("""COMPUTED_VALUE"""),"")</f>
        <v/>
      </c>
    </row>
    <row r="752">
      <c r="A752" s="45"/>
      <c r="C752" s="25" t="str">
        <f>IFERROR(__xludf.DUMMYFUNCTION("""COMPUTED_VALUE"""),"")</f>
        <v/>
      </c>
      <c r="D752" s="25" t="str">
        <f>IFERROR(__xludf.DUMMYFUNCTION("""COMPUTED_VALUE"""),"")</f>
        <v/>
      </c>
    </row>
    <row r="753">
      <c r="A753" s="45"/>
      <c r="C753" s="25" t="str">
        <f>IFERROR(__xludf.DUMMYFUNCTION("""COMPUTED_VALUE"""),"")</f>
        <v/>
      </c>
      <c r="D753" s="25" t="str">
        <f>IFERROR(__xludf.DUMMYFUNCTION("""COMPUTED_VALUE"""),"")</f>
        <v/>
      </c>
    </row>
    <row r="754">
      <c r="A754" s="45"/>
      <c r="C754" s="25" t="str">
        <f>IFERROR(__xludf.DUMMYFUNCTION("""COMPUTED_VALUE"""),"")</f>
        <v/>
      </c>
      <c r="D754" s="25" t="str">
        <f>IFERROR(__xludf.DUMMYFUNCTION("""COMPUTED_VALUE"""),"")</f>
        <v/>
      </c>
    </row>
    <row r="755">
      <c r="A755" s="45"/>
      <c r="C755" s="25" t="str">
        <f>IFERROR(__xludf.DUMMYFUNCTION("""COMPUTED_VALUE"""),"")</f>
        <v/>
      </c>
      <c r="D755" s="25" t="str">
        <f>IFERROR(__xludf.DUMMYFUNCTION("""COMPUTED_VALUE"""),"")</f>
        <v/>
      </c>
    </row>
    <row r="756">
      <c r="A756" s="45"/>
      <c r="C756" s="25" t="str">
        <f>IFERROR(__xludf.DUMMYFUNCTION("""COMPUTED_VALUE"""),"")</f>
        <v/>
      </c>
      <c r="D756" s="25" t="str">
        <f>IFERROR(__xludf.DUMMYFUNCTION("""COMPUTED_VALUE"""),"")</f>
        <v/>
      </c>
    </row>
    <row r="757">
      <c r="A757" s="45"/>
      <c r="C757" s="25" t="str">
        <f>IFERROR(__xludf.DUMMYFUNCTION("""COMPUTED_VALUE"""),"")</f>
        <v/>
      </c>
      <c r="D757" s="25" t="str">
        <f>IFERROR(__xludf.DUMMYFUNCTION("""COMPUTED_VALUE"""),"")</f>
        <v/>
      </c>
    </row>
    <row r="758">
      <c r="A758" s="45"/>
      <c r="C758" s="25" t="str">
        <f>IFERROR(__xludf.DUMMYFUNCTION("""COMPUTED_VALUE"""),"")</f>
        <v/>
      </c>
      <c r="D758" s="25" t="str">
        <f>IFERROR(__xludf.DUMMYFUNCTION("""COMPUTED_VALUE"""),"")</f>
        <v/>
      </c>
    </row>
    <row r="759">
      <c r="A759" s="45"/>
      <c r="C759" s="25" t="str">
        <f>IFERROR(__xludf.DUMMYFUNCTION("""COMPUTED_VALUE"""),"")</f>
        <v/>
      </c>
      <c r="D759" s="25" t="str">
        <f>IFERROR(__xludf.DUMMYFUNCTION("""COMPUTED_VALUE"""),"")</f>
        <v/>
      </c>
    </row>
    <row r="760">
      <c r="A760" s="45"/>
      <c r="C760" s="25" t="str">
        <f>IFERROR(__xludf.DUMMYFUNCTION("""COMPUTED_VALUE"""),"")</f>
        <v/>
      </c>
      <c r="D760" s="25" t="str">
        <f>IFERROR(__xludf.DUMMYFUNCTION("""COMPUTED_VALUE"""),"")</f>
        <v/>
      </c>
    </row>
    <row r="761">
      <c r="A761" s="45"/>
      <c r="C761" s="25" t="str">
        <f>IFERROR(__xludf.DUMMYFUNCTION("""COMPUTED_VALUE"""),"")</f>
        <v/>
      </c>
      <c r="D761" s="25" t="str">
        <f>IFERROR(__xludf.DUMMYFUNCTION("""COMPUTED_VALUE"""),"")</f>
        <v/>
      </c>
    </row>
    <row r="762">
      <c r="A762" s="45"/>
      <c r="C762" s="25" t="str">
        <f>IFERROR(__xludf.DUMMYFUNCTION("""COMPUTED_VALUE"""),"")</f>
        <v/>
      </c>
      <c r="D762" s="25" t="str">
        <f>IFERROR(__xludf.DUMMYFUNCTION("""COMPUTED_VALUE"""),"")</f>
        <v/>
      </c>
    </row>
    <row r="763">
      <c r="A763" s="45"/>
      <c r="C763" s="25" t="str">
        <f>IFERROR(__xludf.DUMMYFUNCTION("""COMPUTED_VALUE"""),"")</f>
        <v/>
      </c>
      <c r="D763" s="25" t="str">
        <f>IFERROR(__xludf.DUMMYFUNCTION("""COMPUTED_VALUE"""),"")</f>
        <v/>
      </c>
    </row>
    <row r="764">
      <c r="A764" s="45"/>
      <c r="C764" s="25" t="str">
        <f>IFERROR(__xludf.DUMMYFUNCTION("""COMPUTED_VALUE"""),"")</f>
        <v/>
      </c>
      <c r="D764" s="25" t="str">
        <f>IFERROR(__xludf.DUMMYFUNCTION("""COMPUTED_VALUE"""),"")</f>
        <v/>
      </c>
    </row>
    <row r="765">
      <c r="A765" s="45"/>
      <c r="C765" s="25" t="str">
        <f>IFERROR(__xludf.DUMMYFUNCTION("""COMPUTED_VALUE"""),"")</f>
        <v/>
      </c>
      <c r="D765" s="25" t="str">
        <f>IFERROR(__xludf.DUMMYFUNCTION("""COMPUTED_VALUE"""),"")</f>
        <v/>
      </c>
    </row>
    <row r="766">
      <c r="A766" s="45"/>
      <c r="C766" s="25" t="str">
        <f>IFERROR(__xludf.DUMMYFUNCTION("""COMPUTED_VALUE"""),"")</f>
        <v/>
      </c>
      <c r="D766" s="25" t="str">
        <f>IFERROR(__xludf.DUMMYFUNCTION("""COMPUTED_VALUE"""),"")</f>
        <v/>
      </c>
    </row>
    <row r="767">
      <c r="A767" s="45"/>
      <c r="C767" s="25" t="str">
        <f>IFERROR(__xludf.DUMMYFUNCTION("""COMPUTED_VALUE"""),"")</f>
        <v/>
      </c>
      <c r="D767" s="25" t="str">
        <f>IFERROR(__xludf.DUMMYFUNCTION("""COMPUTED_VALUE"""),"")</f>
        <v/>
      </c>
    </row>
    <row r="768">
      <c r="A768" s="45"/>
      <c r="C768" s="25" t="str">
        <f>IFERROR(__xludf.DUMMYFUNCTION("""COMPUTED_VALUE"""),"")</f>
        <v/>
      </c>
      <c r="D768" s="25" t="str">
        <f>IFERROR(__xludf.DUMMYFUNCTION("""COMPUTED_VALUE"""),"")</f>
        <v/>
      </c>
    </row>
    <row r="769">
      <c r="A769" s="45"/>
      <c r="C769" s="25" t="str">
        <f>IFERROR(__xludf.DUMMYFUNCTION("""COMPUTED_VALUE"""),"")</f>
        <v/>
      </c>
      <c r="D769" s="25" t="str">
        <f>IFERROR(__xludf.DUMMYFUNCTION("""COMPUTED_VALUE"""),"")</f>
        <v/>
      </c>
    </row>
    <row r="770">
      <c r="A770" s="45"/>
      <c r="C770" s="25" t="str">
        <f>IFERROR(__xludf.DUMMYFUNCTION("""COMPUTED_VALUE"""),"")</f>
        <v/>
      </c>
      <c r="D770" s="25" t="str">
        <f>IFERROR(__xludf.DUMMYFUNCTION("""COMPUTED_VALUE"""),"")</f>
        <v/>
      </c>
    </row>
    <row r="771">
      <c r="A771" s="45"/>
      <c r="C771" s="25" t="str">
        <f>IFERROR(__xludf.DUMMYFUNCTION("""COMPUTED_VALUE"""),"")</f>
        <v/>
      </c>
      <c r="D771" s="25" t="str">
        <f>IFERROR(__xludf.DUMMYFUNCTION("""COMPUTED_VALUE"""),"")</f>
        <v/>
      </c>
    </row>
    <row r="772">
      <c r="A772" s="45"/>
      <c r="C772" s="25" t="str">
        <f>IFERROR(__xludf.DUMMYFUNCTION("""COMPUTED_VALUE"""),"")</f>
        <v/>
      </c>
      <c r="D772" s="25" t="str">
        <f>IFERROR(__xludf.DUMMYFUNCTION("""COMPUTED_VALUE"""),"")</f>
        <v/>
      </c>
    </row>
    <row r="773">
      <c r="A773" s="45"/>
      <c r="C773" s="25" t="str">
        <f>IFERROR(__xludf.DUMMYFUNCTION("""COMPUTED_VALUE"""),"")</f>
        <v/>
      </c>
      <c r="D773" s="25" t="str">
        <f>IFERROR(__xludf.DUMMYFUNCTION("""COMPUTED_VALUE"""),"")</f>
        <v/>
      </c>
    </row>
    <row r="774">
      <c r="A774" s="45"/>
      <c r="C774" s="25" t="str">
        <f>IFERROR(__xludf.DUMMYFUNCTION("""COMPUTED_VALUE"""),"")</f>
        <v/>
      </c>
      <c r="D774" s="25" t="str">
        <f>IFERROR(__xludf.DUMMYFUNCTION("""COMPUTED_VALUE"""),"")</f>
        <v/>
      </c>
    </row>
    <row r="775">
      <c r="A775" s="45"/>
      <c r="C775" s="25" t="str">
        <f>IFERROR(__xludf.DUMMYFUNCTION("""COMPUTED_VALUE"""),"")</f>
        <v/>
      </c>
      <c r="D775" s="25" t="str">
        <f>IFERROR(__xludf.DUMMYFUNCTION("""COMPUTED_VALUE"""),"")</f>
        <v/>
      </c>
    </row>
    <row r="776">
      <c r="A776" s="45"/>
      <c r="C776" s="25" t="str">
        <f>IFERROR(__xludf.DUMMYFUNCTION("""COMPUTED_VALUE"""),"")</f>
        <v/>
      </c>
      <c r="D776" s="25" t="str">
        <f>IFERROR(__xludf.DUMMYFUNCTION("""COMPUTED_VALUE"""),"")</f>
        <v/>
      </c>
    </row>
    <row r="777">
      <c r="A777" s="45"/>
      <c r="C777" s="25" t="str">
        <f>IFERROR(__xludf.DUMMYFUNCTION("""COMPUTED_VALUE"""),"")</f>
        <v/>
      </c>
      <c r="D777" s="25" t="str">
        <f>IFERROR(__xludf.DUMMYFUNCTION("""COMPUTED_VALUE"""),"")</f>
        <v/>
      </c>
    </row>
    <row r="778">
      <c r="A778" s="45"/>
      <c r="C778" s="25" t="str">
        <f>IFERROR(__xludf.DUMMYFUNCTION("""COMPUTED_VALUE"""),"")</f>
        <v/>
      </c>
      <c r="D778" s="25" t="str">
        <f>IFERROR(__xludf.DUMMYFUNCTION("""COMPUTED_VALUE"""),"")</f>
        <v/>
      </c>
    </row>
    <row r="779">
      <c r="A779" s="45"/>
      <c r="C779" s="25" t="str">
        <f>IFERROR(__xludf.DUMMYFUNCTION("""COMPUTED_VALUE"""),"")</f>
        <v/>
      </c>
      <c r="D779" s="25" t="str">
        <f>IFERROR(__xludf.DUMMYFUNCTION("""COMPUTED_VALUE"""),"")</f>
        <v/>
      </c>
    </row>
    <row r="780">
      <c r="A780" s="45"/>
      <c r="C780" s="25" t="str">
        <f>IFERROR(__xludf.DUMMYFUNCTION("""COMPUTED_VALUE"""),"")</f>
        <v/>
      </c>
      <c r="D780" s="25" t="str">
        <f>IFERROR(__xludf.DUMMYFUNCTION("""COMPUTED_VALUE"""),"")</f>
        <v/>
      </c>
    </row>
    <row r="781">
      <c r="A781" s="45"/>
      <c r="C781" s="25" t="str">
        <f>IFERROR(__xludf.DUMMYFUNCTION("""COMPUTED_VALUE"""),"")</f>
        <v/>
      </c>
      <c r="D781" s="25" t="str">
        <f>IFERROR(__xludf.DUMMYFUNCTION("""COMPUTED_VALUE"""),"")</f>
        <v/>
      </c>
    </row>
    <row r="782">
      <c r="A782" s="45"/>
      <c r="C782" s="25" t="str">
        <f>IFERROR(__xludf.DUMMYFUNCTION("""COMPUTED_VALUE"""),"")</f>
        <v/>
      </c>
      <c r="D782" s="25" t="str">
        <f>IFERROR(__xludf.DUMMYFUNCTION("""COMPUTED_VALUE"""),"")</f>
        <v/>
      </c>
    </row>
    <row r="783">
      <c r="A783" s="45"/>
      <c r="C783" s="25" t="str">
        <f>IFERROR(__xludf.DUMMYFUNCTION("""COMPUTED_VALUE"""),"")</f>
        <v/>
      </c>
      <c r="D783" s="25" t="str">
        <f>IFERROR(__xludf.DUMMYFUNCTION("""COMPUTED_VALUE"""),"")</f>
        <v/>
      </c>
    </row>
    <row r="784">
      <c r="A784" s="45"/>
      <c r="C784" s="25" t="str">
        <f>IFERROR(__xludf.DUMMYFUNCTION("""COMPUTED_VALUE"""),"")</f>
        <v/>
      </c>
      <c r="D784" s="25" t="str">
        <f>IFERROR(__xludf.DUMMYFUNCTION("""COMPUTED_VALUE"""),"")</f>
        <v/>
      </c>
    </row>
    <row r="785">
      <c r="A785" s="45"/>
      <c r="C785" s="25" t="str">
        <f>IFERROR(__xludf.DUMMYFUNCTION("""COMPUTED_VALUE"""),"")</f>
        <v/>
      </c>
      <c r="D785" s="25" t="str">
        <f>IFERROR(__xludf.DUMMYFUNCTION("""COMPUTED_VALUE"""),"")</f>
        <v/>
      </c>
    </row>
    <row r="786">
      <c r="A786" s="45"/>
      <c r="C786" s="25" t="str">
        <f>IFERROR(__xludf.DUMMYFUNCTION("""COMPUTED_VALUE"""),"")</f>
        <v/>
      </c>
      <c r="D786" s="25" t="str">
        <f>IFERROR(__xludf.DUMMYFUNCTION("""COMPUTED_VALUE"""),"")</f>
        <v/>
      </c>
    </row>
    <row r="787">
      <c r="A787" s="45"/>
      <c r="C787" s="25" t="str">
        <f>IFERROR(__xludf.DUMMYFUNCTION("""COMPUTED_VALUE"""),"")</f>
        <v/>
      </c>
      <c r="D787" s="25" t="str">
        <f>IFERROR(__xludf.DUMMYFUNCTION("""COMPUTED_VALUE"""),"")</f>
        <v/>
      </c>
    </row>
    <row r="788">
      <c r="A788" s="45"/>
      <c r="C788" s="25" t="str">
        <f>IFERROR(__xludf.DUMMYFUNCTION("""COMPUTED_VALUE"""),"")</f>
        <v/>
      </c>
      <c r="D788" s="25" t="str">
        <f>IFERROR(__xludf.DUMMYFUNCTION("""COMPUTED_VALUE"""),"")</f>
        <v/>
      </c>
    </row>
    <row r="789">
      <c r="A789" s="45"/>
      <c r="C789" s="25" t="str">
        <f>IFERROR(__xludf.DUMMYFUNCTION("""COMPUTED_VALUE"""),"")</f>
        <v/>
      </c>
      <c r="D789" s="25" t="str">
        <f>IFERROR(__xludf.DUMMYFUNCTION("""COMPUTED_VALUE"""),"")</f>
        <v/>
      </c>
    </row>
    <row r="790">
      <c r="A790" s="45"/>
      <c r="C790" s="25" t="str">
        <f>IFERROR(__xludf.DUMMYFUNCTION("""COMPUTED_VALUE"""),"")</f>
        <v/>
      </c>
      <c r="D790" s="25" t="str">
        <f>IFERROR(__xludf.DUMMYFUNCTION("""COMPUTED_VALUE"""),"")</f>
        <v/>
      </c>
    </row>
    <row r="791">
      <c r="A791" s="45"/>
      <c r="C791" s="25" t="str">
        <f>IFERROR(__xludf.DUMMYFUNCTION("""COMPUTED_VALUE"""),"")</f>
        <v/>
      </c>
      <c r="D791" s="25" t="str">
        <f>IFERROR(__xludf.DUMMYFUNCTION("""COMPUTED_VALUE"""),"")</f>
        <v/>
      </c>
    </row>
    <row r="792">
      <c r="A792" s="45"/>
      <c r="C792" s="25" t="str">
        <f>IFERROR(__xludf.DUMMYFUNCTION("""COMPUTED_VALUE"""),"")</f>
        <v/>
      </c>
      <c r="D792" s="25" t="str">
        <f>IFERROR(__xludf.DUMMYFUNCTION("""COMPUTED_VALUE"""),"")</f>
        <v/>
      </c>
    </row>
    <row r="793">
      <c r="A793" s="45"/>
      <c r="C793" s="25" t="str">
        <f>IFERROR(__xludf.DUMMYFUNCTION("""COMPUTED_VALUE"""),"")</f>
        <v/>
      </c>
      <c r="D793" s="25" t="str">
        <f>IFERROR(__xludf.DUMMYFUNCTION("""COMPUTED_VALUE"""),"")</f>
        <v/>
      </c>
    </row>
    <row r="794">
      <c r="A794" s="45"/>
      <c r="C794" s="25" t="str">
        <f>IFERROR(__xludf.DUMMYFUNCTION("""COMPUTED_VALUE"""),"")</f>
        <v/>
      </c>
      <c r="D794" s="25" t="str">
        <f>IFERROR(__xludf.DUMMYFUNCTION("""COMPUTED_VALUE"""),"")</f>
        <v/>
      </c>
    </row>
    <row r="795">
      <c r="A795" s="45"/>
      <c r="C795" s="25" t="str">
        <f>IFERROR(__xludf.DUMMYFUNCTION("""COMPUTED_VALUE"""),"")</f>
        <v/>
      </c>
      <c r="D795" s="25" t="str">
        <f>IFERROR(__xludf.DUMMYFUNCTION("""COMPUTED_VALUE"""),"")</f>
        <v/>
      </c>
    </row>
    <row r="796">
      <c r="A796" s="45"/>
      <c r="C796" s="25" t="str">
        <f>IFERROR(__xludf.DUMMYFUNCTION("""COMPUTED_VALUE"""),"")</f>
        <v/>
      </c>
      <c r="D796" s="25" t="str">
        <f>IFERROR(__xludf.DUMMYFUNCTION("""COMPUTED_VALUE"""),"")</f>
        <v/>
      </c>
    </row>
    <row r="797">
      <c r="A797" s="45"/>
      <c r="C797" s="25" t="str">
        <f>IFERROR(__xludf.DUMMYFUNCTION("""COMPUTED_VALUE"""),"")</f>
        <v/>
      </c>
      <c r="D797" s="25" t="str">
        <f>IFERROR(__xludf.DUMMYFUNCTION("""COMPUTED_VALUE"""),"")</f>
        <v/>
      </c>
    </row>
    <row r="798">
      <c r="A798" s="45"/>
      <c r="C798" s="25" t="str">
        <f>IFERROR(__xludf.DUMMYFUNCTION("""COMPUTED_VALUE"""),"")</f>
        <v/>
      </c>
      <c r="D798" s="25" t="str">
        <f>IFERROR(__xludf.DUMMYFUNCTION("""COMPUTED_VALUE"""),"")</f>
        <v/>
      </c>
    </row>
    <row r="799">
      <c r="A799" s="45"/>
      <c r="C799" s="25" t="str">
        <f>IFERROR(__xludf.DUMMYFUNCTION("""COMPUTED_VALUE"""),"")</f>
        <v/>
      </c>
      <c r="D799" s="25" t="str">
        <f>IFERROR(__xludf.DUMMYFUNCTION("""COMPUTED_VALUE"""),"")</f>
        <v/>
      </c>
    </row>
    <row r="800">
      <c r="A800" s="45"/>
      <c r="C800" s="25" t="str">
        <f>IFERROR(__xludf.DUMMYFUNCTION("""COMPUTED_VALUE"""),"")</f>
        <v/>
      </c>
      <c r="D800" s="25" t="str">
        <f>IFERROR(__xludf.DUMMYFUNCTION("""COMPUTED_VALUE"""),"")</f>
        <v/>
      </c>
    </row>
    <row r="801">
      <c r="A801" s="45"/>
      <c r="C801" s="25" t="str">
        <f>IFERROR(__xludf.DUMMYFUNCTION("""COMPUTED_VALUE"""),"")</f>
        <v/>
      </c>
      <c r="D801" s="25" t="str">
        <f>IFERROR(__xludf.DUMMYFUNCTION("""COMPUTED_VALUE"""),"")</f>
        <v/>
      </c>
    </row>
    <row r="802">
      <c r="A802" s="45"/>
      <c r="C802" s="25" t="str">
        <f>IFERROR(__xludf.DUMMYFUNCTION("""COMPUTED_VALUE"""),"")</f>
        <v/>
      </c>
      <c r="D802" s="25" t="str">
        <f>IFERROR(__xludf.DUMMYFUNCTION("""COMPUTED_VALUE"""),"")</f>
        <v/>
      </c>
    </row>
    <row r="803">
      <c r="A803" s="45"/>
      <c r="C803" s="25" t="str">
        <f>IFERROR(__xludf.DUMMYFUNCTION("""COMPUTED_VALUE"""),"")</f>
        <v/>
      </c>
      <c r="D803" s="25" t="str">
        <f>IFERROR(__xludf.DUMMYFUNCTION("""COMPUTED_VALUE"""),"")</f>
        <v/>
      </c>
    </row>
    <row r="804">
      <c r="A804" s="45"/>
      <c r="C804" s="25" t="str">
        <f>IFERROR(__xludf.DUMMYFUNCTION("""COMPUTED_VALUE"""),"")</f>
        <v/>
      </c>
      <c r="D804" s="25" t="str">
        <f>IFERROR(__xludf.DUMMYFUNCTION("""COMPUTED_VALUE"""),"")</f>
        <v/>
      </c>
    </row>
    <row r="805">
      <c r="A805" s="45"/>
      <c r="C805" s="25" t="str">
        <f>IFERROR(__xludf.DUMMYFUNCTION("""COMPUTED_VALUE"""),"")</f>
        <v/>
      </c>
      <c r="D805" s="25" t="str">
        <f>IFERROR(__xludf.DUMMYFUNCTION("""COMPUTED_VALUE"""),"")</f>
        <v/>
      </c>
    </row>
    <row r="806">
      <c r="A806" s="45"/>
      <c r="C806" s="25" t="str">
        <f>IFERROR(__xludf.DUMMYFUNCTION("""COMPUTED_VALUE"""),"")</f>
        <v/>
      </c>
      <c r="D806" s="25" t="str">
        <f>IFERROR(__xludf.DUMMYFUNCTION("""COMPUTED_VALUE"""),"")</f>
        <v/>
      </c>
    </row>
    <row r="807">
      <c r="A807" s="45"/>
      <c r="C807" s="25" t="str">
        <f>IFERROR(__xludf.DUMMYFUNCTION("""COMPUTED_VALUE"""),"")</f>
        <v/>
      </c>
      <c r="D807" s="25" t="str">
        <f>IFERROR(__xludf.DUMMYFUNCTION("""COMPUTED_VALUE"""),"")</f>
        <v/>
      </c>
    </row>
    <row r="808">
      <c r="A808" s="45"/>
      <c r="C808" s="25" t="str">
        <f>IFERROR(__xludf.DUMMYFUNCTION("""COMPUTED_VALUE"""),"")</f>
        <v/>
      </c>
      <c r="D808" s="25" t="str">
        <f>IFERROR(__xludf.DUMMYFUNCTION("""COMPUTED_VALUE"""),"")</f>
        <v/>
      </c>
    </row>
    <row r="809">
      <c r="A809" s="45"/>
      <c r="C809" s="25" t="str">
        <f>IFERROR(__xludf.DUMMYFUNCTION("""COMPUTED_VALUE"""),"")</f>
        <v/>
      </c>
      <c r="D809" s="25" t="str">
        <f>IFERROR(__xludf.DUMMYFUNCTION("""COMPUTED_VALUE"""),"")</f>
        <v/>
      </c>
    </row>
    <row r="810">
      <c r="A810" s="45"/>
      <c r="C810" s="25" t="str">
        <f>IFERROR(__xludf.DUMMYFUNCTION("""COMPUTED_VALUE"""),"")</f>
        <v/>
      </c>
      <c r="D810" s="25" t="str">
        <f>IFERROR(__xludf.DUMMYFUNCTION("""COMPUTED_VALUE"""),"")</f>
        <v/>
      </c>
    </row>
    <row r="811">
      <c r="A811" s="45"/>
      <c r="C811" s="25" t="str">
        <f>IFERROR(__xludf.DUMMYFUNCTION("""COMPUTED_VALUE"""),"")</f>
        <v/>
      </c>
      <c r="D811" s="25" t="str">
        <f>IFERROR(__xludf.DUMMYFUNCTION("""COMPUTED_VALUE"""),"")</f>
        <v/>
      </c>
    </row>
    <row r="812">
      <c r="A812" s="45"/>
      <c r="C812" s="25" t="str">
        <f>IFERROR(__xludf.DUMMYFUNCTION("""COMPUTED_VALUE"""),"")</f>
        <v/>
      </c>
      <c r="D812" s="25" t="str">
        <f>IFERROR(__xludf.DUMMYFUNCTION("""COMPUTED_VALUE"""),"")</f>
        <v/>
      </c>
    </row>
    <row r="813">
      <c r="A813" s="45"/>
      <c r="C813" s="25" t="str">
        <f>IFERROR(__xludf.DUMMYFUNCTION("""COMPUTED_VALUE"""),"")</f>
        <v/>
      </c>
      <c r="D813" s="25" t="str">
        <f>IFERROR(__xludf.DUMMYFUNCTION("""COMPUTED_VALUE"""),"")</f>
        <v/>
      </c>
    </row>
    <row r="814">
      <c r="A814" s="45"/>
      <c r="C814" s="25" t="str">
        <f>IFERROR(__xludf.DUMMYFUNCTION("""COMPUTED_VALUE"""),"")</f>
        <v/>
      </c>
      <c r="D814" s="25" t="str">
        <f>IFERROR(__xludf.DUMMYFUNCTION("""COMPUTED_VALUE"""),"")</f>
        <v/>
      </c>
    </row>
    <row r="815">
      <c r="A815" s="45"/>
      <c r="C815" s="25" t="str">
        <f>IFERROR(__xludf.DUMMYFUNCTION("""COMPUTED_VALUE"""),"")</f>
        <v/>
      </c>
      <c r="D815" s="25" t="str">
        <f>IFERROR(__xludf.DUMMYFUNCTION("""COMPUTED_VALUE"""),"")</f>
        <v/>
      </c>
    </row>
    <row r="816">
      <c r="A816" s="45"/>
      <c r="C816" s="25" t="str">
        <f>IFERROR(__xludf.DUMMYFUNCTION("""COMPUTED_VALUE"""),"")</f>
        <v/>
      </c>
      <c r="D816" s="25" t="str">
        <f>IFERROR(__xludf.DUMMYFUNCTION("""COMPUTED_VALUE"""),"")</f>
        <v/>
      </c>
    </row>
    <row r="817">
      <c r="A817" s="45"/>
      <c r="C817" s="25" t="str">
        <f>IFERROR(__xludf.DUMMYFUNCTION("""COMPUTED_VALUE"""),"")</f>
        <v/>
      </c>
      <c r="D817" s="25" t="str">
        <f>IFERROR(__xludf.DUMMYFUNCTION("""COMPUTED_VALUE"""),"")</f>
        <v/>
      </c>
    </row>
    <row r="818">
      <c r="A818" s="45"/>
      <c r="C818" s="25" t="str">
        <f>IFERROR(__xludf.DUMMYFUNCTION("""COMPUTED_VALUE"""),"")</f>
        <v/>
      </c>
      <c r="D818" s="25" t="str">
        <f>IFERROR(__xludf.DUMMYFUNCTION("""COMPUTED_VALUE"""),"")</f>
        <v/>
      </c>
    </row>
    <row r="819">
      <c r="A819" s="45"/>
      <c r="C819" s="25" t="str">
        <f>IFERROR(__xludf.DUMMYFUNCTION("""COMPUTED_VALUE"""),"")</f>
        <v/>
      </c>
      <c r="D819" s="25" t="str">
        <f>IFERROR(__xludf.DUMMYFUNCTION("""COMPUTED_VALUE"""),"")</f>
        <v/>
      </c>
    </row>
    <row r="820">
      <c r="A820" s="45"/>
      <c r="C820" s="25" t="str">
        <f>IFERROR(__xludf.DUMMYFUNCTION("""COMPUTED_VALUE"""),"")</f>
        <v/>
      </c>
      <c r="D820" s="25" t="str">
        <f>IFERROR(__xludf.DUMMYFUNCTION("""COMPUTED_VALUE"""),"")</f>
        <v/>
      </c>
    </row>
    <row r="821">
      <c r="A821" s="45"/>
      <c r="C821" s="25" t="str">
        <f>IFERROR(__xludf.DUMMYFUNCTION("""COMPUTED_VALUE"""),"")</f>
        <v/>
      </c>
      <c r="D821" s="25" t="str">
        <f>IFERROR(__xludf.DUMMYFUNCTION("""COMPUTED_VALUE"""),"")</f>
        <v/>
      </c>
    </row>
    <row r="822">
      <c r="A822" s="45"/>
      <c r="C822" s="25" t="str">
        <f>IFERROR(__xludf.DUMMYFUNCTION("""COMPUTED_VALUE"""),"")</f>
        <v/>
      </c>
      <c r="D822" s="25" t="str">
        <f>IFERROR(__xludf.DUMMYFUNCTION("""COMPUTED_VALUE"""),"")</f>
        <v/>
      </c>
    </row>
    <row r="823">
      <c r="A823" s="45"/>
      <c r="C823" s="25" t="str">
        <f>IFERROR(__xludf.DUMMYFUNCTION("""COMPUTED_VALUE"""),"")</f>
        <v/>
      </c>
      <c r="D823" s="25" t="str">
        <f>IFERROR(__xludf.DUMMYFUNCTION("""COMPUTED_VALUE"""),"")</f>
        <v/>
      </c>
    </row>
    <row r="824">
      <c r="A824" s="45"/>
      <c r="C824" s="25" t="str">
        <f>IFERROR(__xludf.DUMMYFUNCTION("""COMPUTED_VALUE"""),"")</f>
        <v/>
      </c>
      <c r="D824" s="25" t="str">
        <f>IFERROR(__xludf.DUMMYFUNCTION("""COMPUTED_VALUE"""),"")</f>
        <v/>
      </c>
    </row>
    <row r="825">
      <c r="A825" s="45"/>
      <c r="C825" s="25" t="str">
        <f>IFERROR(__xludf.DUMMYFUNCTION("""COMPUTED_VALUE"""),"")</f>
        <v/>
      </c>
      <c r="D825" s="25" t="str">
        <f>IFERROR(__xludf.DUMMYFUNCTION("""COMPUTED_VALUE"""),"")</f>
        <v/>
      </c>
    </row>
    <row r="826">
      <c r="A826" s="45"/>
      <c r="C826" s="25" t="str">
        <f>IFERROR(__xludf.DUMMYFUNCTION("""COMPUTED_VALUE"""),"")</f>
        <v/>
      </c>
      <c r="D826" s="25" t="str">
        <f>IFERROR(__xludf.DUMMYFUNCTION("""COMPUTED_VALUE"""),"")</f>
        <v/>
      </c>
    </row>
    <row r="827">
      <c r="A827" s="45"/>
      <c r="C827" s="25" t="str">
        <f>IFERROR(__xludf.DUMMYFUNCTION("""COMPUTED_VALUE"""),"")</f>
        <v/>
      </c>
      <c r="D827" s="25" t="str">
        <f>IFERROR(__xludf.DUMMYFUNCTION("""COMPUTED_VALUE"""),"")</f>
        <v/>
      </c>
    </row>
    <row r="828">
      <c r="A828" s="45"/>
      <c r="C828" s="25" t="str">
        <f>IFERROR(__xludf.DUMMYFUNCTION("""COMPUTED_VALUE"""),"")</f>
        <v/>
      </c>
      <c r="D828" s="25" t="str">
        <f>IFERROR(__xludf.DUMMYFUNCTION("""COMPUTED_VALUE"""),"")</f>
        <v/>
      </c>
    </row>
    <row r="829">
      <c r="A829" s="45"/>
      <c r="C829" s="25" t="str">
        <f>IFERROR(__xludf.DUMMYFUNCTION("""COMPUTED_VALUE"""),"")</f>
        <v/>
      </c>
      <c r="D829" s="25" t="str">
        <f>IFERROR(__xludf.DUMMYFUNCTION("""COMPUTED_VALUE"""),"")</f>
        <v/>
      </c>
    </row>
    <row r="830">
      <c r="A830" s="45"/>
      <c r="C830" s="25" t="str">
        <f>IFERROR(__xludf.DUMMYFUNCTION("""COMPUTED_VALUE"""),"")</f>
        <v/>
      </c>
      <c r="D830" s="25" t="str">
        <f>IFERROR(__xludf.DUMMYFUNCTION("""COMPUTED_VALUE"""),"")</f>
        <v/>
      </c>
    </row>
    <row r="831">
      <c r="A831" s="45"/>
      <c r="C831" s="25" t="str">
        <f>IFERROR(__xludf.DUMMYFUNCTION("""COMPUTED_VALUE"""),"")</f>
        <v/>
      </c>
      <c r="D831" s="25" t="str">
        <f>IFERROR(__xludf.DUMMYFUNCTION("""COMPUTED_VALUE"""),"")</f>
        <v/>
      </c>
    </row>
    <row r="832">
      <c r="A832" s="45"/>
      <c r="C832" s="25" t="str">
        <f>IFERROR(__xludf.DUMMYFUNCTION("""COMPUTED_VALUE"""),"")</f>
        <v/>
      </c>
      <c r="D832" s="25" t="str">
        <f>IFERROR(__xludf.DUMMYFUNCTION("""COMPUTED_VALUE"""),"")</f>
        <v/>
      </c>
    </row>
    <row r="833">
      <c r="A833" s="45"/>
      <c r="C833" s="25" t="str">
        <f>IFERROR(__xludf.DUMMYFUNCTION("""COMPUTED_VALUE"""),"")</f>
        <v/>
      </c>
      <c r="D833" s="25" t="str">
        <f>IFERROR(__xludf.DUMMYFUNCTION("""COMPUTED_VALUE"""),"")</f>
        <v/>
      </c>
    </row>
    <row r="834">
      <c r="A834" s="45"/>
      <c r="C834" s="25" t="str">
        <f>IFERROR(__xludf.DUMMYFUNCTION("""COMPUTED_VALUE"""),"")</f>
        <v/>
      </c>
      <c r="D834" s="25" t="str">
        <f>IFERROR(__xludf.DUMMYFUNCTION("""COMPUTED_VALUE"""),"")</f>
        <v/>
      </c>
    </row>
    <row r="835">
      <c r="A835" s="45"/>
      <c r="C835" s="25" t="str">
        <f>IFERROR(__xludf.DUMMYFUNCTION("""COMPUTED_VALUE"""),"")</f>
        <v/>
      </c>
      <c r="D835" s="25" t="str">
        <f>IFERROR(__xludf.DUMMYFUNCTION("""COMPUTED_VALUE"""),"")</f>
        <v/>
      </c>
    </row>
    <row r="836">
      <c r="A836" s="45"/>
      <c r="C836" s="25" t="str">
        <f>IFERROR(__xludf.DUMMYFUNCTION("""COMPUTED_VALUE"""),"")</f>
        <v/>
      </c>
      <c r="D836" s="25" t="str">
        <f>IFERROR(__xludf.DUMMYFUNCTION("""COMPUTED_VALUE"""),"")</f>
        <v/>
      </c>
    </row>
    <row r="837">
      <c r="A837" s="45"/>
      <c r="C837" s="25" t="str">
        <f>IFERROR(__xludf.DUMMYFUNCTION("""COMPUTED_VALUE"""),"")</f>
        <v/>
      </c>
      <c r="D837" s="25" t="str">
        <f>IFERROR(__xludf.DUMMYFUNCTION("""COMPUTED_VALUE"""),"")</f>
        <v/>
      </c>
    </row>
    <row r="838">
      <c r="A838" s="45"/>
      <c r="C838" s="25" t="str">
        <f>IFERROR(__xludf.DUMMYFUNCTION("""COMPUTED_VALUE"""),"")</f>
        <v/>
      </c>
      <c r="D838" s="25" t="str">
        <f>IFERROR(__xludf.DUMMYFUNCTION("""COMPUTED_VALUE"""),"")</f>
        <v/>
      </c>
    </row>
    <row r="839">
      <c r="A839" s="45"/>
      <c r="C839" s="25" t="str">
        <f>IFERROR(__xludf.DUMMYFUNCTION("""COMPUTED_VALUE"""),"")</f>
        <v/>
      </c>
      <c r="D839" s="25" t="str">
        <f>IFERROR(__xludf.DUMMYFUNCTION("""COMPUTED_VALUE"""),"")</f>
        <v/>
      </c>
    </row>
    <row r="840">
      <c r="A840" s="45"/>
      <c r="C840" s="25" t="str">
        <f>IFERROR(__xludf.DUMMYFUNCTION("""COMPUTED_VALUE"""),"")</f>
        <v/>
      </c>
      <c r="D840" s="25" t="str">
        <f>IFERROR(__xludf.DUMMYFUNCTION("""COMPUTED_VALUE"""),"")</f>
        <v/>
      </c>
    </row>
    <row r="841">
      <c r="A841" s="45"/>
      <c r="C841" s="25" t="str">
        <f>IFERROR(__xludf.DUMMYFUNCTION("""COMPUTED_VALUE"""),"")</f>
        <v/>
      </c>
      <c r="D841" s="25" t="str">
        <f>IFERROR(__xludf.DUMMYFUNCTION("""COMPUTED_VALUE"""),"")</f>
        <v/>
      </c>
    </row>
    <row r="842">
      <c r="A842" s="45"/>
      <c r="C842" s="25" t="str">
        <f>IFERROR(__xludf.DUMMYFUNCTION("""COMPUTED_VALUE"""),"")</f>
        <v/>
      </c>
      <c r="D842" s="25" t="str">
        <f>IFERROR(__xludf.DUMMYFUNCTION("""COMPUTED_VALUE"""),"")</f>
        <v/>
      </c>
    </row>
    <row r="843">
      <c r="A843" s="45"/>
      <c r="C843" s="25" t="str">
        <f>IFERROR(__xludf.DUMMYFUNCTION("""COMPUTED_VALUE"""),"")</f>
        <v/>
      </c>
      <c r="D843" s="25" t="str">
        <f>IFERROR(__xludf.DUMMYFUNCTION("""COMPUTED_VALUE"""),"")</f>
        <v/>
      </c>
    </row>
    <row r="844">
      <c r="A844" s="45"/>
      <c r="C844" s="25" t="str">
        <f>IFERROR(__xludf.DUMMYFUNCTION("""COMPUTED_VALUE"""),"")</f>
        <v/>
      </c>
      <c r="D844" s="25" t="str">
        <f>IFERROR(__xludf.DUMMYFUNCTION("""COMPUTED_VALUE"""),"")</f>
        <v/>
      </c>
    </row>
    <row r="845">
      <c r="A845" s="45"/>
      <c r="C845" s="25" t="str">
        <f>IFERROR(__xludf.DUMMYFUNCTION("""COMPUTED_VALUE"""),"")</f>
        <v/>
      </c>
      <c r="D845" s="25" t="str">
        <f>IFERROR(__xludf.DUMMYFUNCTION("""COMPUTED_VALUE"""),"")</f>
        <v/>
      </c>
    </row>
    <row r="846">
      <c r="A846" s="45"/>
      <c r="C846" s="25" t="str">
        <f>IFERROR(__xludf.DUMMYFUNCTION("""COMPUTED_VALUE"""),"")</f>
        <v/>
      </c>
      <c r="D846" s="25" t="str">
        <f>IFERROR(__xludf.DUMMYFUNCTION("""COMPUTED_VALUE"""),"")</f>
        <v/>
      </c>
    </row>
    <row r="847">
      <c r="A847" s="45"/>
      <c r="C847" s="25" t="str">
        <f>IFERROR(__xludf.DUMMYFUNCTION("""COMPUTED_VALUE"""),"")</f>
        <v/>
      </c>
      <c r="D847" s="25" t="str">
        <f>IFERROR(__xludf.DUMMYFUNCTION("""COMPUTED_VALUE"""),"")</f>
        <v/>
      </c>
    </row>
    <row r="848">
      <c r="A848" s="45"/>
      <c r="C848" s="25" t="str">
        <f>IFERROR(__xludf.DUMMYFUNCTION("""COMPUTED_VALUE"""),"")</f>
        <v/>
      </c>
      <c r="D848" s="25" t="str">
        <f>IFERROR(__xludf.DUMMYFUNCTION("""COMPUTED_VALUE"""),"")</f>
        <v/>
      </c>
    </row>
    <row r="849">
      <c r="A849" s="45"/>
      <c r="C849" s="25" t="str">
        <f>IFERROR(__xludf.DUMMYFUNCTION("""COMPUTED_VALUE"""),"")</f>
        <v/>
      </c>
      <c r="D849" s="25" t="str">
        <f>IFERROR(__xludf.DUMMYFUNCTION("""COMPUTED_VALUE"""),"")</f>
        <v/>
      </c>
    </row>
    <row r="850">
      <c r="A850" s="45"/>
      <c r="C850" s="25" t="str">
        <f>IFERROR(__xludf.DUMMYFUNCTION("""COMPUTED_VALUE"""),"")</f>
        <v/>
      </c>
      <c r="D850" s="25" t="str">
        <f>IFERROR(__xludf.DUMMYFUNCTION("""COMPUTED_VALUE"""),"")</f>
        <v/>
      </c>
    </row>
    <row r="851">
      <c r="A851" s="45"/>
      <c r="C851" s="25" t="str">
        <f>IFERROR(__xludf.DUMMYFUNCTION("""COMPUTED_VALUE"""),"")</f>
        <v/>
      </c>
      <c r="D851" s="25" t="str">
        <f>IFERROR(__xludf.DUMMYFUNCTION("""COMPUTED_VALUE"""),"")</f>
        <v/>
      </c>
    </row>
    <row r="852">
      <c r="A852" s="45"/>
      <c r="C852" s="25" t="str">
        <f>IFERROR(__xludf.DUMMYFUNCTION("""COMPUTED_VALUE"""),"")</f>
        <v/>
      </c>
      <c r="D852" s="25" t="str">
        <f>IFERROR(__xludf.DUMMYFUNCTION("""COMPUTED_VALUE"""),"")</f>
        <v/>
      </c>
    </row>
    <row r="853">
      <c r="A853" s="45"/>
      <c r="C853" s="25" t="str">
        <f>IFERROR(__xludf.DUMMYFUNCTION("""COMPUTED_VALUE"""),"")</f>
        <v/>
      </c>
      <c r="D853" s="25" t="str">
        <f>IFERROR(__xludf.DUMMYFUNCTION("""COMPUTED_VALUE"""),"")</f>
        <v/>
      </c>
    </row>
    <row r="854">
      <c r="A854" s="45"/>
      <c r="C854" s="25" t="str">
        <f>IFERROR(__xludf.DUMMYFUNCTION("""COMPUTED_VALUE"""),"")</f>
        <v/>
      </c>
      <c r="D854" s="25" t="str">
        <f>IFERROR(__xludf.DUMMYFUNCTION("""COMPUTED_VALUE"""),"")</f>
        <v/>
      </c>
    </row>
    <row r="855">
      <c r="A855" s="45"/>
      <c r="C855" s="25" t="str">
        <f>IFERROR(__xludf.DUMMYFUNCTION("""COMPUTED_VALUE"""),"")</f>
        <v/>
      </c>
      <c r="D855" s="25" t="str">
        <f>IFERROR(__xludf.DUMMYFUNCTION("""COMPUTED_VALUE"""),"")</f>
        <v/>
      </c>
    </row>
    <row r="856">
      <c r="A856" s="45"/>
      <c r="C856" s="25" t="str">
        <f>IFERROR(__xludf.DUMMYFUNCTION("""COMPUTED_VALUE"""),"")</f>
        <v/>
      </c>
      <c r="D856" s="25" t="str">
        <f>IFERROR(__xludf.DUMMYFUNCTION("""COMPUTED_VALUE"""),"")</f>
        <v/>
      </c>
    </row>
    <row r="857">
      <c r="A857" s="45"/>
      <c r="C857" s="25" t="str">
        <f>IFERROR(__xludf.DUMMYFUNCTION("""COMPUTED_VALUE"""),"")</f>
        <v/>
      </c>
      <c r="D857" s="25" t="str">
        <f>IFERROR(__xludf.DUMMYFUNCTION("""COMPUTED_VALUE"""),"")</f>
        <v/>
      </c>
    </row>
    <row r="858">
      <c r="A858" s="45"/>
      <c r="C858" s="25" t="str">
        <f>IFERROR(__xludf.DUMMYFUNCTION("""COMPUTED_VALUE"""),"")</f>
        <v/>
      </c>
      <c r="D858" s="25" t="str">
        <f>IFERROR(__xludf.DUMMYFUNCTION("""COMPUTED_VALUE"""),"")</f>
        <v/>
      </c>
    </row>
    <row r="859">
      <c r="A859" s="45"/>
      <c r="C859" s="25" t="str">
        <f>IFERROR(__xludf.DUMMYFUNCTION("""COMPUTED_VALUE"""),"")</f>
        <v/>
      </c>
      <c r="D859" s="25" t="str">
        <f>IFERROR(__xludf.DUMMYFUNCTION("""COMPUTED_VALUE"""),"")</f>
        <v/>
      </c>
    </row>
    <row r="860">
      <c r="A860" s="45"/>
      <c r="C860" s="25" t="str">
        <f>IFERROR(__xludf.DUMMYFUNCTION("""COMPUTED_VALUE"""),"")</f>
        <v/>
      </c>
      <c r="D860" s="25" t="str">
        <f>IFERROR(__xludf.DUMMYFUNCTION("""COMPUTED_VALUE"""),"")</f>
        <v/>
      </c>
    </row>
    <row r="861">
      <c r="A861" s="45"/>
      <c r="C861" s="25" t="str">
        <f>IFERROR(__xludf.DUMMYFUNCTION("""COMPUTED_VALUE"""),"")</f>
        <v/>
      </c>
      <c r="D861" s="25" t="str">
        <f>IFERROR(__xludf.DUMMYFUNCTION("""COMPUTED_VALUE"""),"")</f>
        <v/>
      </c>
    </row>
    <row r="862">
      <c r="A862" s="45"/>
      <c r="C862" s="25" t="str">
        <f>IFERROR(__xludf.DUMMYFUNCTION("""COMPUTED_VALUE"""),"")</f>
        <v/>
      </c>
      <c r="D862" s="25" t="str">
        <f>IFERROR(__xludf.DUMMYFUNCTION("""COMPUTED_VALUE"""),"")</f>
        <v/>
      </c>
    </row>
    <row r="863">
      <c r="A863" s="45"/>
      <c r="C863" s="25" t="str">
        <f>IFERROR(__xludf.DUMMYFUNCTION("""COMPUTED_VALUE"""),"")</f>
        <v/>
      </c>
      <c r="D863" s="25" t="str">
        <f>IFERROR(__xludf.DUMMYFUNCTION("""COMPUTED_VALUE"""),"")</f>
        <v/>
      </c>
    </row>
    <row r="864">
      <c r="A864" s="45"/>
      <c r="C864" s="25" t="str">
        <f>IFERROR(__xludf.DUMMYFUNCTION("""COMPUTED_VALUE"""),"")</f>
        <v/>
      </c>
      <c r="D864" s="25" t="str">
        <f>IFERROR(__xludf.DUMMYFUNCTION("""COMPUTED_VALUE"""),"")</f>
        <v/>
      </c>
    </row>
    <row r="865">
      <c r="A865" s="45"/>
      <c r="C865" s="25" t="str">
        <f>IFERROR(__xludf.DUMMYFUNCTION("""COMPUTED_VALUE"""),"")</f>
        <v/>
      </c>
      <c r="D865" s="25" t="str">
        <f>IFERROR(__xludf.DUMMYFUNCTION("""COMPUTED_VALUE"""),"")</f>
        <v/>
      </c>
    </row>
    <row r="866">
      <c r="A866" s="45"/>
      <c r="C866" s="25" t="str">
        <f>IFERROR(__xludf.DUMMYFUNCTION("""COMPUTED_VALUE"""),"")</f>
        <v/>
      </c>
      <c r="D866" s="25" t="str">
        <f>IFERROR(__xludf.DUMMYFUNCTION("""COMPUTED_VALUE"""),"")</f>
        <v/>
      </c>
    </row>
    <row r="867">
      <c r="A867" s="45"/>
      <c r="C867" s="25" t="str">
        <f>IFERROR(__xludf.DUMMYFUNCTION("""COMPUTED_VALUE"""),"")</f>
        <v/>
      </c>
      <c r="D867" s="25" t="str">
        <f>IFERROR(__xludf.DUMMYFUNCTION("""COMPUTED_VALUE"""),"")</f>
        <v/>
      </c>
    </row>
    <row r="868">
      <c r="A868" s="45"/>
      <c r="C868" s="25" t="str">
        <f>IFERROR(__xludf.DUMMYFUNCTION("""COMPUTED_VALUE"""),"")</f>
        <v/>
      </c>
      <c r="D868" s="25" t="str">
        <f>IFERROR(__xludf.DUMMYFUNCTION("""COMPUTED_VALUE"""),"")</f>
        <v/>
      </c>
    </row>
    <row r="869">
      <c r="A869" s="45"/>
      <c r="C869" s="25" t="str">
        <f>IFERROR(__xludf.DUMMYFUNCTION("""COMPUTED_VALUE"""),"")</f>
        <v/>
      </c>
      <c r="D869" s="25" t="str">
        <f>IFERROR(__xludf.DUMMYFUNCTION("""COMPUTED_VALUE"""),"")</f>
        <v/>
      </c>
    </row>
    <row r="870">
      <c r="A870" s="45"/>
      <c r="C870" s="25" t="str">
        <f>IFERROR(__xludf.DUMMYFUNCTION("""COMPUTED_VALUE"""),"")</f>
        <v/>
      </c>
      <c r="D870" s="25" t="str">
        <f>IFERROR(__xludf.DUMMYFUNCTION("""COMPUTED_VALUE"""),"")</f>
        <v/>
      </c>
    </row>
    <row r="871">
      <c r="A871" s="45"/>
      <c r="C871" s="25" t="str">
        <f>IFERROR(__xludf.DUMMYFUNCTION("""COMPUTED_VALUE"""),"")</f>
        <v/>
      </c>
      <c r="D871" s="25" t="str">
        <f>IFERROR(__xludf.DUMMYFUNCTION("""COMPUTED_VALUE"""),"")</f>
        <v/>
      </c>
    </row>
    <row r="872">
      <c r="A872" s="45"/>
      <c r="C872" s="25" t="str">
        <f>IFERROR(__xludf.DUMMYFUNCTION("""COMPUTED_VALUE"""),"")</f>
        <v/>
      </c>
      <c r="D872" s="25" t="str">
        <f>IFERROR(__xludf.DUMMYFUNCTION("""COMPUTED_VALUE"""),"")</f>
        <v/>
      </c>
    </row>
    <row r="873">
      <c r="A873" s="45"/>
      <c r="C873" s="25" t="str">
        <f>IFERROR(__xludf.DUMMYFUNCTION("""COMPUTED_VALUE"""),"")</f>
        <v/>
      </c>
      <c r="D873" s="25" t="str">
        <f>IFERROR(__xludf.DUMMYFUNCTION("""COMPUTED_VALUE"""),"")</f>
        <v/>
      </c>
    </row>
    <row r="874">
      <c r="A874" s="45"/>
      <c r="C874" s="25" t="str">
        <f>IFERROR(__xludf.DUMMYFUNCTION("""COMPUTED_VALUE"""),"")</f>
        <v/>
      </c>
      <c r="D874" s="25" t="str">
        <f>IFERROR(__xludf.DUMMYFUNCTION("""COMPUTED_VALUE"""),"")</f>
        <v/>
      </c>
    </row>
    <row r="875">
      <c r="A875" s="45"/>
      <c r="C875" s="25" t="str">
        <f>IFERROR(__xludf.DUMMYFUNCTION("""COMPUTED_VALUE"""),"")</f>
        <v/>
      </c>
      <c r="D875" s="25" t="str">
        <f>IFERROR(__xludf.DUMMYFUNCTION("""COMPUTED_VALUE"""),"")</f>
        <v/>
      </c>
    </row>
    <row r="876">
      <c r="A876" s="45"/>
      <c r="C876" s="25" t="str">
        <f>IFERROR(__xludf.DUMMYFUNCTION("""COMPUTED_VALUE"""),"")</f>
        <v/>
      </c>
      <c r="D876" s="25" t="str">
        <f>IFERROR(__xludf.DUMMYFUNCTION("""COMPUTED_VALUE"""),"")</f>
        <v/>
      </c>
    </row>
    <row r="877">
      <c r="A877" s="45"/>
      <c r="C877" s="25" t="str">
        <f>IFERROR(__xludf.DUMMYFUNCTION("""COMPUTED_VALUE"""),"")</f>
        <v/>
      </c>
      <c r="D877" s="25" t="str">
        <f>IFERROR(__xludf.DUMMYFUNCTION("""COMPUTED_VALUE"""),"")</f>
        <v/>
      </c>
    </row>
    <row r="878">
      <c r="A878" s="45"/>
      <c r="C878" s="25" t="str">
        <f>IFERROR(__xludf.DUMMYFUNCTION("""COMPUTED_VALUE"""),"")</f>
        <v/>
      </c>
      <c r="D878" s="25" t="str">
        <f>IFERROR(__xludf.DUMMYFUNCTION("""COMPUTED_VALUE"""),"")</f>
        <v/>
      </c>
    </row>
    <row r="879">
      <c r="A879" s="45"/>
      <c r="C879" s="25" t="str">
        <f>IFERROR(__xludf.DUMMYFUNCTION("""COMPUTED_VALUE"""),"")</f>
        <v/>
      </c>
      <c r="D879" s="25" t="str">
        <f>IFERROR(__xludf.DUMMYFUNCTION("""COMPUTED_VALUE"""),"")</f>
        <v/>
      </c>
    </row>
    <row r="880">
      <c r="A880" s="45"/>
      <c r="C880" s="25" t="str">
        <f>IFERROR(__xludf.DUMMYFUNCTION("""COMPUTED_VALUE"""),"")</f>
        <v/>
      </c>
      <c r="D880" s="25" t="str">
        <f>IFERROR(__xludf.DUMMYFUNCTION("""COMPUTED_VALUE"""),"")</f>
        <v/>
      </c>
    </row>
    <row r="881">
      <c r="A881" s="45"/>
      <c r="C881" s="25" t="str">
        <f>IFERROR(__xludf.DUMMYFUNCTION("""COMPUTED_VALUE"""),"")</f>
        <v/>
      </c>
      <c r="D881" s="25" t="str">
        <f>IFERROR(__xludf.DUMMYFUNCTION("""COMPUTED_VALUE"""),"")</f>
        <v/>
      </c>
    </row>
    <row r="882">
      <c r="A882" s="45"/>
      <c r="C882" s="25" t="str">
        <f>IFERROR(__xludf.DUMMYFUNCTION("""COMPUTED_VALUE"""),"")</f>
        <v/>
      </c>
      <c r="D882" s="25" t="str">
        <f>IFERROR(__xludf.DUMMYFUNCTION("""COMPUTED_VALUE"""),"")</f>
        <v/>
      </c>
    </row>
    <row r="883">
      <c r="A883" s="45"/>
      <c r="C883" s="25" t="str">
        <f>IFERROR(__xludf.DUMMYFUNCTION("""COMPUTED_VALUE"""),"")</f>
        <v/>
      </c>
      <c r="D883" s="25" t="str">
        <f>IFERROR(__xludf.DUMMYFUNCTION("""COMPUTED_VALUE"""),"")</f>
        <v/>
      </c>
    </row>
    <row r="884">
      <c r="A884" s="45"/>
      <c r="C884" s="25" t="str">
        <f>IFERROR(__xludf.DUMMYFUNCTION("""COMPUTED_VALUE"""),"")</f>
        <v/>
      </c>
      <c r="D884" s="25" t="str">
        <f>IFERROR(__xludf.DUMMYFUNCTION("""COMPUTED_VALUE"""),"")</f>
        <v/>
      </c>
    </row>
    <row r="885">
      <c r="A885" s="45"/>
      <c r="C885" s="25" t="str">
        <f>IFERROR(__xludf.DUMMYFUNCTION("""COMPUTED_VALUE"""),"")</f>
        <v/>
      </c>
      <c r="D885" s="25" t="str">
        <f>IFERROR(__xludf.DUMMYFUNCTION("""COMPUTED_VALUE"""),"")</f>
        <v/>
      </c>
    </row>
    <row r="886">
      <c r="A886" s="45"/>
      <c r="C886" s="25" t="str">
        <f>IFERROR(__xludf.DUMMYFUNCTION("""COMPUTED_VALUE"""),"")</f>
        <v/>
      </c>
      <c r="D886" s="25" t="str">
        <f>IFERROR(__xludf.DUMMYFUNCTION("""COMPUTED_VALUE"""),"")</f>
        <v/>
      </c>
    </row>
    <row r="887">
      <c r="A887" s="45"/>
      <c r="C887" s="25" t="str">
        <f>IFERROR(__xludf.DUMMYFUNCTION("""COMPUTED_VALUE"""),"")</f>
        <v/>
      </c>
      <c r="D887" s="25" t="str">
        <f>IFERROR(__xludf.DUMMYFUNCTION("""COMPUTED_VALUE"""),"")</f>
        <v/>
      </c>
    </row>
    <row r="888">
      <c r="A888" s="45"/>
      <c r="C888" s="25" t="str">
        <f>IFERROR(__xludf.DUMMYFUNCTION("""COMPUTED_VALUE"""),"")</f>
        <v/>
      </c>
      <c r="D888" s="25" t="str">
        <f>IFERROR(__xludf.DUMMYFUNCTION("""COMPUTED_VALUE"""),"")</f>
        <v/>
      </c>
    </row>
    <row r="889">
      <c r="A889" s="45"/>
      <c r="C889" s="25" t="str">
        <f>IFERROR(__xludf.DUMMYFUNCTION("""COMPUTED_VALUE"""),"")</f>
        <v/>
      </c>
      <c r="D889" s="25" t="str">
        <f>IFERROR(__xludf.DUMMYFUNCTION("""COMPUTED_VALUE"""),"")</f>
        <v/>
      </c>
    </row>
    <row r="890">
      <c r="A890" s="45"/>
      <c r="C890" s="25" t="str">
        <f>IFERROR(__xludf.DUMMYFUNCTION("""COMPUTED_VALUE"""),"")</f>
        <v/>
      </c>
      <c r="D890" s="25" t="str">
        <f>IFERROR(__xludf.DUMMYFUNCTION("""COMPUTED_VALUE"""),"")</f>
        <v/>
      </c>
    </row>
    <row r="891">
      <c r="A891" s="45"/>
      <c r="C891" s="25" t="str">
        <f>IFERROR(__xludf.DUMMYFUNCTION("""COMPUTED_VALUE"""),"")</f>
        <v/>
      </c>
      <c r="D891" s="25" t="str">
        <f>IFERROR(__xludf.DUMMYFUNCTION("""COMPUTED_VALUE"""),"")</f>
        <v/>
      </c>
    </row>
    <row r="892">
      <c r="A892" s="45"/>
      <c r="C892" s="25" t="str">
        <f>IFERROR(__xludf.DUMMYFUNCTION("""COMPUTED_VALUE"""),"")</f>
        <v/>
      </c>
      <c r="D892" s="25" t="str">
        <f>IFERROR(__xludf.DUMMYFUNCTION("""COMPUTED_VALUE"""),"")</f>
        <v/>
      </c>
    </row>
    <row r="893">
      <c r="A893" s="45"/>
      <c r="C893" s="25" t="str">
        <f>IFERROR(__xludf.DUMMYFUNCTION("""COMPUTED_VALUE"""),"")</f>
        <v/>
      </c>
      <c r="D893" s="25" t="str">
        <f>IFERROR(__xludf.DUMMYFUNCTION("""COMPUTED_VALUE"""),"")</f>
        <v/>
      </c>
    </row>
    <row r="894">
      <c r="A894" s="45"/>
      <c r="C894" s="25" t="str">
        <f>IFERROR(__xludf.DUMMYFUNCTION("""COMPUTED_VALUE"""),"")</f>
        <v/>
      </c>
      <c r="D894" s="25" t="str">
        <f>IFERROR(__xludf.DUMMYFUNCTION("""COMPUTED_VALUE"""),"")</f>
        <v/>
      </c>
    </row>
    <row r="895">
      <c r="A895" s="45"/>
      <c r="C895" s="25" t="str">
        <f>IFERROR(__xludf.DUMMYFUNCTION("""COMPUTED_VALUE"""),"")</f>
        <v/>
      </c>
      <c r="D895" s="25" t="str">
        <f>IFERROR(__xludf.DUMMYFUNCTION("""COMPUTED_VALUE"""),"")</f>
        <v/>
      </c>
    </row>
    <row r="896">
      <c r="A896" s="45"/>
      <c r="C896" s="25" t="str">
        <f>IFERROR(__xludf.DUMMYFUNCTION("""COMPUTED_VALUE"""),"")</f>
        <v/>
      </c>
      <c r="D896" s="25" t="str">
        <f>IFERROR(__xludf.DUMMYFUNCTION("""COMPUTED_VALUE"""),"")</f>
        <v/>
      </c>
    </row>
    <row r="897">
      <c r="A897" s="45"/>
      <c r="C897" s="25" t="str">
        <f>IFERROR(__xludf.DUMMYFUNCTION("""COMPUTED_VALUE"""),"")</f>
        <v/>
      </c>
      <c r="D897" s="25" t="str">
        <f>IFERROR(__xludf.DUMMYFUNCTION("""COMPUTED_VALUE"""),"")</f>
        <v/>
      </c>
    </row>
    <row r="898">
      <c r="A898" s="45"/>
      <c r="C898" s="25" t="str">
        <f>IFERROR(__xludf.DUMMYFUNCTION("""COMPUTED_VALUE"""),"")</f>
        <v/>
      </c>
      <c r="D898" s="25" t="str">
        <f>IFERROR(__xludf.DUMMYFUNCTION("""COMPUTED_VALUE"""),"")</f>
        <v/>
      </c>
    </row>
    <row r="899">
      <c r="A899" s="45"/>
      <c r="C899" s="25" t="str">
        <f>IFERROR(__xludf.DUMMYFUNCTION("""COMPUTED_VALUE"""),"")</f>
        <v/>
      </c>
      <c r="D899" s="25" t="str">
        <f>IFERROR(__xludf.DUMMYFUNCTION("""COMPUTED_VALUE"""),"")</f>
        <v/>
      </c>
    </row>
    <row r="900">
      <c r="A900" s="45"/>
      <c r="C900" s="25" t="str">
        <f>IFERROR(__xludf.DUMMYFUNCTION("""COMPUTED_VALUE"""),"")</f>
        <v/>
      </c>
      <c r="D900" s="25" t="str">
        <f>IFERROR(__xludf.DUMMYFUNCTION("""COMPUTED_VALUE"""),"")</f>
        <v/>
      </c>
    </row>
    <row r="901">
      <c r="A901" s="45"/>
      <c r="C901" s="25" t="str">
        <f>IFERROR(__xludf.DUMMYFUNCTION("""COMPUTED_VALUE"""),"")</f>
        <v/>
      </c>
      <c r="D901" s="25" t="str">
        <f>IFERROR(__xludf.DUMMYFUNCTION("""COMPUTED_VALUE"""),"")</f>
        <v/>
      </c>
    </row>
    <row r="902">
      <c r="A902" s="45"/>
      <c r="C902" s="25" t="str">
        <f>IFERROR(__xludf.DUMMYFUNCTION("""COMPUTED_VALUE"""),"")</f>
        <v/>
      </c>
      <c r="D902" s="25" t="str">
        <f>IFERROR(__xludf.DUMMYFUNCTION("""COMPUTED_VALUE"""),"")</f>
        <v/>
      </c>
    </row>
    <row r="903">
      <c r="A903" s="45"/>
      <c r="C903" s="25" t="str">
        <f>IFERROR(__xludf.DUMMYFUNCTION("""COMPUTED_VALUE"""),"")</f>
        <v/>
      </c>
      <c r="D903" s="25" t="str">
        <f>IFERROR(__xludf.DUMMYFUNCTION("""COMPUTED_VALUE"""),"")</f>
        <v/>
      </c>
    </row>
    <row r="904">
      <c r="A904" s="45"/>
      <c r="C904" s="25" t="str">
        <f>IFERROR(__xludf.DUMMYFUNCTION("""COMPUTED_VALUE"""),"")</f>
        <v/>
      </c>
      <c r="D904" s="25" t="str">
        <f>IFERROR(__xludf.DUMMYFUNCTION("""COMPUTED_VALUE"""),"")</f>
        <v/>
      </c>
    </row>
    <row r="905">
      <c r="A905" s="45"/>
      <c r="C905" s="25" t="str">
        <f>IFERROR(__xludf.DUMMYFUNCTION("""COMPUTED_VALUE"""),"")</f>
        <v/>
      </c>
      <c r="D905" s="25" t="str">
        <f>IFERROR(__xludf.DUMMYFUNCTION("""COMPUTED_VALUE"""),"")</f>
        <v/>
      </c>
    </row>
    <row r="906">
      <c r="A906" s="45"/>
      <c r="C906" s="25" t="str">
        <f>IFERROR(__xludf.DUMMYFUNCTION("""COMPUTED_VALUE"""),"")</f>
        <v/>
      </c>
      <c r="D906" s="25" t="str">
        <f>IFERROR(__xludf.DUMMYFUNCTION("""COMPUTED_VALUE"""),"")</f>
        <v/>
      </c>
    </row>
    <row r="907">
      <c r="A907" s="45"/>
      <c r="C907" s="25" t="str">
        <f>IFERROR(__xludf.DUMMYFUNCTION("""COMPUTED_VALUE"""),"")</f>
        <v/>
      </c>
      <c r="D907" s="25" t="str">
        <f>IFERROR(__xludf.DUMMYFUNCTION("""COMPUTED_VALUE"""),"")</f>
        <v/>
      </c>
    </row>
    <row r="908">
      <c r="A908" s="45"/>
      <c r="C908" s="25" t="str">
        <f>IFERROR(__xludf.DUMMYFUNCTION("""COMPUTED_VALUE"""),"")</f>
        <v/>
      </c>
      <c r="D908" s="25" t="str">
        <f>IFERROR(__xludf.DUMMYFUNCTION("""COMPUTED_VALUE"""),"")</f>
        <v/>
      </c>
    </row>
    <row r="909">
      <c r="A909" s="45"/>
      <c r="C909" s="25" t="str">
        <f>IFERROR(__xludf.DUMMYFUNCTION("""COMPUTED_VALUE"""),"")</f>
        <v/>
      </c>
      <c r="D909" s="25" t="str">
        <f>IFERROR(__xludf.DUMMYFUNCTION("""COMPUTED_VALUE"""),"")</f>
        <v/>
      </c>
    </row>
    <row r="910">
      <c r="A910" s="45"/>
      <c r="C910" s="25" t="str">
        <f>IFERROR(__xludf.DUMMYFUNCTION("""COMPUTED_VALUE"""),"")</f>
        <v/>
      </c>
      <c r="D910" s="25" t="str">
        <f>IFERROR(__xludf.DUMMYFUNCTION("""COMPUTED_VALUE"""),"")</f>
        <v/>
      </c>
    </row>
    <row r="911">
      <c r="A911" s="45"/>
      <c r="C911" s="25" t="str">
        <f>IFERROR(__xludf.DUMMYFUNCTION("""COMPUTED_VALUE"""),"")</f>
        <v/>
      </c>
      <c r="D911" s="25" t="str">
        <f>IFERROR(__xludf.DUMMYFUNCTION("""COMPUTED_VALUE"""),"")</f>
        <v/>
      </c>
    </row>
    <row r="912">
      <c r="A912" s="45"/>
      <c r="C912" s="25" t="str">
        <f>IFERROR(__xludf.DUMMYFUNCTION("""COMPUTED_VALUE"""),"")</f>
        <v/>
      </c>
      <c r="D912" s="25" t="str">
        <f>IFERROR(__xludf.DUMMYFUNCTION("""COMPUTED_VALUE"""),"")</f>
        <v/>
      </c>
    </row>
    <row r="913">
      <c r="A913" s="45"/>
      <c r="C913" s="25" t="str">
        <f>IFERROR(__xludf.DUMMYFUNCTION("""COMPUTED_VALUE"""),"")</f>
        <v/>
      </c>
      <c r="D913" s="25" t="str">
        <f>IFERROR(__xludf.DUMMYFUNCTION("""COMPUTED_VALUE"""),"")</f>
        <v/>
      </c>
    </row>
    <row r="914">
      <c r="A914" s="45"/>
      <c r="C914" s="25" t="str">
        <f>IFERROR(__xludf.DUMMYFUNCTION("""COMPUTED_VALUE"""),"")</f>
        <v/>
      </c>
      <c r="D914" s="25" t="str">
        <f>IFERROR(__xludf.DUMMYFUNCTION("""COMPUTED_VALUE"""),"")</f>
        <v/>
      </c>
    </row>
    <row r="915">
      <c r="A915" s="45"/>
      <c r="C915" s="25" t="str">
        <f>IFERROR(__xludf.DUMMYFUNCTION("""COMPUTED_VALUE"""),"")</f>
        <v/>
      </c>
      <c r="D915" s="25" t="str">
        <f>IFERROR(__xludf.DUMMYFUNCTION("""COMPUTED_VALUE"""),"")</f>
        <v/>
      </c>
    </row>
    <row r="916">
      <c r="A916" s="45"/>
      <c r="C916" s="25" t="str">
        <f>IFERROR(__xludf.DUMMYFUNCTION("""COMPUTED_VALUE"""),"")</f>
        <v/>
      </c>
      <c r="D916" s="25" t="str">
        <f>IFERROR(__xludf.DUMMYFUNCTION("""COMPUTED_VALUE"""),"")</f>
        <v/>
      </c>
    </row>
    <row r="917">
      <c r="A917" s="45"/>
      <c r="C917" s="25" t="str">
        <f>IFERROR(__xludf.DUMMYFUNCTION("""COMPUTED_VALUE"""),"")</f>
        <v/>
      </c>
      <c r="D917" s="25" t="str">
        <f>IFERROR(__xludf.DUMMYFUNCTION("""COMPUTED_VALUE"""),"")</f>
        <v/>
      </c>
    </row>
    <row r="918">
      <c r="A918" s="45"/>
      <c r="C918" s="25" t="str">
        <f>IFERROR(__xludf.DUMMYFUNCTION("""COMPUTED_VALUE"""),"")</f>
        <v/>
      </c>
      <c r="D918" s="25" t="str">
        <f>IFERROR(__xludf.DUMMYFUNCTION("""COMPUTED_VALUE"""),"")</f>
        <v/>
      </c>
    </row>
    <row r="919">
      <c r="A919" s="45"/>
      <c r="C919" s="25" t="str">
        <f>IFERROR(__xludf.DUMMYFUNCTION("""COMPUTED_VALUE"""),"")</f>
        <v/>
      </c>
      <c r="D919" s="25" t="str">
        <f>IFERROR(__xludf.DUMMYFUNCTION("""COMPUTED_VALUE"""),"")</f>
        <v/>
      </c>
    </row>
    <row r="920">
      <c r="A920" s="45"/>
      <c r="C920" s="25" t="str">
        <f>IFERROR(__xludf.DUMMYFUNCTION("""COMPUTED_VALUE"""),"")</f>
        <v/>
      </c>
      <c r="D920" s="25" t="str">
        <f>IFERROR(__xludf.DUMMYFUNCTION("""COMPUTED_VALUE"""),"")</f>
        <v/>
      </c>
    </row>
    <row r="921">
      <c r="A921" s="45"/>
      <c r="C921" s="25" t="str">
        <f>IFERROR(__xludf.DUMMYFUNCTION("""COMPUTED_VALUE"""),"")</f>
        <v/>
      </c>
      <c r="D921" s="25" t="str">
        <f>IFERROR(__xludf.DUMMYFUNCTION("""COMPUTED_VALUE"""),"")</f>
        <v/>
      </c>
    </row>
    <row r="922">
      <c r="A922" s="45"/>
      <c r="C922" s="25" t="str">
        <f>IFERROR(__xludf.DUMMYFUNCTION("""COMPUTED_VALUE"""),"")</f>
        <v/>
      </c>
      <c r="D922" s="25" t="str">
        <f>IFERROR(__xludf.DUMMYFUNCTION("""COMPUTED_VALUE"""),"")</f>
        <v/>
      </c>
    </row>
    <row r="923">
      <c r="A923" s="45"/>
      <c r="C923" s="25" t="str">
        <f>IFERROR(__xludf.DUMMYFUNCTION("""COMPUTED_VALUE"""),"")</f>
        <v/>
      </c>
      <c r="D923" s="25" t="str">
        <f>IFERROR(__xludf.DUMMYFUNCTION("""COMPUTED_VALUE"""),"")</f>
        <v/>
      </c>
    </row>
    <row r="924">
      <c r="A924" s="45"/>
      <c r="C924" s="25" t="str">
        <f>IFERROR(__xludf.DUMMYFUNCTION("""COMPUTED_VALUE"""),"")</f>
        <v/>
      </c>
      <c r="D924" s="25" t="str">
        <f>IFERROR(__xludf.DUMMYFUNCTION("""COMPUTED_VALUE"""),"")</f>
        <v/>
      </c>
    </row>
    <row r="925">
      <c r="A925" s="45"/>
      <c r="C925" s="25" t="str">
        <f>IFERROR(__xludf.DUMMYFUNCTION("""COMPUTED_VALUE"""),"")</f>
        <v/>
      </c>
      <c r="D925" s="25" t="str">
        <f>IFERROR(__xludf.DUMMYFUNCTION("""COMPUTED_VALUE"""),"")</f>
        <v/>
      </c>
    </row>
    <row r="926">
      <c r="A926" s="45"/>
      <c r="C926" s="25" t="str">
        <f>IFERROR(__xludf.DUMMYFUNCTION("""COMPUTED_VALUE"""),"")</f>
        <v/>
      </c>
      <c r="D926" s="25" t="str">
        <f>IFERROR(__xludf.DUMMYFUNCTION("""COMPUTED_VALUE"""),"")</f>
        <v/>
      </c>
    </row>
    <row r="927">
      <c r="A927" s="45"/>
      <c r="C927" s="25" t="str">
        <f>IFERROR(__xludf.DUMMYFUNCTION("""COMPUTED_VALUE"""),"")</f>
        <v/>
      </c>
      <c r="D927" s="25" t="str">
        <f>IFERROR(__xludf.DUMMYFUNCTION("""COMPUTED_VALUE"""),"")</f>
        <v/>
      </c>
    </row>
    <row r="928">
      <c r="A928" s="45"/>
      <c r="C928" s="25" t="str">
        <f>IFERROR(__xludf.DUMMYFUNCTION("""COMPUTED_VALUE"""),"")</f>
        <v/>
      </c>
      <c r="D928" s="25" t="str">
        <f>IFERROR(__xludf.DUMMYFUNCTION("""COMPUTED_VALUE"""),"")</f>
        <v/>
      </c>
    </row>
    <row r="929">
      <c r="A929" s="45"/>
      <c r="C929" s="25" t="str">
        <f>IFERROR(__xludf.DUMMYFUNCTION("""COMPUTED_VALUE"""),"")</f>
        <v/>
      </c>
      <c r="D929" s="25" t="str">
        <f>IFERROR(__xludf.DUMMYFUNCTION("""COMPUTED_VALUE"""),"")</f>
        <v/>
      </c>
    </row>
    <row r="930">
      <c r="A930" s="45"/>
      <c r="C930" s="25" t="str">
        <f>IFERROR(__xludf.DUMMYFUNCTION("""COMPUTED_VALUE"""),"")</f>
        <v/>
      </c>
      <c r="D930" s="25" t="str">
        <f>IFERROR(__xludf.DUMMYFUNCTION("""COMPUTED_VALUE"""),"")</f>
        <v/>
      </c>
    </row>
    <row r="931">
      <c r="A931" s="45"/>
      <c r="C931" s="25" t="str">
        <f>IFERROR(__xludf.DUMMYFUNCTION("""COMPUTED_VALUE"""),"")</f>
        <v/>
      </c>
      <c r="D931" s="25" t="str">
        <f>IFERROR(__xludf.DUMMYFUNCTION("""COMPUTED_VALUE"""),"")</f>
        <v/>
      </c>
    </row>
    <row r="932">
      <c r="A932" s="45"/>
      <c r="C932" s="25" t="str">
        <f>IFERROR(__xludf.DUMMYFUNCTION("""COMPUTED_VALUE"""),"")</f>
        <v/>
      </c>
      <c r="D932" s="25" t="str">
        <f>IFERROR(__xludf.DUMMYFUNCTION("""COMPUTED_VALUE"""),"")</f>
        <v/>
      </c>
    </row>
    <row r="933">
      <c r="A933" s="45"/>
      <c r="C933" s="25" t="str">
        <f>IFERROR(__xludf.DUMMYFUNCTION("""COMPUTED_VALUE"""),"")</f>
        <v/>
      </c>
      <c r="D933" s="25" t="str">
        <f>IFERROR(__xludf.DUMMYFUNCTION("""COMPUTED_VALUE"""),"")</f>
        <v/>
      </c>
    </row>
    <row r="934">
      <c r="A934" s="45"/>
      <c r="C934" s="25" t="str">
        <f>IFERROR(__xludf.DUMMYFUNCTION("""COMPUTED_VALUE"""),"")</f>
        <v/>
      </c>
      <c r="D934" s="25" t="str">
        <f>IFERROR(__xludf.DUMMYFUNCTION("""COMPUTED_VALUE"""),"")</f>
        <v/>
      </c>
    </row>
    <row r="935">
      <c r="A935" s="45"/>
      <c r="C935" s="25" t="str">
        <f>IFERROR(__xludf.DUMMYFUNCTION("""COMPUTED_VALUE"""),"")</f>
        <v/>
      </c>
      <c r="D935" s="25" t="str">
        <f>IFERROR(__xludf.DUMMYFUNCTION("""COMPUTED_VALUE"""),"")</f>
        <v/>
      </c>
    </row>
    <row r="936">
      <c r="A936" s="45"/>
      <c r="C936" s="25" t="str">
        <f>IFERROR(__xludf.DUMMYFUNCTION("""COMPUTED_VALUE"""),"")</f>
        <v/>
      </c>
      <c r="D936" s="25" t="str">
        <f>IFERROR(__xludf.DUMMYFUNCTION("""COMPUTED_VALUE"""),"")</f>
        <v/>
      </c>
    </row>
    <row r="937">
      <c r="A937" s="45"/>
      <c r="C937" s="25" t="str">
        <f>IFERROR(__xludf.DUMMYFUNCTION("""COMPUTED_VALUE"""),"")</f>
        <v/>
      </c>
      <c r="D937" s="25" t="str">
        <f>IFERROR(__xludf.DUMMYFUNCTION("""COMPUTED_VALUE"""),"")</f>
        <v/>
      </c>
    </row>
    <row r="938">
      <c r="A938" s="45"/>
      <c r="C938" s="25" t="str">
        <f>IFERROR(__xludf.DUMMYFUNCTION("""COMPUTED_VALUE"""),"")</f>
        <v/>
      </c>
      <c r="D938" s="25" t="str">
        <f>IFERROR(__xludf.DUMMYFUNCTION("""COMPUTED_VALUE"""),"")</f>
        <v/>
      </c>
    </row>
    <row r="939">
      <c r="A939" s="45"/>
      <c r="C939" s="25" t="str">
        <f>IFERROR(__xludf.DUMMYFUNCTION("""COMPUTED_VALUE"""),"")</f>
        <v/>
      </c>
      <c r="D939" s="25" t="str">
        <f>IFERROR(__xludf.DUMMYFUNCTION("""COMPUTED_VALUE"""),"")</f>
        <v/>
      </c>
    </row>
    <row r="940">
      <c r="A940" s="45"/>
      <c r="C940" s="25" t="str">
        <f>IFERROR(__xludf.DUMMYFUNCTION("""COMPUTED_VALUE"""),"")</f>
        <v/>
      </c>
      <c r="D940" s="25" t="str">
        <f>IFERROR(__xludf.DUMMYFUNCTION("""COMPUTED_VALUE"""),"")</f>
        <v/>
      </c>
    </row>
    <row r="941">
      <c r="A941" s="45"/>
      <c r="C941" s="25" t="str">
        <f>IFERROR(__xludf.DUMMYFUNCTION("""COMPUTED_VALUE"""),"")</f>
        <v/>
      </c>
      <c r="D941" s="25" t="str">
        <f>IFERROR(__xludf.DUMMYFUNCTION("""COMPUTED_VALUE"""),"")</f>
        <v/>
      </c>
    </row>
    <row r="942">
      <c r="A942" s="45"/>
      <c r="C942" s="25" t="str">
        <f>IFERROR(__xludf.DUMMYFUNCTION("""COMPUTED_VALUE"""),"")</f>
        <v/>
      </c>
      <c r="D942" s="25" t="str">
        <f>IFERROR(__xludf.DUMMYFUNCTION("""COMPUTED_VALUE"""),"")</f>
        <v/>
      </c>
    </row>
    <row r="943">
      <c r="A943" s="45"/>
      <c r="C943" s="25" t="str">
        <f>IFERROR(__xludf.DUMMYFUNCTION("""COMPUTED_VALUE"""),"")</f>
        <v/>
      </c>
      <c r="D943" s="25" t="str">
        <f>IFERROR(__xludf.DUMMYFUNCTION("""COMPUTED_VALUE"""),"")</f>
        <v/>
      </c>
    </row>
    <row r="944">
      <c r="A944" s="45"/>
      <c r="C944" s="25" t="str">
        <f>IFERROR(__xludf.DUMMYFUNCTION("""COMPUTED_VALUE"""),"")</f>
        <v/>
      </c>
      <c r="D944" s="25" t="str">
        <f>IFERROR(__xludf.DUMMYFUNCTION("""COMPUTED_VALUE"""),"")</f>
        <v/>
      </c>
    </row>
    <row r="945">
      <c r="A945" s="45"/>
      <c r="C945" s="25" t="str">
        <f>IFERROR(__xludf.DUMMYFUNCTION("""COMPUTED_VALUE"""),"")</f>
        <v/>
      </c>
      <c r="D945" s="25" t="str">
        <f>IFERROR(__xludf.DUMMYFUNCTION("""COMPUTED_VALUE"""),"")</f>
        <v/>
      </c>
    </row>
    <row r="946">
      <c r="A946" s="45"/>
      <c r="C946" s="25" t="str">
        <f>IFERROR(__xludf.DUMMYFUNCTION("""COMPUTED_VALUE"""),"")</f>
        <v/>
      </c>
      <c r="D946" s="25" t="str">
        <f>IFERROR(__xludf.DUMMYFUNCTION("""COMPUTED_VALUE"""),"")</f>
        <v/>
      </c>
    </row>
    <row r="947">
      <c r="A947" s="45"/>
      <c r="C947" s="25" t="str">
        <f>IFERROR(__xludf.DUMMYFUNCTION("""COMPUTED_VALUE"""),"")</f>
        <v/>
      </c>
      <c r="D947" s="25" t="str">
        <f>IFERROR(__xludf.DUMMYFUNCTION("""COMPUTED_VALUE"""),"")</f>
        <v/>
      </c>
    </row>
    <row r="948">
      <c r="A948" s="45"/>
      <c r="C948" s="25" t="str">
        <f>IFERROR(__xludf.DUMMYFUNCTION("""COMPUTED_VALUE"""),"")</f>
        <v/>
      </c>
      <c r="D948" s="25" t="str">
        <f>IFERROR(__xludf.DUMMYFUNCTION("""COMPUTED_VALUE"""),"")</f>
        <v/>
      </c>
    </row>
    <row r="949">
      <c r="A949" s="45"/>
      <c r="C949" s="25" t="str">
        <f>IFERROR(__xludf.DUMMYFUNCTION("""COMPUTED_VALUE"""),"")</f>
        <v/>
      </c>
      <c r="D949" s="25" t="str">
        <f>IFERROR(__xludf.DUMMYFUNCTION("""COMPUTED_VALUE"""),"")</f>
        <v/>
      </c>
    </row>
    <row r="950">
      <c r="A950" s="45"/>
      <c r="C950" s="25" t="str">
        <f>IFERROR(__xludf.DUMMYFUNCTION("""COMPUTED_VALUE"""),"")</f>
        <v/>
      </c>
      <c r="D950" s="25" t="str">
        <f>IFERROR(__xludf.DUMMYFUNCTION("""COMPUTED_VALUE"""),"")</f>
        <v/>
      </c>
    </row>
    <row r="951">
      <c r="A951" s="45"/>
      <c r="C951" s="25" t="str">
        <f>IFERROR(__xludf.DUMMYFUNCTION("""COMPUTED_VALUE"""),"")</f>
        <v/>
      </c>
      <c r="D951" s="25" t="str">
        <f>IFERROR(__xludf.DUMMYFUNCTION("""COMPUTED_VALUE"""),"")</f>
        <v/>
      </c>
    </row>
    <row r="952">
      <c r="A952" s="45"/>
      <c r="C952" s="25" t="str">
        <f>IFERROR(__xludf.DUMMYFUNCTION("""COMPUTED_VALUE"""),"")</f>
        <v/>
      </c>
      <c r="D952" s="25" t="str">
        <f>IFERROR(__xludf.DUMMYFUNCTION("""COMPUTED_VALUE"""),"")</f>
        <v/>
      </c>
    </row>
    <row r="953">
      <c r="A953" s="45"/>
      <c r="C953" s="25" t="str">
        <f>IFERROR(__xludf.DUMMYFUNCTION("""COMPUTED_VALUE"""),"")</f>
        <v/>
      </c>
      <c r="D953" s="25" t="str">
        <f>IFERROR(__xludf.DUMMYFUNCTION("""COMPUTED_VALUE"""),"")</f>
        <v/>
      </c>
    </row>
    <row r="954">
      <c r="A954" s="45"/>
      <c r="C954" s="25" t="str">
        <f>IFERROR(__xludf.DUMMYFUNCTION("""COMPUTED_VALUE"""),"")</f>
        <v/>
      </c>
      <c r="D954" s="25" t="str">
        <f>IFERROR(__xludf.DUMMYFUNCTION("""COMPUTED_VALUE"""),"")</f>
        <v/>
      </c>
    </row>
    <row r="955">
      <c r="A955" s="45"/>
      <c r="C955" s="25" t="str">
        <f>IFERROR(__xludf.DUMMYFUNCTION("""COMPUTED_VALUE"""),"")</f>
        <v/>
      </c>
      <c r="D955" s="25" t="str">
        <f>IFERROR(__xludf.DUMMYFUNCTION("""COMPUTED_VALUE"""),"")</f>
        <v/>
      </c>
    </row>
    <row r="956">
      <c r="A956" s="45"/>
      <c r="C956" s="25" t="str">
        <f>IFERROR(__xludf.DUMMYFUNCTION("""COMPUTED_VALUE"""),"")</f>
        <v/>
      </c>
      <c r="D956" s="25" t="str">
        <f>IFERROR(__xludf.DUMMYFUNCTION("""COMPUTED_VALUE"""),"")</f>
        <v/>
      </c>
    </row>
    <row r="957">
      <c r="A957" s="45"/>
      <c r="C957" s="25" t="str">
        <f>IFERROR(__xludf.DUMMYFUNCTION("""COMPUTED_VALUE"""),"")</f>
        <v/>
      </c>
      <c r="D957" s="25" t="str">
        <f>IFERROR(__xludf.DUMMYFUNCTION("""COMPUTED_VALUE"""),"")</f>
        <v/>
      </c>
    </row>
    <row r="958">
      <c r="A958" s="45"/>
      <c r="C958" s="25" t="str">
        <f>IFERROR(__xludf.DUMMYFUNCTION("""COMPUTED_VALUE"""),"")</f>
        <v/>
      </c>
      <c r="D958" s="25" t="str">
        <f>IFERROR(__xludf.DUMMYFUNCTION("""COMPUTED_VALUE"""),"")</f>
        <v/>
      </c>
    </row>
    <row r="959">
      <c r="A959" s="45"/>
      <c r="C959" s="25" t="str">
        <f>IFERROR(__xludf.DUMMYFUNCTION("""COMPUTED_VALUE"""),"")</f>
        <v/>
      </c>
      <c r="D959" s="25" t="str">
        <f>IFERROR(__xludf.DUMMYFUNCTION("""COMPUTED_VALUE"""),"")</f>
        <v/>
      </c>
    </row>
    <row r="960">
      <c r="A960" s="45"/>
      <c r="C960" s="25" t="str">
        <f>IFERROR(__xludf.DUMMYFUNCTION("""COMPUTED_VALUE"""),"")</f>
        <v/>
      </c>
      <c r="D960" s="25" t="str">
        <f>IFERROR(__xludf.DUMMYFUNCTION("""COMPUTED_VALUE"""),"")</f>
        <v/>
      </c>
    </row>
    <row r="961">
      <c r="A961" s="45"/>
      <c r="C961" s="25" t="str">
        <f>IFERROR(__xludf.DUMMYFUNCTION("""COMPUTED_VALUE"""),"")</f>
        <v/>
      </c>
      <c r="D961" s="25" t="str">
        <f>IFERROR(__xludf.DUMMYFUNCTION("""COMPUTED_VALUE"""),"")</f>
        <v/>
      </c>
    </row>
    <row r="962">
      <c r="A962" s="45"/>
      <c r="C962" s="25" t="str">
        <f>IFERROR(__xludf.DUMMYFUNCTION("""COMPUTED_VALUE"""),"")</f>
        <v/>
      </c>
      <c r="D962" s="25" t="str">
        <f>IFERROR(__xludf.DUMMYFUNCTION("""COMPUTED_VALUE"""),"")</f>
        <v/>
      </c>
    </row>
    <row r="963">
      <c r="A963" s="45"/>
      <c r="C963" s="25" t="str">
        <f>IFERROR(__xludf.DUMMYFUNCTION("""COMPUTED_VALUE"""),"")</f>
        <v/>
      </c>
      <c r="D963" s="25" t="str">
        <f>IFERROR(__xludf.DUMMYFUNCTION("""COMPUTED_VALUE"""),"")</f>
        <v/>
      </c>
    </row>
    <row r="964">
      <c r="A964" s="45"/>
      <c r="C964" s="25" t="str">
        <f>IFERROR(__xludf.DUMMYFUNCTION("""COMPUTED_VALUE"""),"")</f>
        <v/>
      </c>
      <c r="D964" s="25" t="str">
        <f>IFERROR(__xludf.DUMMYFUNCTION("""COMPUTED_VALUE"""),"")</f>
        <v/>
      </c>
    </row>
    <row r="965">
      <c r="A965" s="45"/>
      <c r="C965" s="25" t="str">
        <f>IFERROR(__xludf.DUMMYFUNCTION("""COMPUTED_VALUE"""),"")</f>
        <v/>
      </c>
      <c r="D965" s="25" t="str">
        <f>IFERROR(__xludf.DUMMYFUNCTION("""COMPUTED_VALUE"""),"")</f>
        <v/>
      </c>
    </row>
    <row r="966">
      <c r="A966" s="45"/>
      <c r="C966" s="25" t="str">
        <f>IFERROR(__xludf.DUMMYFUNCTION("""COMPUTED_VALUE"""),"")</f>
        <v/>
      </c>
      <c r="D966" s="25" t="str">
        <f>IFERROR(__xludf.DUMMYFUNCTION("""COMPUTED_VALUE"""),"")</f>
        <v/>
      </c>
    </row>
    <row r="967">
      <c r="A967" s="45"/>
      <c r="C967" s="25" t="str">
        <f>IFERROR(__xludf.DUMMYFUNCTION("""COMPUTED_VALUE"""),"")</f>
        <v/>
      </c>
      <c r="D967" s="25" t="str">
        <f>IFERROR(__xludf.DUMMYFUNCTION("""COMPUTED_VALUE"""),"")</f>
        <v/>
      </c>
    </row>
    <row r="968">
      <c r="A968" s="45"/>
      <c r="C968" s="25" t="str">
        <f>IFERROR(__xludf.DUMMYFUNCTION("""COMPUTED_VALUE"""),"")</f>
        <v/>
      </c>
      <c r="D968" s="25" t="str">
        <f>IFERROR(__xludf.DUMMYFUNCTION("""COMPUTED_VALUE"""),"")</f>
        <v/>
      </c>
    </row>
    <row r="969">
      <c r="A969" s="45"/>
      <c r="C969" s="25" t="str">
        <f>IFERROR(__xludf.DUMMYFUNCTION("""COMPUTED_VALUE"""),"")</f>
        <v/>
      </c>
      <c r="D969" s="25" t="str">
        <f>IFERROR(__xludf.DUMMYFUNCTION("""COMPUTED_VALUE"""),"")</f>
        <v/>
      </c>
    </row>
    <row r="970">
      <c r="A970" s="45"/>
      <c r="C970" s="25" t="str">
        <f>IFERROR(__xludf.DUMMYFUNCTION("""COMPUTED_VALUE"""),"")</f>
        <v/>
      </c>
      <c r="D970" s="25" t="str">
        <f>IFERROR(__xludf.DUMMYFUNCTION("""COMPUTED_VALUE"""),"")</f>
        <v/>
      </c>
    </row>
    <row r="971">
      <c r="A971" s="45"/>
      <c r="C971" s="25" t="str">
        <f>IFERROR(__xludf.DUMMYFUNCTION("""COMPUTED_VALUE"""),"")</f>
        <v/>
      </c>
      <c r="D971" s="25" t="str">
        <f>IFERROR(__xludf.DUMMYFUNCTION("""COMPUTED_VALUE"""),"")</f>
        <v/>
      </c>
    </row>
    <row r="972">
      <c r="A972" s="45"/>
      <c r="C972" s="25" t="str">
        <f>IFERROR(__xludf.DUMMYFUNCTION("""COMPUTED_VALUE"""),"")</f>
        <v/>
      </c>
      <c r="D972" s="25" t="str">
        <f>IFERROR(__xludf.DUMMYFUNCTION("""COMPUTED_VALUE"""),"")</f>
        <v/>
      </c>
    </row>
    <row r="973">
      <c r="A973" s="45"/>
      <c r="C973" s="25" t="str">
        <f>IFERROR(__xludf.DUMMYFUNCTION("""COMPUTED_VALUE"""),"")</f>
        <v/>
      </c>
      <c r="D973" s="25" t="str">
        <f>IFERROR(__xludf.DUMMYFUNCTION("""COMPUTED_VALUE"""),"")</f>
        <v/>
      </c>
    </row>
    <row r="974">
      <c r="A974" s="45"/>
      <c r="C974" s="25" t="str">
        <f>IFERROR(__xludf.DUMMYFUNCTION("""COMPUTED_VALUE"""),"")</f>
        <v/>
      </c>
      <c r="D974" s="25" t="str">
        <f>IFERROR(__xludf.DUMMYFUNCTION("""COMPUTED_VALUE"""),"")</f>
        <v/>
      </c>
    </row>
    <row r="975">
      <c r="A975" s="45"/>
      <c r="C975" s="25" t="str">
        <f>IFERROR(__xludf.DUMMYFUNCTION("""COMPUTED_VALUE"""),"")</f>
        <v/>
      </c>
      <c r="D975" s="25" t="str">
        <f>IFERROR(__xludf.DUMMYFUNCTION("""COMPUTED_VALUE"""),"")</f>
        <v/>
      </c>
    </row>
    <row r="976">
      <c r="A976" s="45"/>
      <c r="C976" s="25" t="str">
        <f>IFERROR(__xludf.DUMMYFUNCTION("""COMPUTED_VALUE"""),"")</f>
        <v/>
      </c>
      <c r="D976" s="25" t="str">
        <f>IFERROR(__xludf.DUMMYFUNCTION("""COMPUTED_VALUE"""),"")</f>
        <v/>
      </c>
    </row>
    <row r="977">
      <c r="A977" s="45"/>
      <c r="C977" s="25" t="str">
        <f>IFERROR(__xludf.DUMMYFUNCTION("""COMPUTED_VALUE"""),"")</f>
        <v/>
      </c>
      <c r="D977" s="25" t="str">
        <f>IFERROR(__xludf.DUMMYFUNCTION("""COMPUTED_VALUE"""),"")</f>
        <v/>
      </c>
    </row>
    <row r="978">
      <c r="A978" s="45"/>
      <c r="C978" s="25" t="str">
        <f>IFERROR(__xludf.DUMMYFUNCTION("""COMPUTED_VALUE"""),"")</f>
        <v/>
      </c>
      <c r="D978" s="25" t="str">
        <f>IFERROR(__xludf.DUMMYFUNCTION("""COMPUTED_VALUE"""),"")</f>
        <v/>
      </c>
    </row>
    <row r="979">
      <c r="A979" s="45"/>
      <c r="C979" s="25" t="str">
        <f>IFERROR(__xludf.DUMMYFUNCTION("""COMPUTED_VALUE"""),"")</f>
        <v/>
      </c>
      <c r="D979" s="25" t="str">
        <f>IFERROR(__xludf.DUMMYFUNCTION("""COMPUTED_VALUE"""),"")</f>
        <v/>
      </c>
    </row>
    <row r="980">
      <c r="A980" s="45"/>
      <c r="C980" s="25" t="str">
        <f>IFERROR(__xludf.DUMMYFUNCTION("""COMPUTED_VALUE"""),"")</f>
        <v/>
      </c>
      <c r="D980" s="25" t="str">
        <f>IFERROR(__xludf.DUMMYFUNCTION("""COMPUTED_VALUE"""),"")</f>
        <v/>
      </c>
    </row>
    <row r="981">
      <c r="A981" s="45"/>
      <c r="C981" s="25" t="str">
        <f>IFERROR(__xludf.DUMMYFUNCTION("""COMPUTED_VALUE"""),"")</f>
        <v/>
      </c>
      <c r="D981" s="25" t="str">
        <f>IFERROR(__xludf.DUMMYFUNCTION("""COMPUTED_VALUE"""),"")</f>
        <v/>
      </c>
    </row>
    <row r="982">
      <c r="A982" s="45"/>
      <c r="C982" s="25" t="str">
        <f>IFERROR(__xludf.DUMMYFUNCTION("""COMPUTED_VALUE"""),"")</f>
        <v/>
      </c>
      <c r="D982" s="25" t="str">
        <f>IFERROR(__xludf.DUMMYFUNCTION("""COMPUTED_VALUE"""),"")</f>
        <v/>
      </c>
    </row>
    <row r="983">
      <c r="A983" s="45"/>
      <c r="C983" s="25" t="str">
        <f>IFERROR(__xludf.DUMMYFUNCTION("""COMPUTED_VALUE"""),"")</f>
        <v/>
      </c>
      <c r="D983" s="25" t="str">
        <f>IFERROR(__xludf.DUMMYFUNCTION("""COMPUTED_VALUE"""),"")</f>
        <v/>
      </c>
    </row>
    <row r="984">
      <c r="A984" s="45"/>
      <c r="C984" s="25" t="str">
        <f>IFERROR(__xludf.DUMMYFUNCTION("""COMPUTED_VALUE"""),"")</f>
        <v/>
      </c>
      <c r="D984" s="25" t="str">
        <f>IFERROR(__xludf.DUMMYFUNCTION("""COMPUTED_VALUE"""),"")</f>
        <v/>
      </c>
    </row>
    <row r="985">
      <c r="A985" s="45"/>
      <c r="C985" s="25" t="str">
        <f>IFERROR(__xludf.DUMMYFUNCTION("""COMPUTED_VALUE"""),"")</f>
        <v/>
      </c>
      <c r="D985" s="25" t="str">
        <f>IFERROR(__xludf.DUMMYFUNCTION("""COMPUTED_VALUE"""),"")</f>
        <v/>
      </c>
    </row>
    <row r="986">
      <c r="A986" s="45"/>
      <c r="C986" s="25" t="str">
        <f>IFERROR(__xludf.DUMMYFUNCTION("""COMPUTED_VALUE"""),"")</f>
        <v/>
      </c>
      <c r="D986" s="25" t="str">
        <f>IFERROR(__xludf.DUMMYFUNCTION("""COMPUTED_VALUE"""),"")</f>
        <v/>
      </c>
    </row>
    <row r="987">
      <c r="A987" s="45"/>
      <c r="C987" s="25" t="str">
        <f>IFERROR(__xludf.DUMMYFUNCTION("""COMPUTED_VALUE"""),"")</f>
        <v/>
      </c>
      <c r="D987" s="25" t="str">
        <f>IFERROR(__xludf.DUMMYFUNCTION("""COMPUTED_VALUE"""),"")</f>
        <v/>
      </c>
    </row>
    <row r="988">
      <c r="A988" s="45"/>
      <c r="C988" s="25" t="str">
        <f>IFERROR(__xludf.DUMMYFUNCTION("""COMPUTED_VALUE"""),"")</f>
        <v/>
      </c>
      <c r="D988" s="25" t="str">
        <f>IFERROR(__xludf.DUMMYFUNCTION("""COMPUTED_VALUE"""),"")</f>
        <v/>
      </c>
    </row>
    <row r="989">
      <c r="A989" s="45"/>
      <c r="C989" s="25" t="str">
        <f>IFERROR(__xludf.DUMMYFUNCTION("""COMPUTED_VALUE"""),"")</f>
        <v/>
      </c>
      <c r="D989" s="25" t="str">
        <f>IFERROR(__xludf.DUMMYFUNCTION("""COMPUTED_VALUE"""),"")</f>
        <v/>
      </c>
    </row>
    <row r="990">
      <c r="A990" s="45"/>
      <c r="C990" s="25" t="str">
        <f>IFERROR(__xludf.DUMMYFUNCTION("""COMPUTED_VALUE"""),"")</f>
        <v/>
      </c>
      <c r="D990" s="25" t="str">
        <f>IFERROR(__xludf.DUMMYFUNCTION("""COMPUTED_VALUE"""),"")</f>
        <v/>
      </c>
    </row>
    <row r="991">
      <c r="A991" s="45"/>
      <c r="C991" s="25" t="str">
        <f>IFERROR(__xludf.DUMMYFUNCTION("""COMPUTED_VALUE"""),"")</f>
        <v/>
      </c>
      <c r="D991" s="25" t="str">
        <f>IFERROR(__xludf.DUMMYFUNCTION("""COMPUTED_VALUE"""),"")</f>
        <v/>
      </c>
    </row>
    <row r="992">
      <c r="A992" s="45"/>
      <c r="C992" s="25" t="str">
        <f>IFERROR(__xludf.DUMMYFUNCTION("""COMPUTED_VALUE"""),"")</f>
        <v/>
      </c>
      <c r="D992" s="25" t="str">
        <f>IFERROR(__xludf.DUMMYFUNCTION("""COMPUTED_VALUE"""),"")</f>
        <v/>
      </c>
    </row>
    <row r="993">
      <c r="A993" s="45"/>
      <c r="C993" s="25" t="str">
        <f>IFERROR(__xludf.DUMMYFUNCTION("""COMPUTED_VALUE"""),"")</f>
        <v/>
      </c>
      <c r="D993" s="25" t="str">
        <f>IFERROR(__xludf.DUMMYFUNCTION("""COMPUTED_VALUE"""),"")</f>
        <v/>
      </c>
    </row>
    <row r="994">
      <c r="A994" s="45"/>
      <c r="C994" s="25" t="str">
        <f>IFERROR(__xludf.DUMMYFUNCTION("""COMPUTED_VALUE"""),"")</f>
        <v/>
      </c>
      <c r="D994" s="25" t="str">
        <f>IFERROR(__xludf.DUMMYFUNCTION("""COMPUTED_VALUE"""),"")</f>
        <v/>
      </c>
    </row>
    <row r="995">
      <c r="A995" s="45"/>
      <c r="C995" s="25" t="str">
        <f>IFERROR(__xludf.DUMMYFUNCTION("""COMPUTED_VALUE"""),"")</f>
        <v/>
      </c>
      <c r="D995" s="25" t="str">
        <f>IFERROR(__xludf.DUMMYFUNCTION("""COMPUTED_VALUE"""),"")</f>
        <v/>
      </c>
    </row>
    <row r="996">
      <c r="A996" s="45"/>
      <c r="C996" s="25" t="str">
        <f>IFERROR(__xludf.DUMMYFUNCTION("""COMPUTED_VALUE"""),"")</f>
        <v/>
      </c>
      <c r="D996" s="25" t="str">
        <f>IFERROR(__xludf.DUMMYFUNCTION("""COMPUTED_VALUE"""),"")</f>
        <v/>
      </c>
    </row>
    <row r="997">
      <c r="A997" s="45"/>
      <c r="C997" s="25" t="str">
        <f>IFERROR(__xludf.DUMMYFUNCTION("""COMPUTED_VALUE"""),"")</f>
        <v/>
      </c>
      <c r="D997" s="25" t="str">
        <f>IFERROR(__xludf.DUMMYFUNCTION("""COMPUTED_VALUE"""),"")</f>
        <v/>
      </c>
    </row>
    <row r="998">
      <c r="A998" s="45"/>
      <c r="C998" s="25" t="str">
        <f>IFERROR(__xludf.DUMMYFUNCTION("""COMPUTED_VALUE"""),"")</f>
        <v/>
      </c>
      <c r="D998" s="25" t="str">
        <f>IFERROR(__xludf.DUMMYFUNCTION("""COMPUTED_VALUE"""),"")</f>
        <v/>
      </c>
    </row>
    <row r="999">
      <c r="A999" s="45"/>
      <c r="C999" s="25" t="str">
        <f>IFERROR(__xludf.DUMMYFUNCTION("""COMPUTED_VALUE"""),"")</f>
        <v/>
      </c>
      <c r="D999" s="25" t="str">
        <f>IFERROR(__xludf.DUMMYFUNCTION("""COMPUTED_VALUE"""),"")</f>
        <v/>
      </c>
    </row>
    <row r="1000">
      <c r="A1000" s="45"/>
      <c r="C1000" s="25" t="str">
        <f>IFERROR(__xludf.DUMMYFUNCTION("""COMPUTED_VALUE"""),"")</f>
        <v/>
      </c>
      <c r="D1000" s="25" t="str">
        <f>IFERROR(__xludf.DUMMYFUNCTION("""COMPUTED_VALUE"""),"")</f>
        <v/>
      </c>
    </row>
    <row r="1001">
      <c r="A1001" s="45"/>
      <c r="C1001" s="25" t="str">
        <f>IFERROR(__xludf.DUMMYFUNCTION("""COMPUTED_VALUE"""),"")</f>
        <v/>
      </c>
      <c r="D1001" s="25" t="str">
        <f>IFERROR(__xludf.DUMMYFUNCTION("""COMPUTED_VALUE"""),"")</f>
        <v/>
      </c>
    </row>
    <row r="1002">
      <c r="A1002" s="45"/>
      <c r="C1002" s="25" t="str">
        <f>IFERROR(__xludf.DUMMYFUNCTION("""COMPUTED_VALUE"""),"")</f>
        <v/>
      </c>
      <c r="D1002" s="25" t="str">
        <f>IFERROR(__xludf.DUMMYFUNCTION("""COMPUTED_VALUE"""),"")</f>
        <v/>
      </c>
    </row>
    <row r="1003">
      <c r="A1003" s="45"/>
      <c r="C1003" s="25" t="str">
        <f>IFERROR(__xludf.DUMMYFUNCTION("""COMPUTED_VALUE"""),"")</f>
        <v/>
      </c>
      <c r="D1003" s="25" t="str">
        <f>IFERROR(__xludf.DUMMYFUNCTION("""COMPUTED_VALUE"""),"")</f>
        <v/>
      </c>
    </row>
    <row r="1004">
      <c r="A1004" s="45"/>
      <c r="C1004" s="25" t="str">
        <f>IFERROR(__xludf.DUMMYFUNCTION("""COMPUTED_VALUE"""),"")</f>
        <v/>
      </c>
      <c r="D1004" s="25" t="str">
        <f>IFERROR(__xludf.DUMMYFUNCTION("""COMPUTED_VALUE"""),"")</f>
        <v/>
      </c>
    </row>
    <row r="1005">
      <c r="A1005" s="45"/>
      <c r="C1005" s="25" t="str">
        <f>IFERROR(__xludf.DUMMYFUNCTION("""COMPUTED_VALUE"""),"")</f>
        <v/>
      </c>
      <c r="D1005" s="25" t="str">
        <f>IFERROR(__xludf.DUMMYFUNCTION("""COMPUTED_VALUE"""),"")</f>
        <v/>
      </c>
    </row>
    <row r="1006">
      <c r="A1006" s="45"/>
      <c r="C1006" s="25" t="str">
        <f>IFERROR(__xludf.DUMMYFUNCTION("""COMPUTED_VALUE"""),"")</f>
        <v/>
      </c>
      <c r="D1006" s="25" t="str">
        <f>IFERROR(__xludf.DUMMYFUNCTION("""COMPUTED_VALUE"""),"")</f>
        <v/>
      </c>
    </row>
    <row r="1007">
      <c r="A1007" s="45"/>
      <c r="C1007" s="25" t="str">
        <f>IFERROR(__xludf.DUMMYFUNCTION("""COMPUTED_VALUE"""),"")</f>
        <v/>
      </c>
      <c r="D1007" s="25" t="str">
        <f>IFERROR(__xludf.DUMMYFUNCTION("""COMPUTED_VALUE"""),"")</f>
        <v/>
      </c>
    </row>
    <row r="1008">
      <c r="A1008" s="45"/>
      <c r="C1008" s="25" t="str">
        <f>IFERROR(__xludf.DUMMYFUNCTION("""COMPUTED_VALUE"""),"")</f>
        <v/>
      </c>
      <c r="D1008" s="25" t="str">
        <f>IFERROR(__xludf.DUMMYFUNCTION("""COMPUTED_VALUE"""),"")</f>
        <v/>
      </c>
    </row>
    <row r="1009">
      <c r="A1009" s="45"/>
      <c r="C1009" s="25" t="str">
        <f>IFERROR(__xludf.DUMMYFUNCTION("""COMPUTED_VALUE"""),"")</f>
        <v/>
      </c>
      <c r="D1009" s="25" t="str">
        <f>IFERROR(__xludf.DUMMYFUNCTION("""COMPUTED_VALUE"""),"")</f>
        <v/>
      </c>
    </row>
    <row r="1010">
      <c r="A1010" s="45"/>
      <c r="C1010" s="25" t="str">
        <f>IFERROR(__xludf.DUMMYFUNCTION("""COMPUTED_VALUE"""),"")</f>
        <v/>
      </c>
      <c r="D1010" s="25" t="str">
        <f>IFERROR(__xludf.DUMMYFUNCTION("""COMPUTED_VALUE"""),"")</f>
        <v/>
      </c>
    </row>
    <row r="1011">
      <c r="A1011" s="45"/>
      <c r="C1011" s="25" t="str">
        <f>IFERROR(__xludf.DUMMYFUNCTION("""COMPUTED_VALUE"""),"")</f>
        <v/>
      </c>
      <c r="D1011" s="25" t="str">
        <f>IFERROR(__xludf.DUMMYFUNCTION("""COMPUTED_VALUE"""),"")</f>
        <v/>
      </c>
    </row>
    <row r="1012">
      <c r="A1012" s="45"/>
      <c r="C1012" s="25" t="str">
        <f>IFERROR(__xludf.DUMMYFUNCTION("""COMPUTED_VALUE"""),"")</f>
        <v/>
      </c>
      <c r="D1012" s="25" t="str">
        <f>IFERROR(__xludf.DUMMYFUNCTION("""COMPUTED_VALUE"""),"")</f>
        <v/>
      </c>
    </row>
    <row r="1013">
      <c r="A1013" s="45"/>
      <c r="C1013" s="25" t="str">
        <f>IFERROR(__xludf.DUMMYFUNCTION("""COMPUTED_VALUE"""),"")</f>
        <v/>
      </c>
      <c r="D1013" s="25" t="str">
        <f>IFERROR(__xludf.DUMMYFUNCTION("""COMPUTED_VALUE"""),"")</f>
        <v/>
      </c>
    </row>
    <row r="1014">
      <c r="A1014" s="45"/>
      <c r="C1014" s="25" t="str">
        <f>IFERROR(__xludf.DUMMYFUNCTION("""COMPUTED_VALUE"""),"")</f>
        <v/>
      </c>
      <c r="D1014" s="25" t="str">
        <f>IFERROR(__xludf.DUMMYFUNCTION("""COMPUTED_VALUE"""),"")</f>
        <v/>
      </c>
    </row>
    <row r="1015">
      <c r="A1015" s="45"/>
      <c r="C1015" s="25" t="str">
        <f>IFERROR(__xludf.DUMMYFUNCTION("""COMPUTED_VALUE"""),"")</f>
        <v/>
      </c>
      <c r="D1015" s="25" t="str">
        <f>IFERROR(__xludf.DUMMYFUNCTION("""COMPUTED_VALUE"""),"")</f>
        <v/>
      </c>
    </row>
    <row r="1016">
      <c r="A1016" s="45"/>
      <c r="C1016" s="25" t="str">
        <f>IFERROR(__xludf.DUMMYFUNCTION("""COMPUTED_VALUE"""),"")</f>
        <v/>
      </c>
      <c r="D1016" s="25" t="str">
        <f>IFERROR(__xludf.DUMMYFUNCTION("""COMPUTED_VALUE"""),"")</f>
        <v/>
      </c>
    </row>
    <row r="1017">
      <c r="A1017" s="45"/>
      <c r="C1017" s="25" t="str">
        <f>IFERROR(__xludf.DUMMYFUNCTION("""COMPUTED_VALUE"""),"")</f>
        <v/>
      </c>
      <c r="D1017" s="25" t="str">
        <f>IFERROR(__xludf.DUMMYFUNCTION("""COMPUTED_VALUE"""),"")</f>
        <v/>
      </c>
    </row>
    <row r="1018">
      <c r="A1018" s="45"/>
      <c r="C1018" s="25" t="str">
        <f>IFERROR(__xludf.DUMMYFUNCTION("""COMPUTED_VALUE"""),"")</f>
        <v/>
      </c>
      <c r="D1018" s="25" t="str">
        <f>IFERROR(__xludf.DUMMYFUNCTION("""COMPUTED_VALUE"""),"")</f>
        <v/>
      </c>
    </row>
    <row r="1019">
      <c r="A1019" s="45"/>
      <c r="C1019" s="25" t="str">
        <f>IFERROR(__xludf.DUMMYFUNCTION("""COMPUTED_VALUE"""),"")</f>
        <v/>
      </c>
      <c r="D1019" s="25" t="str">
        <f>IFERROR(__xludf.DUMMYFUNCTION("""COMPUTED_VALUE"""),"")</f>
        <v/>
      </c>
    </row>
    <row r="1020">
      <c r="A1020" s="45"/>
      <c r="C1020" s="25" t="str">
        <f>IFERROR(__xludf.DUMMYFUNCTION("""COMPUTED_VALUE"""),"")</f>
        <v/>
      </c>
      <c r="D1020" s="25" t="str">
        <f>IFERROR(__xludf.DUMMYFUNCTION("""COMPUTED_VALUE"""),"")</f>
        <v/>
      </c>
    </row>
    <row r="1021">
      <c r="A1021" s="45"/>
      <c r="C1021" s="25" t="str">
        <f>IFERROR(__xludf.DUMMYFUNCTION("""COMPUTED_VALUE"""),"")</f>
        <v/>
      </c>
      <c r="D1021" s="25" t="str">
        <f>IFERROR(__xludf.DUMMYFUNCTION("""COMPUTED_VALUE"""),"")</f>
        <v/>
      </c>
    </row>
    <row r="1022">
      <c r="A1022" s="45"/>
      <c r="C1022" s="25" t="str">
        <f>IFERROR(__xludf.DUMMYFUNCTION("""COMPUTED_VALUE"""),"")</f>
        <v/>
      </c>
      <c r="D1022" s="25" t="str">
        <f>IFERROR(__xludf.DUMMYFUNCTION("""COMPUTED_VALUE"""),"")</f>
        <v/>
      </c>
    </row>
    <row r="1023">
      <c r="A1023" s="45"/>
      <c r="C1023" s="25" t="str">
        <f>IFERROR(__xludf.DUMMYFUNCTION("""COMPUTED_VALUE"""),"")</f>
        <v/>
      </c>
      <c r="D1023" s="25" t="str">
        <f>IFERROR(__xludf.DUMMYFUNCTION("""COMPUTED_VALUE"""),"")</f>
        <v/>
      </c>
    </row>
    <row r="1024">
      <c r="A1024" s="45"/>
      <c r="C1024" s="25" t="str">
        <f>IFERROR(__xludf.DUMMYFUNCTION("""COMPUTED_VALUE"""),"")</f>
        <v/>
      </c>
      <c r="D1024" s="25" t="str">
        <f>IFERROR(__xludf.DUMMYFUNCTION("""COMPUTED_VALUE"""),"")</f>
        <v/>
      </c>
    </row>
    <row r="1025">
      <c r="A1025" s="45"/>
      <c r="C1025" s="25" t="str">
        <f>IFERROR(__xludf.DUMMYFUNCTION("""COMPUTED_VALUE"""),"")</f>
        <v/>
      </c>
      <c r="D1025" s="25" t="str">
        <f>IFERROR(__xludf.DUMMYFUNCTION("""COMPUTED_VALUE"""),"")</f>
        <v/>
      </c>
    </row>
    <row r="1026">
      <c r="A1026" s="45"/>
      <c r="C1026" s="25" t="str">
        <f>IFERROR(__xludf.DUMMYFUNCTION("""COMPUTED_VALUE"""),"")</f>
        <v/>
      </c>
      <c r="D1026" s="25" t="str">
        <f>IFERROR(__xludf.DUMMYFUNCTION("""COMPUTED_VALUE"""),"")</f>
        <v/>
      </c>
    </row>
    <row r="1027">
      <c r="A1027" s="45"/>
      <c r="C1027" s="25" t="str">
        <f>IFERROR(__xludf.DUMMYFUNCTION("""COMPUTED_VALUE"""),"")</f>
        <v/>
      </c>
      <c r="D1027" s="25" t="str">
        <f>IFERROR(__xludf.DUMMYFUNCTION("""COMPUTED_VALUE"""),"")</f>
        <v/>
      </c>
    </row>
    <row r="1028">
      <c r="A1028" s="45"/>
      <c r="C1028" s="25" t="str">
        <f>IFERROR(__xludf.DUMMYFUNCTION("""COMPUTED_VALUE"""),"")</f>
        <v/>
      </c>
      <c r="D1028" s="25" t="str">
        <f>IFERROR(__xludf.DUMMYFUNCTION("""COMPUTED_VALUE"""),"")</f>
        <v/>
      </c>
    </row>
    <row r="1029">
      <c r="A1029" s="45"/>
      <c r="C1029" s="25" t="str">
        <f>IFERROR(__xludf.DUMMYFUNCTION("""COMPUTED_VALUE"""),"")</f>
        <v/>
      </c>
      <c r="D1029" s="25" t="str">
        <f>IFERROR(__xludf.DUMMYFUNCTION("""COMPUTED_VALUE"""),"")</f>
        <v/>
      </c>
    </row>
    <row r="1030">
      <c r="A1030" s="45"/>
      <c r="C1030" s="25" t="str">
        <f>IFERROR(__xludf.DUMMYFUNCTION("""COMPUTED_VALUE"""),"")</f>
        <v/>
      </c>
      <c r="D1030" s="25" t="str">
        <f>IFERROR(__xludf.DUMMYFUNCTION("""COMPUTED_VALUE"""),"")</f>
        <v/>
      </c>
    </row>
    <row r="1031">
      <c r="A1031" s="45"/>
      <c r="C1031" s="25" t="str">
        <f>IFERROR(__xludf.DUMMYFUNCTION("""COMPUTED_VALUE"""),"")</f>
        <v/>
      </c>
      <c r="D1031" s="25" t="str">
        <f>IFERROR(__xludf.DUMMYFUNCTION("""COMPUTED_VALUE"""),"")</f>
        <v/>
      </c>
    </row>
    <row r="1032">
      <c r="A1032" s="45"/>
      <c r="C1032" s="25" t="str">
        <f>IFERROR(__xludf.DUMMYFUNCTION("""COMPUTED_VALUE"""),"")</f>
        <v/>
      </c>
      <c r="D1032" s="25" t="str">
        <f>IFERROR(__xludf.DUMMYFUNCTION("""COMPUTED_VALUE"""),"")</f>
        <v/>
      </c>
    </row>
    <row r="1033">
      <c r="A1033" s="45"/>
      <c r="C1033" s="25" t="str">
        <f>IFERROR(__xludf.DUMMYFUNCTION("""COMPUTED_VALUE"""),"")</f>
        <v/>
      </c>
      <c r="D1033" s="25" t="str">
        <f>IFERROR(__xludf.DUMMYFUNCTION("""COMPUTED_VALUE"""),"")</f>
        <v/>
      </c>
    </row>
    <row r="1034">
      <c r="A1034" s="45"/>
      <c r="C1034" s="25" t="str">
        <f>IFERROR(__xludf.DUMMYFUNCTION("""COMPUTED_VALUE"""),"")</f>
        <v/>
      </c>
      <c r="D1034" s="25" t="str">
        <f>IFERROR(__xludf.DUMMYFUNCTION("""COMPUTED_VALUE"""),"")</f>
        <v/>
      </c>
    </row>
    <row r="1035">
      <c r="A1035" s="45"/>
      <c r="C1035" s="25" t="str">
        <f>IFERROR(__xludf.DUMMYFUNCTION("""COMPUTED_VALUE"""),"")</f>
        <v/>
      </c>
      <c r="D1035" s="25" t="str">
        <f>IFERROR(__xludf.DUMMYFUNCTION("""COMPUTED_VALUE"""),"")</f>
        <v/>
      </c>
    </row>
    <row r="1036">
      <c r="A1036" s="45"/>
      <c r="C1036" s="25" t="str">
        <f>IFERROR(__xludf.DUMMYFUNCTION("""COMPUTED_VALUE"""),"")</f>
        <v/>
      </c>
      <c r="D1036" s="25" t="str">
        <f>IFERROR(__xludf.DUMMYFUNCTION("""COMPUTED_VALUE"""),"")</f>
        <v/>
      </c>
    </row>
    <row r="1037">
      <c r="A1037" s="45"/>
      <c r="C1037" s="25" t="str">
        <f>IFERROR(__xludf.DUMMYFUNCTION("""COMPUTED_VALUE"""),"")</f>
        <v/>
      </c>
      <c r="D1037" s="25" t="str">
        <f>IFERROR(__xludf.DUMMYFUNCTION("""COMPUTED_VALUE"""),"")</f>
        <v/>
      </c>
    </row>
    <row r="1038">
      <c r="A1038" s="45"/>
      <c r="C1038" s="25" t="str">
        <f>IFERROR(__xludf.DUMMYFUNCTION("""COMPUTED_VALUE"""),"")</f>
        <v/>
      </c>
      <c r="D1038" s="25" t="str">
        <f>IFERROR(__xludf.DUMMYFUNCTION("""COMPUTED_VALUE"""),"")</f>
        <v/>
      </c>
    </row>
    <row r="1039">
      <c r="A1039" s="45"/>
      <c r="C1039" s="25" t="str">
        <f>IFERROR(__xludf.DUMMYFUNCTION("""COMPUTED_VALUE"""),"")</f>
        <v/>
      </c>
      <c r="D1039" s="25" t="str">
        <f>IFERROR(__xludf.DUMMYFUNCTION("""COMPUTED_VALUE"""),"")</f>
        <v/>
      </c>
    </row>
    <row r="1040">
      <c r="A1040" s="45"/>
      <c r="C1040" s="25" t="str">
        <f>IFERROR(__xludf.DUMMYFUNCTION("""COMPUTED_VALUE"""),"")</f>
        <v/>
      </c>
      <c r="D1040" s="25" t="str">
        <f>IFERROR(__xludf.DUMMYFUNCTION("""COMPUTED_VALUE"""),"")</f>
        <v/>
      </c>
    </row>
    <row r="1041">
      <c r="A1041" s="45"/>
      <c r="C1041" s="25" t="str">
        <f>IFERROR(__xludf.DUMMYFUNCTION("""COMPUTED_VALUE"""),"")</f>
        <v/>
      </c>
      <c r="D1041" s="25" t="str">
        <f>IFERROR(__xludf.DUMMYFUNCTION("""COMPUTED_VALUE"""),"")</f>
        <v/>
      </c>
    </row>
    <row r="1042">
      <c r="A1042" s="45"/>
      <c r="C1042" s="25" t="str">
        <f>IFERROR(__xludf.DUMMYFUNCTION("""COMPUTED_VALUE"""),"")</f>
        <v/>
      </c>
      <c r="D1042" s="25" t="str">
        <f>IFERROR(__xludf.DUMMYFUNCTION("""COMPUTED_VALUE"""),"")</f>
        <v/>
      </c>
    </row>
    <row r="1043">
      <c r="A1043" s="45"/>
      <c r="C1043" s="25" t="str">
        <f>IFERROR(__xludf.DUMMYFUNCTION("""COMPUTED_VALUE"""),"")</f>
        <v/>
      </c>
      <c r="D1043" s="25" t="str">
        <f>IFERROR(__xludf.DUMMYFUNCTION("""COMPUTED_VALUE"""),"")</f>
        <v/>
      </c>
    </row>
    <row r="1044">
      <c r="A1044" s="45"/>
      <c r="C1044" s="25" t="str">
        <f>IFERROR(__xludf.DUMMYFUNCTION("""COMPUTED_VALUE"""),"")</f>
        <v/>
      </c>
      <c r="D1044" s="25" t="str">
        <f>IFERROR(__xludf.DUMMYFUNCTION("""COMPUTED_VALUE"""),"")</f>
        <v/>
      </c>
    </row>
    <row r="1045">
      <c r="A1045" s="45"/>
      <c r="C1045" s="25" t="str">
        <f>IFERROR(__xludf.DUMMYFUNCTION("""COMPUTED_VALUE"""),"")</f>
        <v/>
      </c>
      <c r="D1045" s="25" t="str">
        <f>IFERROR(__xludf.DUMMYFUNCTION("""COMPUTED_VALUE"""),"")</f>
        <v/>
      </c>
    </row>
    <row r="1046">
      <c r="A1046" s="45"/>
      <c r="C1046" s="25" t="str">
        <f>IFERROR(__xludf.DUMMYFUNCTION("""COMPUTED_VALUE"""),"")</f>
        <v/>
      </c>
      <c r="D1046" s="25" t="str">
        <f>IFERROR(__xludf.DUMMYFUNCTION("""COMPUTED_VALUE"""),"")</f>
        <v/>
      </c>
    </row>
    <row r="1047">
      <c r="A1047" s="45"/>
      <c r="C1047" s="25" t="str">
        <f>IFERROR(__xludf.DUMMYFUNCTION("""COMPUTED_VALUE"""),"")</f>
        <v/>
      </c>
      <c r="D1047" s="25" t="str">
        <f>IFERROR(__xludf.DUMMYFUNCTION("""COMPUTED_VALUE"""),"")</f>
        <v/>
      </c>
    </row>
    <row r="1048">
      <c r="A1048" s="45"/>
      <c r="C1048" s="25" t="str">
        <f>IFERROR(__xludf.DUMMYFUNCTION("""COMPUTED_VALUE"""),"")</f>
        <v/>
      </c>
      <c r="D1048" s="25" t="str">
        <f>IFERROR(__xludf.DUMMYFUNCTION("""COMPUTED_VALUE"""),"")</f>
        <v/>
      </c>
    </row>
    <row r="1049">
      <c r="A1049" s="45"/>
      <c r="C1049" s="25" t="str">
        <f>IFERROR(__xludf.DUMMYFUNCTION("""COMPUTED_VALUE"""),"")</f>
        <v/>
      </c>
      <c r="D1049" s="25" t="str">
        <f>IFERROR(__xludf.DUMMYFUNCTION("""COMPUTED_VALUE"""),"")</f>
        <v/>
      </c>
    </row>
    <row r="1050">
      <c r="A1050" s="45"/>
      <c r="C1050" s="25" t="str">
        <f>IFERROR(__xludf.DUMMYFUNCTION("""COMPUTED_VALUE"""),"")</f>
        <v/>
      </c>
      <c r="D1050" s="25" t="str">
        <f>IFERROR(__xludf.DUMMYFUNCTION("""COMPUTED_VALUE"""),"")</f>
        <v/>
      </c>
    </row>
    <row r="1051">
      <c r="A1051" s="45"/>
      <c r="C1051" s="25" t="str">
        <f>IFERROR(__xludf.DUMMYFUNCTION("""COMPUTED_VALUE"""),"")</f>
        <v/>
      </c>
      <c r="D1051" s="25" t="str">
        <f>IFERROR(__xludf.DUMMYFUNCTION("""COMPUTED_VALUE"""),"")</f>
        <v/>
      </c>
    </row>
    <row r="1052">
      <c r="A1052" s="45"/>
      <c r="C1052" s="25" t="str">
        <f>IFERROR(__xludf.DUMMYFUNCTION("""COMPUTED_VALUE"""),"")</f>
        <v/>
      </c>
      <c r="D1052" s="25" t="str">
        <f>IFERROR(__xludf.DUMMYFUNCTION("""COMPUTED_VALUE"""),"")</f>
        <v/>
      </c>
    </row>
    <row r="1053">
      <c r="A1053" s="45"/>
      <c r="C1053" s="25" t="str">
        <f>IFERROR(__xludf.DUMMYFUNCTION("""COMPUTED_VALUE"""),"")</f>
        <v/>
      </c>
      <c r="D1053" s="25" t="str">
        <f>IFERROR(__xludf.DUMMYFUNCTION("""COMPUTED_VALUE"""),"")</f>
        <v/>
      </c>
    </row>
    <row r="1054">
      <c r="A1054" s="45"/>
      <c r="C1054" s="25" t="str">
        <f>IFERROR(__xludf.DUMMYFUNCTION("""COMPUTED_VALUE"""),"")</f>
        <v/>
      </c>
      <c r="D1054" s="25" t="str">
        <f>IFERROR(__xludf.DUMMYFUNCTION("""COMPUTED_VALUE"""),"")</f>
        <v/>
      </c>
    </row>
    <row r="1055">
      <c r="A1055" s="45"/>
      <c r="C1055" s="25" t="str">
        <f>IFERROR(__xludf.DUMMYFUNCTION("""COMPUTED_VALUE"""),"")</f>
        <v/>
      </c>
      <c r="D1055" s="25" t="str">
        <f>IFERROR(__xludf.DUMMYFUNCTION("""COMPUTED_VALUE"""),"")</f>
        <v/>
      </c>
    </row>
    <row r="1056">
      <c r="A1056" s="45"/>
      <c r="C1056" s="25" t="str">
        <f>IFERROR(__xludf.DUMMYFUNCTION("""COMPUTED_VALUE"""),"")</f>
        <v/>
      </c>
      <c r="D1056" s="25" t="str">
        <f>IFERROR(__xludf.DUMMYFUNCTION("""COMPUTED_VALUE"""),"")</f>
        <v/>
      </c>
    </row>
    <row r="1057">
      <c r="A1057" s="45"/>
      <c r="C1057" s="25" t="str">
        <f>IFERROR(__xludf.DUMMYFUNCTION("""COMPUTED_VALUE"""),"")</f>
        <v/>
      </c>
      <c r="D1057" s="25" t="str">
        <f>IFERROR(__xludf.DUMMYFUNCTION("""COMPUTED_VALUE"""),"")</f>
        <v/>
      </c>
    </row>
    <row r="1058">
      <c r="A1058" s="45"/>
      <c r="C1058" s="25" t="str">
        <f>IFERROR(__xludf.DUMMYFUNCTION("""COMPUTED_VALUE"""),"")</f>
        <v/>
      </c>
      <c r="D1058" s="25" t="str">
        <f>IFERROR(__xludf.DUMMYFUNCTION("""COMPUTED_VALUE"""),"")</f>
        <v/>
      </c>
    </row>
    <row r="1059">
      <c r="A1059" s="45"/>
      <c r="C1059" s="25" t="str">
        <f>IFERROR(__xludf.DUMMYFUNCTION("""COMPUTED_VALUE"""),"")</f>
        <v/>
      </c>
      <c r="D1059" s="25" t="str">
        <f>IFERROR(__xludf.DUMMYFUNCTION("""COMPUTED_VALUE"""),"")</f>
        <v/>
      </c>
    </row>
    <row r="1060">
      <c r="A1060" s="45"/>
      <c r="C1060" s="25" t="str">
        <f>IFERROR(__xludf.DUMMYFUNCTION("""COMPUTED_VALUE"""),"")</f>
        <v/>
      </c>
      <c r="D1060" s="25" t="str">
        <f>IFERROR(__xludf.DUMMYFUNCTION("""COMPUTED_VALUE"""),"")</f>
        <v/>
      </c>
    </row>
    <row r="1061">
      <c r="A1061" s="45"/>
      <c r="C1061" s="25" t="str">
        <f>IFERROR(__xludf.DUMMYFUNCTION("""COMPUTED_VALUE"""),"")</f>
        <v/>
      </c>
      <c r="D1061" s="25" t="str">
        <f>IFERROR(__xludf.DUMMYFUNCTION("""COMPUTED_VALUE"""),"")</f>
        <v/>
      </c>
    </row>
    <row r="1062">
      <c r="A1062" s="45"/>
      <c r="C1062" s="25" t="str">
        <f>IFERROR(__xludf.DUMMYFUNCTION("""COMPUTED_VALUE"""),"")</f>
        <v/>
      </c>
      <c r="D1062" s="25" t="str">
        <f>IFERROR(__xludf.DUMMYFUNCTION("""COMPUTED_VALUE"""),"")</f>
        <v/>
      </c>
    </row>
    <row r="1063">
      <c r="A1063" s="45"/>
      <c r="C1063" s="25" t="str">
        <f>IFERROR(__xludf.DUMMYFUNCTION("""COMPUTED_VALUE"""),"")</f>
        <v/>
      </c>
      <c r="D1063" s="25" t="str">
        <f>IFERROR(__xludf.DUMMYFUNCTION("""COMPUTED_VALUE"""),"")</f>
        <v/>
      </c>
    </row>
    <row r="1064">
      <c r="A1064" s="45"/>
      <c r="C1064" s="25" t="str">
        <f>IFERROR(__xludf.DUMMYFUNCTION("""COMPUTED_VALUE"""),"")</f>
        <v/>
      </c>
      <c r="D1064" s="25" t="str">
        <f>IFERROR(__xludf.DUMMYFUNCTION("""COMPUTED_VALUE"""),"")</f>
        <v/>
      </c>
    </row>
    <row r="1065">
      <c r="A1065" s="45"/>
      <c r="C1065" s="25" t="str">
        <f>IFERROR(__xludf.DUMMYFUNCTION("""COMPUTED_VALUE"""),"")</f>
        <v/>
      </c>
      <c r="D1065" s="25" t="str">
        <f>IFERROR(__xludf.DUMMYFUNCTION("""COMPUTED_VALUE"""),"")</f>
        <v/>
      </c>
    </row>
    <row r="1066">
      <c r="A1066" s="45"/>
      <c r="C1066" s="25" t="str">
        <f>IFERROR(__xludf.DUMMYFUNCTION("""COMPUTED_VALUE"""),"")</f>
        <v/>
      </c>
      <c r="D1066" s="25" t="str">
        <f>IFERROR(__xludf.DUMMYFUNCTION("""COMPUTED_VALUE"""),"")</f>
        <v/>
      </c>
    </row>
    <row r="1067">
      <c r="A1067" s="45"/>
      <c r="C1067" s="25" t="str">
        <f>IFERROR(__xludf.DUMMYFUNCTION("""COMPUTED_VALUE"""),"")</f>
        <v/>
      </c>
      <c r="D1067" s="25" t="str">
        <f>IFERROR(__xludf.DUMMYFUNCTION("""COMPUTED_VALUE"""),"")</f>
        <v/>
      </c>
    </row>
    <row r="1068">
      <c r="A1068" s="45"/>
      <c r="C1068" s="25" t="str">
        <f>IFERROR(__xludf.DUMMYFUNCTION("""COMPUTED_VALUE"""),"")</f>
        <v/>
      </c>
      <c r="D1068" s="25" t="str">
        <f>IFERROR(__xludf.DUMMYFUNCTION("""COMPUTED_VALUE"""),"")</f>
        <v/>
      </c>
    </row>
    <row r="1069">
      <c r="A1069" s="45"/>
      <c r="C1069" s="25" t="str">
        <f>IFERROR(__xludf.DUMMYFUNCTION("""COMPUTED_VALUE"""),"")</f>
        <v/>
      </c>
      <c r="D1069" s="25" t="str">
        <f>IFERROR(__xludf.DUMMYFUNCTION("""COMPUTED_VALUE"""),"")</f>
        <v/>
      </c>
    </row>
    <row r="1070">
      <c r="A1070" s="45"/>
      <c r="C1070" s="25" t="str">
        <f>IFERROR(__xludf.DUMMYFUNCTION("""COMPUTED_VALUE"""),"")</f>
        <v/>
      </c>
      <c r="D1070" s="25" t="str">
        <f>IFERROR(__xludf.DUMMYFUNCTION("""COMPUTED_VALUE"""),"")</f>
        <v/>
      </c>
    </row>
    <row r="1071">
      <c r="A1071" s="45"/>
      <c r="C1071" s="25" t="str">
        <f>IFERROR(__xludf.DUMMYFUNCTION("""COMPUTED_VALUE"""),"")</f>
        <v/>
      </c>
      <c r="D1071" s="25" t="str">
        <f>IFERROR(__xludf.DUMMYFUNCTION("""COMPUTED_VALUE"""),"")</f>
        <v/>
      </c>
    </row>
    <row r="1072">
      <c r="A1072" s="45"/>
      <c r="C1072" s="25" t="str">
        <f>IFERROR(__xludf.DUMMYFUNCTION("""COMPUTED_VALUE"""),"")</f>
        <v/>
      </c>
      <c r="D1072" s="25" t="str">
        <f>IFERROR(__xludf.DUMMYFUNCTION("""COMPUTED_VALUE"""),"")</f>
        <v/>
      </c>
    </row>
    <row r="1073">
      <c r="A1073" s="45"/>
      <c r="C1073" s="25" t="str">
        <f>IFERROR(__xludf.DUMMYFUNCTION("""COMPUTED_VALUE"""),"")</f>
        <v/>
      </c>
      <c r="D1073" s="25" t="str">
        <f>IFERROR(__xludf.DUMMYFUNCTION("""COMPUTED_VALUE"""),"")</f>
        <v/>
      </c>
    </row>
    <row r="1074">
      <c r="A1074" s="45"/>
      <c r="C1074" s="25" t="str">
        <f>IFERROR(__xludf.DUMMYFUNCTION("""COMPUTED_VALUE"""),"")</f>
        <v/>
      </c>
      <c r="D1074" s="25" t="str">
        <f>IFERROR(__xludf.DUMMYFUNCTION("""COMPUTED_VALUE"""),"")</f>
        <v/>
      </c>
    </row>
    <row r="1075">
      <c r="A1075" s="45"/>
      <c r="C1075" s="25" t="str">
        <f>IFERROR(__xludf.DUMMYFUNCTION("""COMPUTED_VALUE"""),"")</f>
        <v/>
      </c>
      <c r="D1075" s="25" t="str">
        <f>IFERROR(__xludf.DUMMYFUNCTION("""COMPUTED_VALUE"""),"")</f>
        <v/>
      </c>
    </row>
    <row r="1076">
      <c r="A1076" s="45"/>
      <c r="C1076" s="25" t="str">
        <f>IFERROR(__xludf.DUMMYFUNCTION("""COMPUTED_VALUE"""),"")</f>
        <v/>
      </c>
      <c r="D1076" s="25" t="str">
        <f>IFERROR(__xludf.DUMMYFUNCTION("""COMPUTED_VALUE"""),"")</f>
        <v/>
      </c>
    </row>
    <row r="1077">
      <c r="A1077" s="45"/>
      <c r="C1077" s="25" t="str">
        <f>IFERROR(__xludf.DUMMYFUNCTION("""COMPUTED_VALUE"""),"")</f>
        <v/>
      </c>
      <c r="D1077" s="25" t="str">
        <f>IFERROR(__xludf.DUMMYFUNCTION("""COMPUTED_VALUE"""),"")</f>
        <v/>
      </c>
    </row>
    <row r="1078">
      <c r="A1078" s="45"/>
      <c r="C1078" s="25" t="str">
        <f>IFERROR(__xludf.DUMMYFUNCTION("""COMPUTED_VALUE"""),"")</f>
        <v/>
      </c>
      <c r="D1078" s="25" t="str">
        <f>IFERROR(__xludf.DUMMYFUNCTION("""COMPUTED_VALUE"""),"")</f>
        <v/>
      </c>
    </row>
    <row r="1079">
      <c r="A1079" s="45"/>
      <c r="C1079" s="25" t="str">
        <f>IFERROR(__xludf.DUMMYFUNCTION("""COMPUTED_VALUE"""),"")</f>
        <v/>
      </c>
      <c r="D1079" s="25" t="str">
        <f>IFERROR(__xludf.DUMMYFUNCTION("""COMPUTED_VALUE"""),"")</f>
        <v/>
      </c>
    </row>
    <row r="1080">
      <c r="A1080" s="45"/>
      <c r="C1080" s="25" t="str">
        <f>IFERROR(__xludf.DUMMYFUNCTION("""COMPUTED_VALUE"""),"")</f>
        <v/>
      </c>
      <c r="D1080" s="25" t="str">
        <f>IFERROR(__xludf.DUMMYFUNCTION("""COMPUTED_VALUE"""),"")</f>
        <v/>
      </c>
    </row>
    <row r="1081">
      <c r="A1081" s="45"/>
      <c r="C1081" s="25" t="str">
        <f>IFERROR(__xludf.DUMMYFUNCTION("""COMPUTED_VALUE"""),"")</f>
        <v/>
      </c>
      <c r="D1081" s="25" t="str">
        <f>IFERROR(__xludf.DUMMYFUNCTION("""COMPUTED_VALUE"""),"")</f>
        <v/>
      </c>
    </row>
    <row r="1082">
      <c r="A1082" s="45"/>
      <c r="C1082" s="25" t="str">
        <f>IFERROR(__xludf.DUMMYFUNCTION("""COMPUTED_VALUE"""),"")</f>
        <v/>
      </c>
      <c r="D1082" s="25" t="str">
        <f>IFERROR(__xludf.DUMMYFUNCTION("""COMPUTED_VALUE"""),"")</f>
        <v/>
      </c>
    </row>
    <row r="1083">
      <c r="A1083" s="45"/>
      <c r="C1083" s="25" t="str">
        <f>IFERROR(__xludf.DUMMYFUNCTION("""COMPUTED_VALUE"""),"")</f>
        <v/>
      </c>
      <c r="D1083" s="25" t="str">
        <f>IFERROR(__xludf.DUMMYFUNCTION("""COMPUTED_VALUE"""),"")</f>
        <v/>
      </c>
    </row>
    <row r="1084">
      <c r="A1084" s="45"/>
      <c r="C1084" s="25" t="str">
        <f>IFERROR(__xludf.DUMMYFUNCTION("""COMPUTED_VALUE"""),"")</f>
        <v/>
      </c>
      <c r="D1084" s="25" t="str">
        <f>IFERROR(__xludf.DUMMYFUNCTION("""COMPUTED_VALUE"""),"")</f>
        <v/>
      </c>
    </row>
    <row r="1085">
      <c r="A1085" s="45"/>
      <c r="C1085" s="25" t="str">
        <f>IFERROR(__xludf.DUMMYFUNCTION("""COMPUTED_VALUE"""),"")</f>
        <v/>
      </c>
      <c r="D1085" s="25" t="str">
        <f>IFERROR(__xludf.DUMMYFUNCTION("""COMPUTED_VALUE"""),"")</f>
        <v/>
      </c>
    </row>
    <row r="1086">
      <c r="A1086" s="45"/>
      <c r="C1086" s="25" t="str">
        <f>IFERROR(__xludf.DUMMYFUNCTION("""COMPUTED_VALUE"""),"")</f>
        <v/>
      </c>
      <c r="D1086" s="25" t="str">
        <f>IFERROR(__xludf.DUMMYFUNCTION("""COMPUTED_VALUE"""),"")</f>
        <v/>
      </c>
    </row>
    <row r="1087">
      <c r="A1087" s="45"/>
      <c r="C1087" s="25" t="str">
        <f>IFERROR(__xludf.DUMMYFUNCTION("""COMPUTED_VALUE"""),"")</f>
        <v/>
      </c>
      <c r="D1087" s="25" t="str">
        <f>IFERROR(__xludf.DUMMYFUNCTION("""COMPUTED_VALUE"""),"")</f>
        <v/>
      </c>
    </row>
    <row r="1088">
      <c r="A1088" s="45"/>
      <c r="C1088" s="25" t="str">
        <f>IFERROR(__xludf.DUMMYFUNCTION("""COMPUTED_VALUE"""),"")</f>
        <v/>
      </c>
      <c r="D1088" s="25" t="str">
        <f>IFERROR(__xludf.DUMMYFUNCTION("""COMPUTED_VALUE"""),"")</f>
        <v/>
      </c>
    </row>
    <row r="1089">
      <c r="A1089" s="45"/>
      <c r="C1089" s="25" t="str">
        <f>IFERROR(__xludf.DUMMYFUNCTION("""COMPUTED_VALUE"""),"")</f>
        <v/>
      </c>
      <c r="D1089" s="25" t="str">
        <f>IFERROR(__xludf.DUMMYFUNCTION("""COMPUTED_VALUE"""),"")</f>
        <v/>
      </c>
    </row>
    <row r="1090">
      <c r="A1090" s="45"/>
      <c r="C1090" s="25" t="str">
        <f>IFERROR(__xludf.DUMMYFUNCTION("""COMPUTED_VALUE"""),"")</f>
        <v/>
      </c>
      <c r="D1090" s="25" t="str">
        <f>IFERROR(__xludf.DUMMYFUNCTION("""COMPUTED_VALUE"""),"")</f>
        <v/>
      </c>
    </row>
    <row r="1091">
      <c r="A1091" s="45"/>
      <c r="C1091" s="25" t="str">
        <f>IFERROR(__xludf.DUMMYFUNCTION("""COMPUTED_VALUE"""),"")</f>
        <v/>
      </c>
      <c r="D1091" s="25" t="str">
        <f>IFERROR(__xludf.DUMMYFUNCTION("""COMPUTED_VALUE"""),"")</f>
        <v/>
      </c>
    </row>
    <row r="1092">
      <c r="A1092" s="45"/>
      <c r="C1092" s="25" t="str">
        <f>IFERROR(__xludf.DUMMYFUNCTION("""COMPUTED_VALUE"""),"")</f>
        <v/>
      </c>
      <c r="D1092" s="25" t="str">
        <f>IFERROR(__xludf.DUMMYFUNCTION("""COMPUTED_VALUE"""),"")</f>
        <v/>
      </c>
    </row>
    <row r="1093">
      <c r="A1093" s="45"/>
      <c r="C1093" s="25" t="str">
        <f>IFERROR(__xludf.DUMMYFUNCTION("""COMPUTED_VALUE"""),"")</f>
        <v/>
      </c>
      <c r="D1093" s="25" t="str">
        <f>IFERROR(__xludf.DUMMYFUNCTION("""COMPUTED_VALUE"""),"")</f>
        <v/>
      </c>
    </row>
    <row r="1094">
      <c r="A1094" s="45"/>
      <c r="C1094" s="25" t="str">
        <f>IFERROR(__xludf.DUMMYFUNCTION("""COMPUTED_VALUE"""),"")</f>
        <v/>
      </c>
      <c r="D1094" s="25" t="str">
        <f>IFERROR(__xludf.DUMMYFUNCTION("""COMPUTED_VALUE"""),"")</f>
        <v/>
      </c>
    </row>
    <row r="1095">
      <c r="A1095" s="45"/>
      <c r="C1095" s="25" t="str">
        <f>IFERROR(__xludf.DUMMYFUNCTION("""COMPUTED_VALUE"""),"")</f>
        <v/>
      </c>
      <c r="D1095" s="25" t="str">
        <f>IFERROR(__xludf.DUMMYFUNCTION("""COMPUTED_VALUE"""),"")</f>
        <v/>
      </c>
    </row>
    <row r="1096">
      <c r="A1096" s="45"/>
      <c r="C1096" s="25" t="str">
        <f>IFERROR(__xludf.DUMMYFUNCTION("""COMPUTED_VALUE"""),"")</f>
        <v/>
      </c>
      <c r="D1096" s="25" t="str">
        <f>IFERROR(__xludf.DUMMYFUNCTION("""COMPUTED_VALUE"""),"")</f>
        <v/>
      </c>
    </row>
    <row r="1097">
      <c r="A1097" s="45"/>
      <c r="C1097" s="25" t="str">
        <f>IFERROR(__xludf.DUMMYFUNCTION("""COMPUTED_VALUE"""),"")</f>
        <v/>
      </c>
      <c r="D1097" s="25" t="str">
        <f>IFERROR(__xludf.DUMMYFUNCTION("""COMPUTED_VALUE"""),"")</f>
        <v/>
      </c>
    </row>
    <row r="1098">
      <c r="A1098" s="45"/>
      <c r="C1098" s="25" t="str">
        <f>IFERROR(__xludf.DUMMYFUNCTION("""COMPUTED_VALUE"""),"")</f>
        <v/>
      </c>
      <c r="D1098" s="25" t="str">
        <f>IFERROR(__xludf.DUMMYFUNCTION("""COMPUTED_VALUE"""),"")</f>
        <v/>
      </c>
    </row>
    <row r="1099">
      <c r="A1099" s="45"/>
      <c r="C1099" s="25" t="str">
        <f>IFERROR(__xludf.DUMMYFUNCTION("""COMPUTED_VALUE"""),"")</f>
        <v/>
      </c>
      <c r="D1099" s="25" t="str">
        <f>IFERROR(__xludf.DUMMYFUNCTION("""COMPUTED_VALUE"""),"")</f>
        <v/>
      </c>
    </row>
    <row r="1100">
      <c r="A1100" s="45"/>
      <c r="C1100" s="25" t="str">
        <f>IFERROR(__xludf.DUMMYFUNCTION("""COMPUTED_VALUE"""),"")</f>
        <v/>
      </c>
      <c r="D1100" s="25" t="str">
        <f>IFERROR(__xludf.DUMMYFUNCTION("""COMPUTED_VALUE"""),"")</f>
        <v/>
      </c>
    </row>
    <row r="1101">
      <c r="A1101" s="45"/>
      <c r="C1101" s="25" t="str">
        <f>IFERROR(__xludf.DUMMYFUNCTION("""COMPUTED_VALUE"""),"")</f>
        <v/>
      </c>
      <c r="D1101" s="25" t="str">
        <f>IFERROR(__xludf.DUMMYFUNCTION("""COMPUTED_VALUE"""),"")</f>
        <v/>
      </c>
    </row>
    <row r="1102">
      <c r="A1102" s="45"/>
      <c r="C1102" s="25" t="str">
        <f>IFERROR(__xludf.DUMMYFUNCTION("""COMPUTED_VALUE"""),"")</f>
        <v/>
      </c>
      <c r="D1102" s="25" t="str">
        <f>IFERROR(__xludf.DUMMYFUNCTION("""COMPUTED_VALUE"""),"")</f>
        <v/>
      </c>
    </row>
    <row r="1103">
      <c r="A1103" s="45"/>
      <c r="C1103" s="25" t="str">
        <f>IFERROR(__xludf.DUMMYFUNCTION("""COMPUTED_VALUE"""),"")</f>
        <v/>
      </c>
      <c r="D1103" s="25" t="str">
        <f>IFERROR(__xludf.DUMMYFUNCTION("""COMPUTED_VALUE"""),"")</f>
        <v/>
      </c>
    </row>
    <row r="1104">
      <c r="A1104" s="45"/>
      <c r="C1104" s="25" t="str">
        <f>IFERROR(__xludf.DUMMYFUNCTION("""COMPUTED_VALUE"""),"")</f>
        <v/>
      </c>
      <c r="D1104" s="25" t="str">
        <f>IFERROR(__xludf.DUMMYFUNCTION("""COMPUTED_VALUE"""),"")</f>
        <v/>
      </c>
    </row>
    <row r="1105">
      <c r="A1105" s="45"/>
      <c r="C1105" s="25" t="str">
        <f>IFERROR(__xludf.DUMMYFUNCTION("""COMPUTED_VALUE"""),"")</f>
        <v/>
      </c>
      <c r="D1105" s="25" t="str">
        <f>IFERROR(__xludf.DUMMYFUNCTION("""COMPUTED_VALUE"""),"")</f>
        <v/>
      </c>
    </row>
    <row r="1106">
      <c r="A1106" s="45"/>
      <c r="C1106" s="25" t="str">
        <f>IFERROR(__xludf.DUMMYFUNCTION("""COMPUTED_VALUE"""),"")</f>
        <v/>
      </c>
      <c r="D1106" s="25" t="str">
        <f>IFERROR(__xludf.DUMMYFUNCTION("""COMPUTED_VALUE"""),"")</f>
        <v/>
      </c>
    </row>
    <row r="1107">
      <c r="A1107" s="45"/>
      <c r="C1107" s="25" t="str">
        <f>IFERROR(__xludf.DUMMYFUNCTION("""COMPUTED_VALUE"""),"")</f>
        <v/>
      </c>
      <c r="D1107" s="25" t="str">
        <f>IFERROR(__xludf.DUMMYFUNCTION("""COMPUTED_VALUE"""),"")</f>
        <v/>
      </c>
    </row>
    <row r="1108">
      <c r="A1108" s="45"/>
      <c r="C1108" s="25" t="str">
        <f>IFERROR(__xludf.DUMMYFUNCTION("""COMPUTED_VALUE"""),"")</f>
        <v/>
      </c>
      <c r="D1108" s="25" t="str">
        <f>IFERROR(__xludf.DUMMYFUNCTION("""COMPUTED_VALUE"""),"")</f>
        <v/>
      </c>
    </row>
    <row r="1109">
      <c r="A1109" s="45"/>
      <c r="C1109" s="25" t="str">
        <f>IFERROR(__xludf.DUMMYFUNCTION("""COMPUTED_VALUE"""),"")</f>
        <v/>
      </c>
      <c r="D1109" s="25" t="str">
        <f>IFERROR(__xludf.DUMMYFUNCTION("""COMPUTED_VALUE"""),"")</f>
        <v/>
      </c>
    </row>
    <row r="1110">
      <c r="A1110" s="45"/>
      <c r="C1110" s="25" t="str">
        <f>IFERROR(__xludf.DUMMYFUNCTION("""COMPUTED_VALUE"""),"")</f>
        <v/>
      </c>
      <c r="D1110" s="25" t="str">
        <f>IFERROR(__xludf.DUMMYFUNCTION("""COMPUTED_VALUE"""),"")</f>
        <v/>
      </c>
    </row>
    <row r="1111">
      <c r="A1111" s="45"/>
      <c r="C1111" s="25" t="str">
        <f>IFERROR(__xludf.DUMMYFUNCTION("""COMPUTED_VALUE"""),"")</f>
        <v/>
      </c>
      <c r="D1111" s="25" t="str">
        <f>IFERROR(__xludf.DUMMYFUNCTION("""COMPUTED_VALUE"""),"")</f>
        <v/>
      </c>
    </row>
    <row r="1112">
      <c r="A1112" s="45"/>
      <c r="C1112" s="25" t="str">
        <f>IFERROR(__xludf.DUMMYFUNCTION("""COMPUTED_VALUE"""),"")</f>
        <v/>
      </c>
      <c r="D1112" s="25" t="str">
        <f>IFERROR(__xludf.DUMMYFUNCTION("""COMPUTED_VALUE"""),"")</f>
        <v/>
      </c>
    </row>
    <row r="1113">
      <c r="A1113" s="45"/>
      <c r="C1113" s="25" t="str">
        <f>IFERROR(__xludf.DUMMYFUNCTION("""COMPUTED_VALUE"""),"")</f>
        <v/>
      </c>
      <c r="D1113" s="25" t="str">
        <f>IFERROR(__xludf.DUMMYFUNCTION("""COMPUTED_VALUE"""),"")</f>
        <v/>
      </c>
    </row>
    <row r="1114">
      <c r="A1114" s="45"/>
      <c r="C1114" s="25" t="str">
        <f>IFERROR(__xludf.DUMMYFUNCTION("""COMPUTED_VALUE"""),"")</f>
        <v/>
      </c>
      <c r="D1114" s="25" t="str">
        <f>IFERROR(__xludf.DUMMYFUNCTION("""COMPUTED_VALUE"""),"")</f>
        <v/>
      </c>
    </row>
    <row r="1115">
      <c r="A1115" s="45"/>
      <c r="C1115" s="25" t="str">
        <f>IFERROR(__xludf.DUMMYFUNCTION("""COMPUTED_VALUE"""),"")</f>
        <v/>
      </c>
      <c r="D1115" s="25" t="str">
        <f>IFERROR(__xludf.DUMMYFUNCTION("""COMPUTED_VALUE"""),"")</f>
        <v/>
      </c>
    </row>
    <row r="1116">
      <c r="A1116" s="45"/>
      <c r="C1116" s="25" t="str">
        <f>IFERROR(__xludf.DUMMYFUNCTION("""COMPUTED_VALUE"""),"")</f>
        <v/>
      </c>
      <c r="D1116" s="25" t="str">
        <f>IFERROR(__xludf.DUMMYFUNCTION("""COMPUTED_VALUE"""),"")</f>
        <v/>
      </c>
    </row>
    <row r="1117">
      <c r="A1117" s="45"/>
      <c r="C1117" s="25" t="str">
        <f>IFERROR(__xludf.DUMMYFUNCTION("""COMPUTED_VALUE"""),"")</f>
        <v/>
      </c>
      <c r="D1117" s="25" t="str">
        <f>IFERROR(__xludf.DUMMYFUNCTION("""COMPUTED_VALUE"""),"")</f>
        <v/>
      </c>
    </row>
    <row r="1118">
      <c r="A1118" s="45"/>
      <c r="C1118" s="25" t="str">
        <f>IFERROR(__xludf.DUMMYFUNCTION("""COMPUTED_VALUE"""),"")</f>
        <v/>
      </c>
      <c r="D1118" s="25" t="str">
        <f>IFERROR(__xludf.DUMMYFUNCTION("""COMPUTED_VALUE"""),"")</f>
        <v/>
      </c>
    </row>
    <row r="1119">
      <c r="A1119" s="45"/>
      <c r="C1119" s="25" t="str">
        <f>IFERROR(__xludf.DUMMYFUNCTION("""COMPUTED_VALUE"""),"")</f>
        <v/>
      </c>
      <c r="D1119" s="25" t="str">
        <f>IFERROR(__xludf.DUMMYFUNCTION("""COMPUTED_VALUE"""),"")</f>
        <v/>
      </c>
    </row>
    <row r="1120">
      <c r="A1120" s="45"/>
      <c r="C1120" s="25" t="str">
        <f>IFERROR(__xludf.DUMMYFUNCTION("""COMPUTED_VALUE"""),"")</f>
        <v/>
      </c>
      <c r="D1120" s="25" t="str">
        <f>IFERROR(__xludf.DUMMYFUNCTION("""COMPUTED_VALUE"""),"")</f>
        <v/>
      </c>
    </row>
    <row r="1121">
      <c r="A1121" s="45"/>
      <c r="C1121" s="25" t="str">
        <f>IFERROR(__xludf.DUMMYFUNCTION("""COMPUTED_VALUE"""),"")</f>
        <v/>
      </c>
      <c r="D1121" s="25" t="str">
        <f>IFERROR(__xludf.DUMMYFUNCTION("""COMPUTED_VALUE"""),"")</f>
        <v/>
      </c>
    </row>
    <row r="1122">
      <c r="A1122" s="45"/>
      <c r="C1122" s="25" t="str">
        <f>IFERROR(__xludf.DUMMYFUNCTION("""COMPUTED_VALUE"""),"")</f>
        <v/>
      </c>
      <c r="D1122" s="25" t="str">
        <f>IFERROR(__xludf.DUMMYFUNCTION("""COMPUTED_VALUE"""),"")</f>
        <v/>
      </c>
    </row>
    <row r="1123">
      <c r="A1123" s="45"/>
      <c r="C1123" s="25" t="str">
        <f>IFERROR(__xludf.DUMMYFUNCTION("""COMPUTED_VALUE"""),"")</f>
        <v/>
      </c>
      <c r="D1123" s="25" t="str">
        <f>IFERROR(__xludf.DUMMYFUNCTION("""COMPUTED_VALUE"""),"")</f>
        <v/>
      </c>
    </row>
    <row r="1124">
      <c r="A1124" s="45"/>
      <c r="C1124" s="25" t="str">
        <f>IFERROR(__xludf.DUMMYFUNCTION("""COMPUTED_VALUE"""),"")</f>
        <v/>
      </c>
      <c r="D1124" s="25" t="str">
        <f>IFERROR(__xludf.DUMMYFUNCTION("""COMPUTED_VALUE"""),"")</f>
        <v/>
      </c>
    </row>
    <row r="1125">
      <c r="A1125" s="45"/>
      <c r="C1125" s="25" t="str">
        <f>IFERROR(__xludf.DUMMYFUNCTION("""COMPUTED_VALUE"""),"")</f>
        <v/>
      </c>
      <c r="D1125" s="25" t="str">
        <f>IFERROR(__xludf.DUMMYFUNCTION("""COMPUTED_VALUE"""),"")</f>
        <v/>
      </c>
    </row>
    <row r="1126">
      <c r="A1126" s="45"/>
      <c r="C1126" s="25" t="str">
        <f>IFERROR(__xludf.DUMMYFUNCTION("""COMPUTED_VALUE"""),"")</f>
        <v/>
      </c>
      <c r="D1126" s="25" t="str">
        <f>IFERROR(__xludf.DUMMYFUNCTION("""COMPUTED_VALUE"""),"")</f>
        <v/>
      </c>
    </row>
    <row r="1127">
      <c r="A1127" s="45"/>
      <c r="C1127" s="25" t="str">
        <f>IFERROR(__xludf.DUMMYFUNCTION("""COMPUTED_VALUE"""),"")</f>
        <v/>
      </c>
      <c r="D1127" s="25" t="str">
        <f>IFERROR(__xludf.DUMMYFUNCTION("""COMPUTED_VALUE"""),"")</f>
        <v/>
      </c>
    </row>
    <row r="1128">
      <c r="A1128" s="45"/>
      <c r="C1128" s="25" t="str">
        <f>IFERROR(__xludf.DUMMYFUNCTION("""COMPUTED_VALUE"""),"")</f>
        <v/>
      </c>
      <c r="D1128" s="25" t="str">
        <f>IFERROR(__xludf.DUMMYFUNCTION("""COMPUTED_VALUE"""),"")</f>
        <v/>
      </c>
    </row>
    <row r="1129">
      <c r="A1129" s="45"/>
      <c r="C1129" s="25" t="str">
        <f>IFERROR(__xludf.DUMMYFUNCTION("""COMPUTED_VALUE"""),"")</f>
        <v/>
      </c>
      <c r="D1129" s="25" t="str">
        <f>IFERROR(__xludf.DUMMYFUNCTION("""COMPUTED_VALUE"""),"")</f>
        <v/>
      </c>
    </row>
    <row r="1130">
      <c r="A1130" s="45"/>
      <c r="C1130" s="25" t="str">
        <f>IFERROR(__xludf.DUMMYFUNCTION("""COMPUTED_VALUE"""),"")</f>
        <v/>
      </c>
      <c r="D1130" s="25" t="str">
        <f>IFERROR(__xludf.DUMMYFUNCTION("""COMPUTED_VALUE"""),"")</f>
        <v/>
      </c>
    </row>
    <row r="1131">
      <c r="A1131" s="45"/>
      <c r="C1131" s="25" t="str">
        <f>IFERROR(__xludf.DUMMYFUNCTION("""COMPUTED_VALUE"""),"")</f>
        <v/>
      </c>
      <c r="D1131" s="25" t="str">
        <f>IFERROR(__xludf.DUMMYFUNCTION("""COMPUTED_VALUE"""),"")</f>
        <v/>
      </c>
    </row>
    <row r="1132">
      <c r="A1132" s="45"/>
      <c r="C1132" s="25" t="str">
        <f>IFERROR(__xludf.DUMMYFUNCTION("""COMPUTED_VALUE"""),"")</f>
        <v/>
      </c>
      <c r="D1132" s="25" t="str">
        <f>IFERROR(__xludf.DUMMYFUNCTION("""COMPUTED_VALUE"""),"")</f>
        <v/>
      </c>
    </row>
    <row r="1133">
      <c r="A1133" s="45"/>
      <c r="C1133" s="25" t="str">
        <f>IFERROR(__xludf.DUMMYFUNCTION("""COMPUTED_VALUE"""),"")</f>
        <v/>
      </c>
      <c r="D1133" s="25" t="str">
        <f>IFERROR(__xludf.DUMMYFUNCTION("""COMPUTED_VALUE"""),"")</f>
        <v/>
      </c>
    </row>
    <row r="1134">
      <c r="A1134" s="45"/>
      <c r="C1134" s="25" t="str">
        <f>IFERROR(__xludf.DUMMYFUNCTION("""COMPUTED_VALUE"""),"")</f>
        <v/>
      </c>
      <c r="D1134" s="25" t="str">
        <f>IFERROR(__xludf.DUMMYFUNCTION("""COMPUTED_VALUE"""),"")</f>
        <v/>
      </c>
    </row>
    <row r="1135">
      <c r="A1135" s="45"/>
      <c r="C1135" s="25" t="str">
        <f>IFERROR(__xludf.DUMMYFUNCTION("""COMPUTED_VALUE"""),"")</f>
        <v/>
      </c>
      <c r="D1135" s="25" t="str">
        <f>IFERROR(__xludf.DUMMYFUNCTION("""COMPUTED_VALUE"""),"")</f>
        <v/>
      </c>
    </row>
    <row r="1136">
      <c r="A1136" s="45"/>
      <c r="C1136" s="25" t="str">
        <f>IFERROR(__xludf.DUMMYFUNCTION("""COMPUTED_VALUE"""),"")</f>
        <v/>
      </c>
      <c r="D1136" s="25" t="str">
        <f>IFERROR(__xludf.DUMMYFUNCTION("""COMPUTED_VALUE"""),"")</f>
        <v/>
      </c>
    </row>
    <row r="1137">
      <c r="A1137" s="45"/>
      <c r="C1137" s="25" t="str">
        <f>IFERROR(__xludf.DUMMYFUNCTION("""COMPUTED_VALUE"""),"")</f>
        <v/>
      </c>
      <c r="D1137" s="25" t="str">
        <f>IFERROR(__xludf.DUMMYFUNCTION("""COMPUTED_VALUE"""),"")</f>
        <v/>
      </c>
    </row>
    <row r="1138">
      <c r="A1138" s="45"/>
      <c r="C1138" s="25" t="str">
        <f>IFERROR(__xludf.DUMMYFUNCTION("""COMPUTED_VALUE"""),"")</f>
        <v/>
      </c>
      <c r="D1138" s="25" t="str">
        <f>IFERROR(__xludf.DUMMYFUNCTION("""COMPUTED_VALUE"""),"")</f>
        <v/>
      </c>
    </row>
    <row r="1139">
      <c r="A1139" s="45"/>
      <c r="C1139" s="25" t="str">
        <f>IFERROR(__xludf.DUMMYFUNCTION("""COMPUTED_VALUE"""),"")</f>
        <v/>
      </c>
      <c r="D1139" s="25" t="str">
        <f>IFERROR(__xludf.DUMMYFUNCTION("""COMPUTED_VALUE"""),"")</f>
        <v/>
      </c>
    </row>
    <row r="1140">
      <c r="A1140" s="45"/>
      <c r="C1140" s="25" t="str">
        <f>IFERROR(__xludf.DUMMYFUNCTION("""COMPUTED_VALUE"""),"")</f>
        <v/>
      </c>
      <c r="D1140" s="25" t="str">
        <f>IFERROR(__xludf.DUMMYFUNCTION("""COMPUTED_VALUE"""),"")</f>
        <v/>
      </c>
    </row>
    <row r="1141">
      <c r="A1141" s="45"/>
      <c r="C1141" s="25" t="str">
        <f>IFERROR(__xludf.DUMMYFUNCTION("""COMPUTED_VALUE"""),"")</f>
        <v/>
      </c>
      <c r="D1141" s="25" t="str">
        <f>IFERROR(__xludf.DUMMYFUNCTION("""COMPUTED_VALUE"""),"")</f>
        <v/>
      </c>
    </row>
    <row r="1142">
      <c r="A1142" s="45"/>
      <c r="C1142" s="25" t="str">
        <f>IFERROR(__xludf.DUMMYFUNCTION("""COMPUTED_VALUE"""),"")</f>
        <v/>
      </c>
      <c r="D1142" s="25" t="str">
        <f>IFERROR(__xludf.DUMMYFUNCTION("""COMPUTED_VALUE"""),"")</f>
        <v/>
      </c>
    </row>
    <row r="1143">
      <c r="A1143" s="45"/>
      <c r="C1143" s="25" t="str">
        <f>IFERROR(__xludf.DUMMYFUNCTION("""COMPUTED_VALUE"""),"")</f>
        <v/>
      </c>
      <c r="D1143" s="25" t="str">
        <f>IFERROR(__xludf.DUMMYFUNCTION("""COMPUTED_VALUE"""),"")</f>
        <v/>
      </c>
    </row>
    <row r="1144">
      <c r="A1144" s="45"/>
      <c r="C1144" s="25" t="str">
        <f>IFERROR(__xludf.DUMMYFUNCTION("""COMPUTED_VALUE"""),"")</f>
        <v/>
      </c>
      <c r="D1144" s="25" t="str">
        <f>IFERROR(__xludf.DUMMYFUNCTION("""COMPUTED_VALUE"""),"")</f>
        <v/>
      </c>
    </row>
    <row r="1145">
      <c r="A1145" s="45"/>
      <c r="C1145" s="25" t="str">
        <f>IFERROR(__xludf.DUMMYFUNCTION("""COMPUTED_VALUE"""),"")</f>
        <v/>
      </c>
      <c r="D1145" s="25" t="str">
        <f>IFERROR(__xludf.DUMMYFUNCTION("""COMPUTED_VALUE"""),"")</f>
        <v/>
      </c>
    </row>
    <row r="1146">
      <c r="A1146" s="45"/>
      <c r="C1146" s="25" t="str">
        <f>IFERROR(__xludf.DUMMYFUNCTION("""COMPUTED_VALUE"""),"")</f>
        <v/>
      </c>
      <c r="D1146" s="25" t="str">
        <f>IFERROR(__xludf.DUMMYFUNCTION("""COMPUTED_VALUE"""),"")</f>
        <v/>
      </c>
    </row>
    <row r="1147">
      <c r="A1147" s="45"/>
      <c r="C1147" s="25" t="str">
        <f>IFERROR(__xludf.DUMMYFUNCTION("""COMPUTED_VALUE"""),"")</f>
        <v/>
      </c>
      <c r="D1147" s="25" t="str">
        <f>IFERROR(__xludf.DUMMYFUNCTION("""COMPUTED_VALUE"""),"")</f>
        <v/>
      </c>
    </row>
    <row r="1148">
      <c r="A1148" s="45"/>
      <c r="C1148" s="25" t="str">
        <f>IFERROR(__xludf.DUMMYFUNCTION("""COMPUTED_VALUE"""),"")</f>
        <v/>
      </c>
      <c r="D1148" s="25" t="str">
        <f>IFERROR(__xludf.DUMMYFUNCTION("""COMPUTED_VALUE"""),"")</f>
        <v/>
      </c>
    </row>
    <row r="1149">
      <c r="A1149" s="45"/>
      <c r="C1149" s="25" t="str">
        <f>IFERROR(__xludf.DUMMYFUNCTION("""COMPUTED_VALUE"""),"")</f>
        <v/>
      </c>
      <c r="D1149" s="25" t="str">
        <f>IFERROR(__xludf.DUMMYFUNCTION("""COMPUTED_VALUE"""),"")</f>
        <v/>
      </c>
    </row>
    <row r="1150">
      <c r="A1150" s="45"/>
      <c r="C1150" s="25" t="str">
        <f>IFERROR(__xludf.DUMMYFUNCTION("""COMPUTED_VALUE"""),"")</f>
        <v/>
      </c>
      <c r="D1150" s="25" t="str">
        <f>IFERROR(__xludf.DUMMYFUNCTION("""COMPUTED_VALUE"""),"")</f>
        <v/>
      </c>
    </row>
    <row r="1151">
      <c r="A1151" s="45"/>
      <c r="C1151" s="25" t="str">
        <f>IFERROR(__xludf.DUMMYFUNCTION("""COMPUTED_VALUE"""),"")</f>
        <v/>
      </c>
      <c r="D1151" s="25" t="str">
        <f>IFERROR(__xludf.DUMMYFUNCTION("""COMPUTED_VALUE"""),"")</f>
        <v/>
      </c>
    </row>
    <row r="1152">
      <c r="A1152" s="45"/>
      <c r="C1152" s="25" t="str">
        <f>IFERROR(__xludf.DUMMYFUNCTION("""COMPUTED_VALUE"""),"")</f>
        <v/>
      </c>
      <c r="D1152" s="25" t="str">
        <f>IFERROR(__xludf.DUMMYFUNCTION("""COMPUTED_VALUE"""),"")</f>
        <v/>
      </c>
    </row>
    <row r="1153">
      <c r="A1153" s="45"/>
      <c r="C1153" s="25" t="str">
        <f>IFERROR(__xludf.DUMMYFUNCTION("""COMPUTED_VALUE"""),"")</f>
        <v/>
      </c>
      <c r="D1153" s="25" t="str">
        <f>IFERROR(__xludf.DUMMYFUNCTION("""COMPUTED_VALUE"""),"")</f>
        <v/>
      </c>
    </row>
    <row r="1154">
      <c r="A1154" s="45"/>
      <c r="C1154" s="25" t="str">
        <f>IFERROR(__xludf.DUMMYFUNCTION("""COMPUTED_VALUE"""),"")</f>
        <v/>
      </c>
      <c r="D1154" s="25" t="str">
        <f>IFERROR(__xludf.DUMMYFUNCTION("""COMPUTED_VALUE"""),"")</f>
        <v/>
      </c>
    </row>
    <row r="1155">
      <c r="A1155" s="45"/>
      <c r="C1155" s="25" t="str">
        <f>IFERROR(__xludf.DUMMYFUNCTION("""COMPUTED_VALUE"""),"")</f>
        <v/>
      </c>
      <c r="D1155" s="25" t="str">
        <f>IFERROR(__xludf.DUMMYFUNCTION("""COMPUTED_VALUE"""),"")</f>
        <v/>
      </c>
    </row>
    <row r="1156">
      <c r="A1156" s="45"/>
      <c r="C1156" s="25" t="str">
        <f>IFERROR(__xludf.DUMMYFUNCTION("""COMPUTED_VALUE"""),"")</f>
        <v/>
      </c>
      <c r="D1156" s="25" t="str">
        <f>IFERROR(__xludf.DUMMYFUNCTION("""COMPUTED_VALUE"""),"")</f>
        <v/>
      </c>
    </row>
    <row r="1157">
      <c r="A1157" s="45"/>
      <c r="C1157" s="25" t="str">
        <f>IFERROR(__xludf.DUMMYFUNCTION("""COMPUTED_VALUE"""),"")</f>
        <v/>
      </c>
      <c r="D1157" s="25" t="str">
        <f>IFERROR(__xludf.DUMMYFUNCTION("""COMPUTED_VALUE"""),"")</f>
        <v/>
      </c>
    </row>
    <row r="1158">
      <c r="A1158" s="45"/>
      <c r="C1158" s="25" t="str">
        <f>IFERROR(__xludf.DUMMYFUNCTION("""COMPUTED_VALUE"""),"")</f>
        <v/>
      </c>
      <c r="D1158" s="25" t="str">
        <f>IFERROR(__xludf.DUMMYFUNCTION("""COMPUTED_VALUE"""),"")</f>
        <v/>
      </c>
    </row>
    <row r="1159">
      <c r="A1159" s="45"/>
      <c r="C1159" s="25" t="str">
        <f>IFERROR(__xludf.DUMMYFUNCTION("""COMPUTED_VALUE"""),"")</f>
        <v/>
      </c>
      <c r="D1159" s="25" t="str">
        <f>IFERROR(__xludf.DUMMYFUNCTION("""COMPUTED_VALUE"""),"")</f>
        <v/>
      </c>
    </row>
    <row r="1160">
      <c r="A1160" s="45"/>
      <c r="C1160" s="25" t="str">
        <f>IFERROR(__xludf.DUMMYFUNCTION("""COMPUTED_VALUE"""),"")</f>
        <v/>
      </c>
      <c r="D1160" s="25" t="str">
        <f>IFERROR(__xludf.DUMMYFUNCTION("""COMPUTED_VALUE"""),"")</f>
        <v/>
      </c>
    </row>
    <row r="1161">
      <c r="A1161" s="45"/>
      <c r="C1161" s="25" t="str">
        <f>IFERROR(__xludf.DUMMYFUNCTION("""COMPUTED_VALUE"""),"")</f>
        <v/>
      </c>
      <c r="D1161" s="25" t="str">
        <f>IFERROR(__xludf.DUMMYFUNCTION("""COMPUTED_VALUE"""),"")</f>
        <v/>
      </c>
    </row>
    <row r="1162">
      <c r="A1162" s="45"/>
      <c r="C1162" s="25" t="str">
        <f>IFERROR(__xludf.DUMMYFUNCTION("""COMPUTED_VALUE"""),"")</f>
        <v/>
      </c>
      <c r="D1162" s="25" t="str">
        <f>IFERROR(__xludf.DUMMYFUNCTION("""COMPUTED_VALUE"""),"")</f>
        <v/>
      </c>
    </row>
    <row r="1163">
      <c r="A1163" s="45"/>
      <c r="C1163" s="25" t="str">
        <f>IFERROR(__xludf.DUMMYFUNCTION("""COMPUTED_VALUE"""),"")</f>
        <v/>
      </c>
      <c r="D1163" s="25" t="str">
        <f>IFERROR(__xludf.DUMMYFUNCTION("""COMPUTED_VALUE"""),"")</f>
        <v/>
      </c>
    </row>
    <row r="1164">
      <c r="A1164" s="45"/>
      <c r="C1164" s="25" t="str">
        <f>IFERROR(__xludf.DUMMYFUNCTION("""COMPUTED_VALUE"""),"")</f>
        <v/>
      </c>
      <c r="D1164" s="25" t="str">
        <f>IFERROR(__xludf.DUMMYFUNCTION("""COMPUTED_VALUE"""),"")</f>
        <v/>
      </c>
    </row>
    <row r="1165">
      <c r="A1165" s="45"/>
      <c r="C1165" s="25" t="str">
        <f>IFERROR(__xludf.DUMMYFUNCTION("""COMPUTED_VALUE"""),"")</f>
        <v/>
      </c>
      <c r="D1165" s="25" t="str">
        <f>IFERROR(__xludf.DUMMYFUNCTION("""COMPUTED_VALUE"""),"")</f>
        <v/>
      </c>
    </row>
    <row r="1166">
      <c r="A1166" s="45"/>
      <c r="C1166" s="25" t="str">
        <f>IFERROR(__xludf.DUMMYFUNCTION("""COMPUTED_VALUE"""),"")</f>
        <v/>
      </c>
      <c r="D1166" s="25" t="str">
        <f>IFERROR(__xludf.DUMMYFUNCTION("""COMPUTED_VALUE"""),"")</f>
        <v/>
      </c>
    </row>
    <row r="1167">
      <c r="A1167" s="45"/>
      <c r="C1167" s="25" t="str">
        <f>IFERROR(__xludf.DUMMYFUNCTION("""COMPUTED_VALUE"""),"")</f>
        <v/>
      </c>
      <c r="D1167" s="25" t="str">
        <f>IFERROR(__xludf.DUMMYFUNCTION("""COMPUTED_VALUE"""),"")</f>
        <v/>
      </c>
    </row>
    <row r="1168">
      <c r="A1168" s="45"/>
      <c r="C1168" s="25" t="str">
        <f>IFERROR(__xludf.DUMMYFUNCTION("""COMPUTED_VALUE"""),"")</f>
        <v/>
      </c>
      <c r="D1168" s="25" t="str">
        <f>IFERROR(__xludf.DUMMYFUNCTION("""COMPUTED_VALUE"""),"")</f>
        <v/>
      </c>
    </row>
    <row r="1169">
      <c r="A1169" s="45"/>
      <c r="C1169" s="25" t="str">
        <f>IFERROR(__xludf.DUMMYFUNCTION("""COMPUTED_VALUE"""),"")</f>
        <v/>
      </c>
      <c r="D1169" s="25" t="str">
        <f>IFERROR(__xludf.DUMMYFUNCTION("""COMPUTED_VALUE"""),"")</f>
        <v/>
      </c>
    </row>
    <row r="1170">
      <c r="A1170" s="45"/>
      <c r="C1170" s="25" t="str">
        <f>IFERROR(__xludf.DUMMYFUNCTION("""COMPUTED_VALUE"""),"")</f>
        <v/>
      </c>
      <c r="D1170" s="25" t="str">
        <f>IFERROR(__xludf.DUMMYFUNCTION("""COMPUTED_VALUE"""),"")</f>
        <v/>
      </c>
    </row>
    <row r="1171">
      <c r="A1171" s="45"/>
      <c r="C1171" s="25" t="str">
        <f>IFERROR(__xludf.DUMMYFUNCTION("""COMPUTED_VALUE"""),"")</f>
        <v/>
      </c>
      <c r="D1171" s="25" t="str">
        <f>IFERROR(__xludf.DUMMYFUNCTION("""COMPUTED_VALUE"""),"")</f>
        <v/>
      </c>
    </row>
    <row r="1172">
      <c r="A1172" s="45"/>
      <c r="C1172" s="25" t="str">
        <f>IFERROR(__xludf.DUMMYFUNCTION("""COMPUTED_VALUE"""),"")</f>
        <v/>
      </c>
      <c r="D1172" s="25" t="str">
        <f>IFERROR(__xludf.DUMMYFUNCTION("""COMPUTED_VALUE"""),"")</f>
        <v/>
      </c>
    </row>
    <row r="1173">
      <c r="A1173" s="45"/>
      <c r="C1173" s="25" t="str">
        <f>IFERROR(__xludf.DUMMYFUNCTION("""COMPUTED_VALUE"""),"")</f>
        <v/>
      </c>
      <c r="D1173" s="25" t="str">
        <f>IFERROR(__xludf.DUMMYFUNCTION("""COMPUTED_VALUE"""),"")</f>
        <v/>
      </c>
    </row>
    <row r="1174">
      <c r="A1174" s="45"/>
      <c r="C1174" s="25" t="str">
        <f>IFERROR(__xludf.DUMMYFUNCTION("""COMPUTED_VALUE"""),"")</f>
        <v/>
      </c>
      <c r="D1174" s="25" t="str">
        <f>IFERROR(__xludf.DUMMYFUNCTION("""COMPUTED_VALUE"""),"")</f>
        <v/>
      </c>
    </row>
    <row r="1175">
      <c r="A1175" s="45"/>
      <c r="C1175" s="25" t="str">
        <f>IFERROR(__xludf.DUMMYFUNCTION("""COMPUTED_VALUE"""),"")</f>
        <v/>
      </c>
      <c r="D1175" s="25" t="str">
        <f>IFERROR(__xludf.DUMMYFUNCTION("""COMPUTED_VALUE"""),"")</f>
        <v/>
      </c>
    </row>
    <row r="1176">
      <c r="A1176" s="45"/>
      <c r="C1176" s="25" t="str">
        <f>IFERROR(__xludf.DUMMYFUNCTION("""COMPUTED_VALUE"""),"")</f>
        <v/>
      </c>
      <c r="D1176" s="25" t="str">
        <f>IFERROR(__xludf.DUMMYFUNCTION("""COMPUTED_VALUE"""),"")</f>
        <v/>
      </c>
    </row>
    <row r="1177">
      <c r="A1177" s="45"/>
      <c r="C1177" s="25" t="str">
        <f>IFERROR(__xludf.DUMMYFUNCTION("""COMPUTED_VALUE"""),"")</f>
        <v/>
      </c>
      <c r="D1177" s="25" t="str">
        <f>IFERROR(__xludf.DUMMYFUNCTION("""COMPUTED_VALUE"""),"")</f>
        <v/>
      </c>
    </row>
    <row r="1178">
      <c r="A1178" s="45"/>
      <c r="C1178" s="25" t="str">
        <f>IFERROR(__xludf.DUMMYFUNCTION("""COMPUTED_VALUE"""),"")</f>
        <v/>
      </c>
      <c r="D1178" s="25" t="str">
        <f>IFERROR(__xludf.DUMMYFUNCTION("""COMPUTED_VALUE"""),"")</f>
        <v/>
      </c>
    </row>
    <row r="1179">
      <c r="A1179" s="45"/>
      <c r="C1179" s="25" t="str">
        <f>IFERROR(__xludf.DUMMYFUNCTION("""COMPUTED_VALUE"""),"")</f>
        <v/>
      </c>
      <c r="D1179" s="25" t="str">
        <f>IFERROR(__xludf.DUMMYFUNCTION("""COMPUTED_VALUE"""),"")</f>
        <v/>
      </c>
    </row>
    <row r="1180">
      <c r="A1180" s="45"/>
      <c r="C1180" s="25" t="str">
        <f>IFERROR(__xludf.DUMMYFUNCTION("""COMPUTED_VALUE"""),"")</f>
        <v/>
      </c>
      <c r="D1180" s="25" t="str">
        <f>IFERROR(__xludf.DUMMYFUNCTION("""COMPUTED_VALUE"""),"")</f>
        <v/>
      </c>
    </row>
    <row r="1181">
      <c r="A1181" s="45"/>
      <c r="C1181" s="25" t="str">
        <f>IFERROR(__xludf.DUMMYFUNCTION("""COMPUTED_VALUE"""),"")</f>
        <v/>
      </c>
      <c r="D1181" s="25" t="str">
        <f>IFERROR(__xludf.DUMMYFUNCTION("""COMPUTED_VALUE"""),"")</f>
        <v/>
      </c>
    </row>
    <row r="1182">
      <c r="A1182" s="45"/>
      <c r="C1182" s="25" t="str">
        <f>IFERROR(__xludf.DUMMYFUNCTION("""COMPUTED_VALUE"""),"")</f>
        <v/>
      </c>
      <c r="D1182" s="25" t="str">
        <f>IFERROR(__xludf.DUMMYFUNCTION("""COMPUTED_VALUE"""),"")</f>
        <v/>
      </c>
    </row>
    <row r="1183">
      <c r="A1183" s="45"/>
      <c r="C1183" s="25" t="str">
        <f>IFERROR(__xludf.DUMMYFUNCTION("""COMPUTED_VALUE"""),"")</f>
        <v/>
      </c>
      <c r="D1183" s="25" t="str">
        <f>IFERROR(__xludf.DUMMYFUNCTION("""COMPUTED_VALUE"""),"")</f>
        <v/>
      </c>
    </row>
    <row r="1184">
      <c r="A1184" s="45"/>
      <c r="C1184" s="25" t="str">
        <f>IFERROR(__xludf.DUMMYFUNCTION("""COMPUTED_VALUE"""),"")</f>
        <v/>
      </c>
      <c r="D1184" s="25" t="str">
        <f>IFERROR(__xludf.DUMMYFUNCTION("""COMPUTED_VALUE"""),"")</f>
        <v/>
      </c>
    </row>
    <row r="1185">
      <c r="A1185" s="45"/>
      <c r="C1185" s="25" t="str">
        <f>IFERROR(__xludf.DUMMYFUNCTION("""COMPUTED_VALUE"""),"")</f>
        <v/>
      </c>
      <c r="D1185" s="25" t="str">
        <f>IFERROR(__xludf.DUMMYFUNCTION("""COMPUTED_VALUE"""),"")</f>
        <v/>
      </c>
    </row>
    <row r="1186">
      <c r="A1186" s="45"/>
      <c r="C1186" s="25" t="str">
        <f>IFERROR(__xludf.DUMMYFUNCTION("""COMPUTED_VALUE"""),"")</f>
        <v/>
      </c>
      <c r="D1186" s="25" t="str">
        <f>IFERROR(__xludf.DUMMYFUNCTION("""COMPUTED_VALUE"""),"")</f>
        <v/>
      </c>
    </row>
    <row r="1187">
      <c r="A1187" s="45"/>
      <c r="C1187" s="25" t="str">
        <f>IFERROR(__xludf.DUMMYFUNCTION("""COMPUTED_VALUE"""),"")</f>
        <v/>
      </c>
      <c r="D1187" s="25" t="str">
        <f>IFERROR(__xludf.DUMMYFUNCTION("""COMPUTED_VALUE"""),"")</f>
        <v/>
      </c>
    </row>
    <row r="1188">
      <c r="A1188" s="45"/>
      <c r="C1188" s="25" t="str">
        <f>IFERROR(__xludf.DUMMYFUNCTION("""COMPUTED_VALUE"""),"")</f>
        <v/>
      </c>
      <c r="D1188" s="25" t="str">
        <f>IFERROR(__xludf.DUMMYFUNCTION("""COMPUTED_VALUE"""),"")</f>
        <v/>
      </c>
    </row>
    <row r="1189">
      <c r="A1189" s="45"/>
      <c r="C1189" s="25" t="str">
        <f>IFERROR(__xludf.DUMMYFUNCTION("""COMPUTED_VALUE"""),"")</f>
        <v/>
      </c>
      <c r="D1189" s="25" t="str">
        <f>IFERROR(__xludf.DUMMYFUNCTION("""COMPUTED_VALUE"""),"")</f>
        <v/>
      </c>
    </row>
    <row r="1190">
      <c r="A1190" s="45"/>
      <c r="C1190" s="25" t="str">
        <f>IFERROR(__xludf.DUMMYFUNCTION("""COMPUTED_VALUE"""),"")</f>
        <v/>
      </c>
      <c r="D1190" s="25" t="str">
        <f>IFERROR(__xludf.DUMMYFUNCTION("""COMPUTED_VALUE"""),"")</f>
        <v/>
      </c>
    </row>
    <row r="1191">
      <c r="A1191" s="45"/>
      <c r="C1191" s="25" t="str">
        <f>IFERROR(__xludf.DUMMYFUNCTION("""COMPUTED_VALUE"""),"")</f>
        <v/>
      </c>
      <c r="D1191" s="25" t="str">
        <f>IFERROR(__xludf.DUMMYFUNCTION("""COMPUTED_VALUE"""),"")</f>
        <v/>
      </c>
    </row>
    <row r="1192">
      <c r="A1192" s="45"/>
      <c r="C1192" s="25" t="str">
        <f>IFERROR(__xludf.DUMMYFUNCTION("""COMPUTED_VALUE"""),"")</f>
        <v/>
      </c>
      <c r="D1192" s="25" t="str">
        <f>IFERROR(__xludf.DUMMYFUNCTION("""COMPUTED_VALUE"""),"")</f>
        <v/>
      </c>
    </row>
    <row r="1193">
      <c r="A1193" s="45"/>
      <c r="C1193" s="25" t="str">
        <f>IFERROR(__xludf.DUMMYFUNCTION("""COMPUTED_VALUE"""),"")</f>
        <v/>
      </c>
      <c r="D1193" s="25" t="str">
        <f>IFERROR(__xludf.DUMMYFUNCTION("""COMPUTED_VALUE"""),"")</f>
        <v/>
      </c>
    </row>
    <row r="1194">
      <c r="A1194" s="45"/>
      <c r="C1194" s="25" t="str">
        <f>IFERROR(__xludf.DUMMYFUNCTION("""COMPUTED_VALUE"""),"")</f>
        <v/>
      </c>
      <c r="D1194" s="25" t="str">
        <f>IFERROR(__xludf.DUMMYFUNCTION("""COMPUTED_VALUE"""),"")</f>
        <v/>
      </c>
    </row>
    <row r="1195">
      <c r="A1195" s="45"/>
      <c r="C1195" s="25" t="str">
        <f>IFERROR(__xludf.DUMMYFUNCTION("""COMPUTED_VALUE"""),"")</f>
        <v/>
      </c>
      <c r="D1195" s="25" t="str">
        <f>IFERROR(__xludf.DUMMYFUNCTION("""COMPUTED_VALUE"""),"")</f>
        <v/>
      </c>
    </row>
    <row r="1196">
      <c r="A1196" s="45"/>
      <c r="C1196" s="25" t="str">
        <f>IFERROR(__xludf.DUMMYFUNCTION("""COMPUTED_VALUE"""),"")</f>
        <v/>
      </c>
      <c r="D1196" s="25" t="str">
        <f>IFERROR(__xludf.DUMMYFUNCTION("""COMPUTED_VALUE"""),"")</f>
        <v/>
      </c>
    </row>
    <row r="1197">
      <c r="A1197" s="45"/>
      <c r="C1197" s="25" t="str">
        <f>IFERROR(__xludf.DUMMYFUNCTION("""COMPUTED_VALUE"""),"")</f>
        <v/>
      </c>
      <c r="D1197" s="25" t="str">
        <f>IFERROR(__xludf.DUMMYFUNCTION("""COMPUTED_VALUE"""),"")</f>
        <v/>
      </c>
    </row>
    <row r="1198">
      <c r="A1198" s="45"/>
      <c r="C1198" s="25" t="str">
        <f>IFERROR(__xludf.DUMMYFUNCTION("""COMPUTED_VALUE"""),"")</f>
        <v/>
      </c>
      <c r="D1198" s="25" t="str">
        <f>IFERROR(__xludf.DUMMYFUNCTION("""COMPUTED_VALUE"""),"")</f>
        <v/>
      </c>
    </row>
    <row r="1199">
      <c r="A1199" s="45"/>
      <c r="C1199" s="25" t="str">
        <f>IFERROR(__xludf.DUMMYFUNCTION("""COMPUTED_VALUE"""),"")</f>
        <v/>
      </c>
      <c r="D1199" s="25" t="str">
        <f>IFERROR(__xludf.DUMMYFUNCTION("""COMPUTED_VALUE"""),"")</f>
        <v/>
      </c>
    </row>
    <row r="1200">
      <c r="A1200" s="45"/>
      <c r="C1200" s="25" t="str">
        <f>IFERROR(__xludf.DUMMYFUNCTION("""COMPUTED_VALUE"""),"")</f>
        <v/>
      </c>
      <c r="D1200" s="25" t="str">
        <f>IFERROR(__xludf.DUMMYFUNCTION("""COMPUTED_VALUE"""),"")</f>
        <v/>
      </c>
    </row>
    <row r="1201">
      <c r="A1201" s="45"/>
      <c r="C1201" s="25" t="str">
        <f>IFERROR(__xludf.DUMMYFUNCTION("""COMPUTED_VALUE"""),"")</f>
        <v/>
      </c>
      <c r="D1201" s="25" t="str">
        <f>IFERROR(__xludf.DUMMYFUNCTION("""COMPUTED_VALUE"""),"")</f>
        <v/>
      </c>
    </row>
    <row r="1202">
      <c r="A1202" s="45"/>
      <c r="C1202" s="25" t="str">
        <f>IFERROR(__xludf.DUMMYFUNCTION("""COMPUTED_VALUE"""),"")</f>
        <v/>
      </c>
      <c r="D1202" s="25" t="str">
        <f>IFERROR(__xludf.DUMMYFUNCTION("""COMPUTED_VALUE"""),"")</f>
        <v/>
      </c>
    </row>
    <row r="1203">
      <c r="A1203" s="45"/>
      <c r="C1203" s="25" t="str">
        <f>IFERROR(__xludf.DUMMYFUNCTION("""COMPUTED_VALUE"""),"")</f>
        <v/>
      </c>
      <c r="D1203" s="25" t="str">
        <f>IFERROR(__xludf.DUMMYFUNCTION("""COMPUTED_VALUE"""),"")</f>
        <v/>
      </c>
    </row>
    <row r="1204">
      <c r="A1204" s="45"/>
      <c r="C1204" s="25" t="str">
        <f>IFERROR(__xludf.DUMMYFUNCTION("""COMPUTED_VALUE"""),"")</f>
        <v/>
      </c>
      <c r="D1204" s="25" t="str">
        <f>IFERROR(__xludf.DUMMYFUNCTION("""COMPUTED_VALUE"""),"")</f>
        <v/>
      </c>
    </row>
    <row r="1205">
      <c r="A1205" s="45"/>
      <c r="C1205" s="25" t="str">
        <f>IFERROR(__xludf.DUMMYFUNCTION("""COMPUTED_VALUE"""),"")</f>
        <v/>
      </c>
      <c r="D1205" s="25" t="str">
        <f>IFERROR(__xludf.DUMMYFUNCTION("""COMPUTED_VALUE"""),"")</f>
        <v/>
      </c>
    </row>
    <row r="1206">
      <c r="A1206" s="45"/>
      <c r="C1206" s="25" t="str">
        <f>IFERROR(__xludf.DUMMYFUNCTION("""COMPUTED_VALUE"""),"")</f>
        <v/>
      </c>
      <c r="D1206" s="25" t="str">
        <f>IFERROR(__xludf.DUMMYFUNCTION("""COMPUTED_VALUE"""),"")</f>
        <v/>
      </c>
    </row>
    <row r="1207">
      <c r="A1207" s="45"/>
      <c r="C1207" s="25" t="str">
        <f>IFERROR(__xludf.DUMMYFUNCTION("""COMPUTED_VALUE"""),"")</f>
        <v/>
      </c>
      <c r="D1207" s="25" t="str">
        <f>IFERROR(__xludf.DUMMYFUNCTION("""COMPUTED_VALUE"""),"")</f>
        <v/>
      </c>
    </row>
    <row r="1208">
      <c r="A1208" s="45"/>
      <c r="C1208" s="25" t="str">
        <f>IFERROR(__xludf.DUMMYFUNCTION("""COMPUTED_VALUE"""),"")</f>
        <v/>
      </c>
      <c r="D1208" s="25" t="str">
        <f>IFERROR(__xludf.DUMMYFUNCTION("""COMPUTED_VALUE"""),"")</f>
        <v/>
      </c>
    </row>
    <row r="1209">
      <c r="A1209" s="45"/>
      <c r="C1209" s="25" t="str">
        <f>IFERROR(__xludf.DUMMYFUNCTION("""COMPUTED_VALUE"""),"")</f>
        <v/>
      </c>
      <c r="D1209" s="25" t="str">
        <f>IFERROR(__xludf.DUMMYFUNCTION("""COMPUTED_VALUE"""),"")</f>
        <v/>
      </c>
    </row>
  </sheetData>
  <autoFilter ref="$A$1:$J$388">
    <filterColumn colId="2">
      <filters>
        <filter val="MCC046C00003"/>
        <filter val="30000104"/>
        <filter val="30000103"/>
        <filter val="30000108"/>
        <filter val="MCC049UC0288"/>
        <filter val="EMC015MO0007"/>
        <filter val="30000110"/>
        <filter val="MCC015UC0033"/>
        <filter val="MCC015UC0008"/>
        <filter val="30000101"/>
        <filter val="MCC015C00002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51.88"/>
    <col customWidth="1" min="3" max="3" width="14.0"/>
    <col customWidth="1" min="4" max="4" width="14.75"/>
    <col customWidth="1" min="5" max="5" width="8.0"/>
    <col customWidth="1" min="6" max="6" width="17.63"/>
    <col customWidth="1" min="7" max="7" width="7.63"/>
    <col customWidth="1" min="8" max="8" width="26.5"/>
    <col customWidth="1" min="9" max="9" width="58.25"/>
    <col customWidth="1" min="10" max="10" width="15.75"/>
    <col customWidth="1" min="11" max="11" width="17.38"/>
    <col customWidth="1" min="12" max="12" width="22.25"/>
    <col customWidth="1" min="13" max="13" width="33.88"/>
    <col customWidth="1" min="14" max="14" width="26.63"/>
    <col customWidth="1" min="15" max="15" width="24.13"/>
    <col customWidth="1" min="16" max="16" width="19.75"/>
    <col customWidth="1" min="17" max="17" width="20.88"/>
    <col customWidth="1" min="18" max="18" width="14.25"/>
    <col customWidth="1" min="19" max="21" width="11.63"/>
    <col customWidth="1" min="22" max="23" width="11.5"/>
    <col customWidth="1" min="24" max="24" width="11.75"/>
    <col customWidth="1" min="25" max="25" width="11.63"/>
    <col customWidth="1" min="26" max="26" width="10.88"/>
    <col customWidth="1" min="27" max="27" width="11.38"/>
    <col customWidth="1" min="28" max="28" width="11.63"/>
    <col customWidth="1" min="29" max="29" width="11.5"/>
    <col customWidth="1" min="30" max="30" width="11.88"/>
    <col customWidth="1" min="31" max="31" width="11.63"/>
    <col customWidth="1" min="32" max="32" width="11.75"/>
    <col customWidth="1" min="33" max="33" width="11.38"/>
    <col customWidth="1" min="34" max="34" width="11.75"/>
    <col customWidth="1" min="35" max="36" width="21.88"/>
  </cols>
  <sheetData>
    <row r="1" ht="12.75" customHeight="1">
      <c r="A1" s="19" t="s">
        <v>146</v>
      </c>
      <c r="B1" s="19" t="s">
        <v>147</v>
      </c>
      <c r="C1" s="22" t="s">
        <v>1090</v>
      </c>
      <c r="D1" s="22" t="s">
        <v>1091</v>
      </c>
    </row>
    <row r="2" ht="12.75" hidden="1" customHeight="1">
      <c r="A2" s="22" t="s">
        <v>110</v>
      </c>
      <c r="B2" s="27" t="s">
        <v>111</v>
      </c>
      <c r="C2" s="22">
        <v>10.0</v>
      </c>
      <c r="D2" s="22" t="s">
        <v>1092</v>
      </c>
      <c r="F2" s="74"/>
      <c r="H2" s="74"/>
      <c r="AG2" s="74"/>
    </row>
    <row r="3" ht="12.75" hidden="1" customHeight="1">
      <c r="A3" s="22" t="s">
        <v>53</v>
      </c>
      <c r="B3" s="22" t="s">
        <v>54</v>
      </c>
      <c r="C3" s="22">
        <v>118.0</v>
      </c>
      <c r="D3" s="22" t="s">
        <v>1092</v>
      </c>
      <c r="F3" s="74"/>
      <c r="H3" s="74"/>
      <c r="AG3" s="74"/>
    </row>
    <row r="4" ht="12.75" hidden="1" customHeight="1">
      <c r="A4" s="22" t="s">
        <v>119</v>
      </c>
      <c r="B4" s="22" t="s">
        <v>120</v>
      </c>
      <c r="C4" s="22">
        <v>34.0</v>
      </c>
      <c r="D4" s="22" t="s">
        <v>1093</v>
      </c>
      <c r="F4" s="74"/>
      <c r="H4" s="74"/>
    </row>
    <row r="5" ht="12.75" hidden="1" customHeight="1">
      <c r="A5" s="22" t="s">
        <v>139</v>
      </c>
      <c r="B5" s="22" t="s">
        <v>140</v>
      </c>
      <c r="C5" s="22">
        <v>211.0</v>
      </c>
      <c r="D5" s="22" t="s">
        <v>1092</v>
      </c>
      <c r="F5" s="74"/>
      <c r="H5" s="74"/>
    </row>
    <row r="6" ht="12.75" hidden="1" customHeight="1">
      <c r="A6" s="22" t="s">
        <v>62</v>
      </c>
      <c r="B6" s="22" t="s">
        <v>63</v>
      </c>
      <c r="C6" s="22">
        <v>61.0</v>
      </c>
      <c r="D6" s="22" t="s">
        <v>1092</v>
      </c>
      <c r="F6" s="74"/>
      <c r="H6" s="74"/>
    </row>
    <row r="7" ht="12.75" hidden="1" customHeight="1">
      <c r="A7" s="22" t="s">
        <v>158</v>
      </c>
      <c r="B7" s="22" t="s">
        <v>159</v>
      </c>
      <c r="C7" s="22">
        <v>1.0</v>
      </c>
      <c r="D7" s="22" t="s">
        <v>1092</v>
      </c>
    </row>
    <row r="8" ht="12.75" hidden="1" customHeight="1">
      <c r="A8" s="22" t="s">
        <v>47</v>
      </c>
      <c r="B8" s="22" t="s">
        <v>48</v>
      </c>
      <c r="C8" s="22">
        <v>36.0</v>
      </c>
      <c r="D8" s="22" t="s">
        <v>1092</v>
      </c>
      <c r="AG8" s="74"/>
    </row>
    <row r="9" ht="12.75" hidden="1" customHeight="1">
      <c r="A9" s="22" t="s">
        <v>12</v>
      </c>
      <c r="B9" s="22" t="s">
        <v>13</v>
      </c>
      <c r="C9" s="22">
        <v>6.0</v>
      </c>
      <c r="D9" s="22" t="s">
        <v>1093</v>
      </c>
    </row>
    <row r="10" ht="12.75" customHeight="1">
      <c r="A10" s="22" t="s">
        <v>78</v>
      </c>
      <c r="B10" s="22" t="s">
        <v>79</v>
      </c>
      <c r="C10" s="25">
        <v>14.0</v>
      </c>
      <c r="D10" s="22" t="s">
        <v>1094</v>
      </c>
    </row>
    <row r="11" ht="12.75" hidden="1" customHeight="1">
      <c r="A11" s="22" t="s">
        <v>45</v>
      </c>
      <c r="B11" s="22" t="s">
        <v>46</v>
      </c>
      <c r="C11" s="25">
        <v>26.0</v>
      </c>
      <c r="D11" s="22" t="s">
        <v>1092</v>
      </c>
      <c r="F11" s="74"/>
      <c r="H11" s="74"/>
    </row>
    <row r="12" ht="12.75" customHeight="1">
      <c r="A12" s="22" t="s">
        <v>55</v>
      </c>
      <c r="B12" s="22" t="s">
        <v>56</v>
      </c>
      <c r="C12" s="25">
        <v>27.0</v>
      </c>
      <c r="D12" s="22" t="s">
        <v>1094</v>
      </c>
    </row>
    <row r="13" ht="12.75" hidden="1" customHeight="1">
      <c r="A13" s="22" t="s">
        <v>88</v>
      </c>
      <c r="B13" s="22" t="s">
        <v>89</v>
      </c>
      <c r="C13" s="25">
        <v>38.0</v>
      </c>
      <c r="D13" s="22" t="s">
        <v>1092</v>
      </c>
      <c r="F13" s="74"/>
      <c r="H13" s="74"/>
    </row>
    <row r="14" ht="12.75" hidden="1" customHeight="1">
      <c r="A14" s="22" t="s">
        <v>42</v>
      </c>
      <c r="B14" s="22" t="s">
        <v>43</v>
      </c>
      <c r="C14" s="25">
        <v>43.0</v>
      </c>
      <c r="D14" s="22" t="s">
        <v>1092</v>
      </c>
      <c r="F14" s="74"/>
      <c r="H14" s="74"/>
    </row>
    <row r="15" ht="12.75" hidden="1" customHeight="1">
      <c r="A15" s="22" t="s">
        <v>64</v>
      </c>
      <c r="B15" s="22" t="s">
        <v>65</v>
      </c>
      <c r="C15" s="22">
        <v>217.0</v>
      </c>
      <c r="D15" s="22" t="s">
        <v>1092</v>
      </c>
      <c r="F15" s="74"/>
      <c r="H15" s="74"/>
    </row>
    <row r="16" ht="12.75" hidden="1" customHeight="1">
      <c r="A16" s="22" t="s">
        <v>112</v>
      </c>
      <c r="B16" s="22" t="s">
        <v>113</v>
      </c>
      <c r="C16" s="22">
        <v>62.0</v>
      </c>
      <c r="D16" s="22" t="s">
        <v>1092</v>
      </c>
      <c r="F16" s="74"/>
      <c r="H16" s="74"/>
    </row>
    <row r="17" ht="12.75" customHeight="1">
      <c r="A17" s="22" t="s">
        <v>72</v>
      </c>
      <c r="B17" s="22" t="s">
        <v>73</v>
      </c>
      <c r="C17" s="25">
        <v>55.0</v>
      </c>
      <c r="D17" s="22" t="s">
        <v>1094</v>
      </c>
      <c r="F17" s="74"/>
      <c r="H17" s="74"/>
    </row>
    <row r="18" ht="12.75" customHeight="1">
      <c r="A18" s="22" t="s">
        <v>58</v>
      </c>
      <c r="B18" s="22" t="s">
        <v>59</v>
      </c>
      <c r="C18" s="25">
        <v>65.0</v>
      </c>
      <c r="D18" s="22" t="s">
        <v>1094</v>
      </c>
      <c r="F18" s="74"/>
      <c r="H18" s="74"/>
    </row>
    <row r="19" ht="12.75" hidden="1" customHeight="1">
      <c r="A19" s="22" t="s">
        <v>60</v>
      </c>
      <c r="B19" s="22" t="s">
        <v>61</v>
      </c>
      <c r="C19" s="25">
        <v>66.0</v>
      </c>
      <c r="D19" s="22" t="s">
        <v>1093</v>
      </c>
    </row>
    <row r="20" ht="12.75" customHeight="1">
      <c r="A20" s="22" t="s">
        <v>70</v>
      </c>
      <c r="B20" s="22" t="s">
        <v>71</v>
      </c>
      <c r="C20" s="25">
        <v>117.0</v>
      </c>
      <c r="D20" s="22" t="s">
        <v>1094</v>
      </c>
    </row>
    <row r="21" ht="12.75" customHeight="1">
      <c r="A21" s="22" t="s">
        <v>49</v>
      </c>
      <c r="B21" s="22" t="s">
        <v>50</v>
      </c>
      <c r="C21" s="25">
        <v>145.0</v>
      </c>
      <c r="D21" s="22" t="s">
        <v>1094</v>
      </c>
      <c r="F21" s="74"/>
      <c r="H21" s="74"/>
    </row>
    <row r="22" ht="12.75" hidden="1" customHeight="1">
      <c r="A22" s="22" t="s">
        <v>76</v>
      </c>
      <c r="B22" s="27" t="s">
        <v>77</v>
      </c>
      <c r="C22" s="25">
        <v>206.0</v>
      </c>
      <c r="D22" s="22" t="s">
        <v>1092</v>
      </c>
      <c r="F22" s="74"/>
      <c r="H22" s="74"/>
    </row>
    <row r="23" ht="12.75" hidden="1" customHeight="1">
      <c r="A23" s="22" t="s">
        <v>66</v>
      </c>
      <c r="B23" s="22" t="s">
        <v>67</v>
      </c>
      <c r="C23" s="25">
        <v>224.0</v>
      </c>
      <c r="D23" s="22" t="s">
        <v>1092</v>
      </c>
      <c r="F23" s="74"/>
      <c r="H23" s="74"/>
    </row>
    <row r="24" ht="12.75" hidden="1" customHeight="1">
      <c r="A24" s="22" t="s">
        <v>51</v>
      </c>
      <c r="B24" s="22" t="s">
        <v>52</v>
      </c>
      <c r="C24" s="25">
        <v>497.0</v>
      </c>
      <c r="D24" s="22" t="s">
        <v>1092</v>
      </c>
      <c r="F24" s="74"/>
      <c r="H24" s="74"/>
    </row>
    <row r="25" ht="12.75" hidden="1" customHeight="1">
      <c r="A25" s="22" t="s">
        <v>141</v>
      </c>
      <c r="B25" s="22" t="s">
        <v>142</v>
      </c>
      <c r="C25" s="25">
        <v>719.0</v>
      </c>
      <c r="D25" s="22" t="s">
        <v>1092</v>
      </c>
      <c r="F25" s="74"/>
      <c r="H25" s="74"/>
    </row>
    <row r="26" ht="12.75" hidden="1" customHeight="1">
      <c r="A26" s="22" t="s">
        <v>117</v>
      </c>
      <c r="B26" s="22" t="s">
        <v>118</v>
      </c>
      <c r="C26" s="22">
        <v>3.0</v>
      </c>
      <c r="D26" s="22" t="s">
        <v>1092</v>
      </c>
      <c r="F26" s="74"/>
      <c r="H26" s="74"/>
    </row>
    <row r="27" ht="12.75" hidden="1" customHeight="1">
      <c r="A27" s="22" t="s">
        <v>92</v>
      </c>
      <c r="B27" s="22" t="s">
        <v>93</v>
      </c>
      <c r="F27" s="74"/>
      <c r="H27" s="74"/>
    </row>
    <row r="28" ht="12.75" hidden="1" customHeight="1">
      <c r="A28" s="22" t="s">
        <v>94</v>
      </c>
      <c r="B28" s="27" t="s">
        <v>95</v>
      </c>
    </row>
    <row r="29" ht="12.75" hidden="1" customHeight="1">
      <c r="A29" s="22" t="s">
        <v>33</v>
      </c>
      <c r="B29" s="27" t="s">
        <v>34</v>
      </c>
      <c r="F29" s="74"/>
      <c r="H29" s="74"/>
    </row>
    <row r="30" ht="12.75" hidden="1" customHeight="1">
      <c r="A30" s="22" t="s">
        <v>36</v>
      </c>
      <c r="B30" s="27" t="s">
        <v>37</v>
      </c>
      <c r="F30" s="74"/>
      <c r="H30" s="74"/>
    </row>
    <row r="31" ht="12.75" hidden="1" customHeight="1">
      <c r="A31" s="22" t="s">
        <v>82</v>
      </c>
      <c r="B31" s="27" t="s">
        <v>83</v>
      </c>
      <c r="F31" s="74"/>
      <c r="H31" s="74"/>
    </row>
    <row r="32" ht="12.75" hidden="1" customHeight="1">
      <c r="A32" s="22" t="s">
        <v>86</v>
      </c>
      <c r="B32" s="27" t="s">
        <v>87</v>
      </c>
      <c r="F32" s="74"/>
      <c r="H32" s="74"/>
    </row>
    <row r="33" ht="12.75" hidden="1" customHeight="1">
      <c r="A33" s="22" t="s">
        <v>80</v>
      </c>
      <c r="B33" s="27" t="s">
        <v>81</v>
      </c>
      <c r="F33" s="74"/>
      <c r="H33" s="74"/>
    </row>
    <row r="34" ht="12.75" hidden="1" customHeight="1">
      <c r="A34" s="22" t="s">
        <v>84</v>
      </c>
      <c r="B34" s="27" t="s">
        <v>85</v>
      </c>
      <c r="F34" s="74"/>
      <c r="H34" s="74"/>
    </row>
    <row r="35" ht="12.75" hidden="1" customHeight="1">
      <c r="A35" s="22" t="s">
        <v>129</v>
      </c>
      <c r="B35" s="27" t="s">
        <v>130</v>
      </c>
      <c r="F35" s="74"/>
      <c r="H35" s="74"/>
    </row>
    <row r="36" ht="12.75" hidden="1" customHeight="1">
      <c r="A36" s="22" t="s">
        <v>127</v>
      </c>
      <c r="B36" s="27" t="s">
        <v>128</v>
      </c>
      <c r="F36" s="74"/>
      <c r="H36" s="74"/>
    </row>
    <row r="37" ht="12.75" hidden="1" customHeight="1">
      <c r="A37" s="22" t="s">
        <v>23</v>
      </c>
      <c r="B37" s="22" t="s">
        <v>24</v>
      </c>
      <c r="F37" s="74"/>
      <c r="H37" s="74"/>
    </row>
    <row r="38" ht="12.75" hidden="1" customHeight="1">
      <c r="A38" s="22" t="s">
        <v>27</v>
      </c>
      <c r="B38" s="22" t="s">
        <v>28</v>
      </c>
      <c r="F38" s="74"/>
      <c r="H38" s="74"/>
    </row>
    <row r="39" ht="12.75" hidden="1" customHeight="1">
      <c r="A39" s="22" t="s">
        <v>29</v>
      </c>
      <c r="B39" s="22" t="s">
        <v>30</v>
      </c>
      <c r="F39" s="74"/>
      <c r="H39" s="74"/>
    </row>
    <row r="40" ht="12.75" hidden="1" customHeight="1">
      <c r="A40" s="22" t="s">
        <v>38</v>
      </c>
      <c r="B40" s="22" t="s">
        <v>39</v>
      </c>
      <c r="F40" s="74"/>
      <c r="H40" s="74"/>
    </row>
    <row r="41" ht="12.75" hidden="1" customHeight="1">
      <c r="A41" s="22" t="s">
        <v>68</v>
      </c>
      <c r="B41" s="22" t="s">
        <v>69</v>
      </c>
      <c r="F41" s="74"/>
      <c r="H41" s="74"/>
    </row>
    <row r="42" ht="12.75" hidden="1" customHeight="1">
      <c r="A42" s="22" t="s">
        <v>96</v>
      </c>
      <c r="B42" s="22" t="s">
        <v>97</v>
      </c>
      <c r="F42" s="74"/>
      <c r="H42" s="74"/>
    </row>
    <row r="43" ht="12.75" hidden="1" customHeight="1">
      <c r="A43" s="22" t="s">
        <v>98</v>
      </c>
      <c r="B43" s="22" t="s">
        <v>99</v>
      </c>
      <c r="F43" s="74"/>
      <c r="H43" s="74"/>
    </row>
    <row r="44" ht="12.75" hidden="1" customHeight="1">
      <c r="A44" s="22" t="s">
        <v>100</v>
      </c>
      <c r="B44" s="22" t="s">
        <v>101</v>
      </c>
      <c r="F44" s="74"/>
      <c r="H44" s="74"/>
    </row>
    <row r="45" ht="12.75" hidden="1" customHeight="1">
      <c r="A45" s="22" t="s">
        <v>102</v>
      </c>
      <c r="B45" s="22" t="s">
        <v>103</v>
      </c>
    </row>
    <row r="46" ht="12.75" hidden="1" customHeight="1">
      <c r="A46" s="22" t="s">
        <v>104</v>
      </c>
      <c r="B46" s="22" t="s">
        <v>105</v>
      </c>
    </row>
    <row r="47" ht="12.75" hidden="1" customHeight="1">
      <c r="A47" s="22" t="s">
        <v>106</v>
      </c>
      <c r="B47" s="22" t="s">
        <v>107</v>
      </c>
    </row>
    <row r="48" ht="12.75" hidden="1" customHeight="1">
      <c r="A48" s="22" t="s">
        <v>108</v>
      </c>
      <c r="B48" s="22" t="s">
        <v>109</v>
      </c>
    </row>
    <row r="49" ht="12.75" hidden="1" customHeight="1">
      <c r="A49" s="22" t="s">
        <v>121</v>
      </c>
      <c r="B49" s="22" t="s">
        <v>122</v>
      </c>
      <c r="F49" s="74"/>
      <c r="H49" s="74"/>
    </row>
    <row r="50" ht="12.75" hidden="1" customHeight="1">
      <c r="A50" s="22" t="s">
        <v>125</v>
      </c>
      <c r="B50" s="27" t="s">
        <v>126</v>
      </c>
    </row>
    <row r="51" ht="12.75" hidden="1" customHeight="1">
      <c r="A51" s="22" t="s">
        <v>133</v>
      </c>
      <c r="B51" s="22" t="s">
        <v>134</v>
      </c>
    </row>
    <row r="52" ht="12.75" hidden="1" customHeight="1">
      <c r="A52" s="22" t="s">
        <v>137</v>
      </c>
      <c r="B52" s="22" t="s">
        <v>138</v>
      </c>
      <c r="M52" s="74"/>
    </row>
    <row r="53" ht="12.75" hidden="1" customHeight="1">
      <c r="A53" s="22" t="s">
        <v>25</v>
      </c>
      <c r="B53" s="22" t="s">
        <v>26</v>
      </c>
    </row>
    <row r="54" ht="12.75" hidden="1" customHeight="1">
      <c r="A54" s="22" t="s">
        <v>90</v>
      </c>
      <c r="B54" s="22" t="s">
        <v>91</v>
      </c>
    </row>
    <row r="55" ht="12.75" hidden="1" customHeight="1">
      <c r="A55" s="22" t="s">
        <v>9</v>
      </c>
      <c r="B55" s="22" t="s">
        <v>10</v>
      </c>
    </row>
    <row r="56" ht="12.75" hidden="1" customHeight="1">
      <c r="A56" s="22" t="s">
        <v>40</v>
      </c>
      <c r="B56" s="22" t="s">
        <v>41</v>
      </c>
      <c r="F56" s="74"/>
      <c r="H56" s="74"/>
    </row>
    <row r="57" ht="12.75" hidden="1" customHeight="1">
      <c r="A57" s="22" t="s">
        <v>74</v>
      </c>
      <c r="B57" s="22" t="s">
        <v>75</v>
      </c>
      <c r="F57" s="74"/>
      <c r="H57" s="74"/>
    </row>
    <row r="58" ht="12.75" hidden="1" customHeight="1">
      <c r="A58" s="22" t="s">
        <v>123</v>
      </c>
      <c r="B58" s="22" t="s">
        <v>124</v>
      </c>
      <c r="F58" s="74"/>
      <c r="H58" s="74"/>
    </row>
    <row r="59" ht="12.75" hidden="1" customHeight="1">
      <c r="A59" s="22" t="s">
        <v>135</v>
      </c>
      <c r="B59" s="22" t="s">
        <v>136</v>
      </c>
    </row>
    <row r="60" ht="12.75" hidden="1" customHeight="1">
      <c r="A60" s="22" t="s">
        <v>143</v>
      </c>
      <c r="B60" s="22" t="s">
        <v>144</v>
      </c>
      <c r="F60" s="74"/>
      <c r="H60" s="74"/>
    </row>
    <row r="61" ht="12.75" hidden="1" customHeight="1">
      <c r="A61" s="22" t="s">
        <v>31</v>
      </c>
      <c r="B61" s="22" t="s">
        <v>32</v>
      </c>
      <c r="F61" s="74"/>
      <c r="H61" s="74"/>
    </row>
    <row r="62" ht="12.75" hidden="1" customHeight="1">
      <c r="A62" s="22" t="s">
        <v>131</v>
      </c>
      <c r="B62" s="22" t="s">
        <v>132</v>
      </c>
    </row>
    <row r="63" ht="12.75" hidden="1" customHeight="1">
      <c r="A63" s="22">
        <v>3.0000107E7</v>
      </c>
      <c r="B63" s="22" t="s">
        <v>15</v>
      </c>
      <c r="F63" s="74"/>
      <c r="H63" s="74"/>
    </row>
    <row r="64" ht="12.75" hidden="1" customHeight="1">
      <c r="A64" s="22">
        <v>3.0000108E7</v>
      </c>
      <c r="B64" s="22" t="s">
        <v>16</v>
      </c>
    </row>
    <row r="65" ht="12.75" hidden="1" customHeight="1">
      <c r="A65" s="22">
        <v>3.0000109E7</v>
      </c>
      <c r="B65" s="22" t="s">
        <v>17</v>
      </c>
    </row>
    <row r="66" ht="12.75" hidden="1" customHeight="1">
      <c r="A66" s="22">
        <v>3.000011E7</v>
      </c>
      <c r="B66" s="22" t="s">
        <v>18</v>
      </c>
    </row>
    <row r="67" ht="12.75" hidden="1" customHeight="1">
      <c r="A67" s="22">
        <v>3.0000101E7</v>
      </c>
      <c r="B67" s="22" t="s">
        <v>19</v>
      </c>
    </row>
    <row r="68" ht="12.75" hidden="1" customHeight="1">
      <c r="A68" s="22">
        <v>3.0000103E7</v>
      </c>
      <c r="B68" s="22" t="s">
        <v>20</v>
      </c>
    </row>
    <row r="69" ht="12.75" hidden="1" customHeight="1">
      <c r="A69" s="22">
        <v>3.0000104E7</v>
      </c>
      <c r="B69" s="22" t="s">
        <v>21</v>
      </c>
    </row>
    <row r="70" ht="12.75" hidden="1" customHeight="1">
      <c r="A70" s="22">
        <v>3.0000102E7</v>
      </c>
      <c r="B70" s="22" t="s">
        <v>22</v>
      </c>
    </row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F84" s="74"/>
      <c r="H84" s="74"/>
    </row>
    <row r="85" ht="12.75" customHeight="1"/>
    <row r="86" ht="12.75" customHeight="1">
      <c r="F86" s="74"/>
      <c r="H86" s="74"/>
    </row>
    <row r="87" ht="12.75" customHeight="1">
      <c r="F87" s="74"/>
      <c r="H87" s="74"/>
    </row>
    <row r="88" ht="12.75" customHeight="1"/>
    <row r="89" ht="12.75" customHeight="1">
      <c r="F89" s="74"/>
      <c r="H89" s="74"/>
    </row>
    <row r="90" ht="12.75" customHeight="1"/>
    <row r="91" ht="12.75" customHeight="1"/>
    <row r="92" ht="12.75" customHeight="1">
      <c r="F92" s="74"/>
      <c r="H92" s="74"/>
    </row>
    <row r="93" ht="12.75" customHeight="1"/>
    <row r="94" ht="12.75" customHeight="1">
      <c r="F94" s="74"/>
      <c r="H94" s="74"/>
    </row>
    <row r="95" ht="12.75" customHeight="1"/>
    <row r="96" ht="12.75" customHeight="1"/>
    <row r="97" ht="12.75" customHeight="1"/>
    <row r="98" ht="12.75" customHeight="1">
      <c r="AG98" s="74"/>
    </row>
    <row r="99" ht="12.75" customHeight="1">
      <c r="F99" s="74"/>
      <c r="H99" s="74"/>
    </row>
    <row r="100" ht="12.75" customHeight="1">
      <c r="F100" s="74"/>
      <c r="H100" s="74"/>
    </row>
    <row r="101" ht="12.75" customHeight="1">
      <c r="F101" s="74"/>
      <c r="H101" s="74"/>
    </row>
    <row r="102" ht="12.75" customHeight="1">
      <c r="F102" s="74"/>
      <c r="H102" s="74"/>
    </row>
    <row r="103" ht="12.75" customHeight="1">
      <c r="F103" s="74"/>
      <c r="H103" s="74"/>
    </row>
    <row r="104" ht="12.75" customHeight="1">
      <c r="F104" s="74"/>
      <c r="H104" s="74"/>
    </row>
    <row r="105" ht="12.75" customHeight="1">
      <c r="F105" s="74"/>
      <c r="H105" s="74"/>
    </row>
    <row r="106" ht="12.75" customHeight="1">
      <c r="F106" s="74"/>
      <c r="H106" s="74"/>
    </row>
    <row r="107" ht="12.75" customHeight="1">
      <c r="F107" s="74"/>
      <c r="H107" s="74"/>
    </row>
    <row r="108" ht="12.75" customHeight="1">
      <c r="F108" s="74"/>
      <c r="H108" s="74"/>
    </row>
    <row r="109" ht="12.75" customHeight="1">
      <c r="F109" s="74"/>
      <c r="H109" s="74"/>
    </row>
    <row r="110" ht="12.75" customHeight="1">
      <c r="F110" s="74"/>
      <c r="H110" s="74"/>
    </row>
    <row r="111" ht="12.75" customHeight="1"/>
    <row r="112" ht="12.75" customHeight="1">
      <c r="F112" s="74"/>
      <c r="H112" s="74"/>
    </row>
    <row r="113" ht="12.75" customHeight="1">
      <c r="F113" s="74"/>
      <c r="H113" s="74"/>
    </row>
    <row r="114" ht="12.75" customHeight="1">
      <c r="F114" s="74"/>
      <c r="H114" s="74"/>
    </row>
    <row r="115" ht="12.75" customHeight="1"/>
    <row r="116" ht="12.75" customHeight="1">
      <c r="F116" s="74"/>
      <c r="H116" s="74"/>
    </row>
    <row r="117" ht="12.75" customHeight="1">
      <c r="F117" s="74"/>
      <c r="H117" s="74"/>
    </row>
    <row r="118" ht="12.75" customHeight="1">
      <c r="F118" s="74"/>
      <c r="H118" s="74"/>
    </row>
    <row r="119" ht="12.75" customHeight="1">
      <c r="F119" s="74"/>
      <c r="H119" s="74"/>
    </row>
    <row r="120" ht="12.75" customHeight="1">
      <c r="F120" s="74"/>
      <c r="H120" s="74"/>
    </row>
    <row r="121" ht="12.75" customHeight="1">
      <c r="F121" s="74"/>
      <c r="H121" s="74"/>
    </row>
    <row r="122" ht="12.75" customHeight="1">
      <c r="F122" s="74"/>
      <c r="H122" s="74"/>
    </row>
    <row r="123" ht="12.75" customHeight="1">
      <c r="F123" s="74"/>
      <c r="H123" s="74"/>
    </row>
    <row r="124" ht="12.75" customHeight="1">
      <c r="F124" s="74"/>
      <c r="H124" s="74"/>
    </row>
    <row r="125" ht="12.75" customHeight="1">
      <c r="F125" s="74"/>
      <c r="H125" s="74"/>
    </row>
    <row r="126" ht="12.75" customHeight="1">
      <c r="F126" s="74"/>
      <c r="H126" s="74"/>
    </row>
    <row r="127" ht="12.75" customHeight="1">
      <c r="F127" s="74"/>
      <c r="H127" s="74"/>
    </row>
    <row r="128" ht="12.75" customHeight="1">
      <c r="F128" s="74"/>
      <c r="H128" s="74"/>
    </row>
    <row r="129" ht="12.75" customHeight="1">
      <c r="F129" s="74"/>
      <c r="H129" s="74"/>
    </row>
    <row r="130" ht="12.75" customHeight="1">
      <c r="F130" s="74"/>
      <c r="H130" s="74"/>
    </row>
    <row r="131" ht="12.75" customHeight="1">
      <c r="F131" s="74"/>
      <c r="H131" s="74"/>
    </row>
    <row r="132" ht="12.75" customHeight="1">
      <c r="F132" s="74"/>
      <c r="H132" s="74"/>
    </row>
    <row r="133" ht="12.75" customHeight="1">
      <c r="F133" s="74"/>
      <c r="H133" s="74"/>
    </row>
    <row r="134" ht="12.75" customHeight="1">
      <c r="F134" s="74"/>
      <c r="H134" s="74"/>
    </row>
    <row r="135" ht="12.75" customHeight="1">
      <c r="F135" s="74"/>
      <c r="H135" s="74"/>
    </row>
    <row r="136" ht="12.75" customHeight="1">
      <c r="F136" s="74"/>
      <c r="H136" s="74"/>
    </row>
    <row r="137" ht="12.75" customHeight="1">
      <c r="F137" s="74"/>
      <c r="H137" s="74"/>
    </row>
    <row r="138" ht="12.75" customHeight="1">
      <c r="F138" s="74"/>
      <c r="H138" s="74"/>
    </row>
    <row r="139" ht="12.75" customHeight="1">
      <c r="F139" s="74"/>
      <c r="H139" s="74"/>
    </row>
    <row r="140" ht="12.75" customHeight="1">
      <c r="F140" s="74"/>
      <c r="H140" s="74"/>
    </row>
    <row r="141" ht="12.75" customHeight="1">
      <c r="F141" s="74"/>
      <c r="H141" s="74"/>
    </row>
    <row r="142" ht="12.75" customHeight="1">
      <c r="F142" s="74"/>
      <c r="H142" s="74"/>
    </row>
    <row r="143" ht="12.75" customHeight="1">
      <c r="F143" s="74"/>
      <c r="H143" s="74"/>
    </row>
    <row r="144" ht="12.75" customHeight="1">
      <c r="F144" s="74"/>
      <c r="H144" s="74"/>
    </row>
    <row r="145" ht="12.75" customHeight="1">
      <c r="F145" s="74"/>
      <c r="H145" s="74"/>
    </row>
    <row r="146" ht="12.75" customHeight="1">
      <c r="F146" s="74"/>
      <c r="H146" s="74"/>
    </row>
    <row r="147" ht="12.75" customHeight="1">
      <c r="F147" s="74"/>
      <c r="H147" s="74"/>
    </row>
    <row r="148" ht="12.75" customHeight="1">
      <c r="F148" s="74"/>
      <c r="H148" s="74"/>
    </row>
    <row r="149" ht="12.75" customHeight="1">
      <c r="F149" s="74"/>
      <c r="H149" s="74"/>
    </row>
    <row r="150" ht="12.75" customHeight="1">
      <c r="F150" s="74"/>
      <c r="H150" s="74"/>
    </row>
    <row r="151" ht="12.75" customHeight="1">
      <c r="F151" s="74"/>
      <c r="H151" s="74"/>
    </row>
    <row r="152" ht="12.75" customHeight="1">
      <c r="F152" s="74"/>
      <c r="H152" s="74"/>
    </row>
    <row r="153" ht="12.75" customHeight="1">
      <c r="F153" s="74"/>
      <c r="H153" s="74"/>
    </row>
    <row r="154" ht="12.75" customHeight="1">
      <c r="F154" s="74"/>
      <c r="H154" s="74"/>
    </row>
    <row r="155" ht="12.75" customHeight="1">
      <c r="F155" s="74"/>
      <c r="H155" s="74"/>
    </row>
    <row r="156" ht="12.75" customHeight="1">
      <c r="F156" s="74"/>
      <c r="H156" s="74"/>
    </row>
    <row r="157" ht="12.75" customHeight="1">
      <c r="F157" s="74"/>
      <c r="H157" s="74"/>
    </row>
    <row r="158" ht="12.75" customHeight="1">
      <c r="F158" s="74"/>
      <c r="H158" s="74"/>
    </row>
    <row r="159" ht="12.75" customHeight="1"/>
    <row r="160" ht="12.75" customHeight="1"/>
    <row r="161" ht="12.75" customHeight="1">
      <c r="F161" s="74"/>
      <c r="H161" s="74"/>
    </row>
    <row r="162" ht="12.75" customHeight="1">
      <c r="F162" s="74"/>
      <c r="H162" s="74"/>
    </row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>
      <c r="F176" s="74"/>
      <c r="H176" s="74"/>
    </row>
    <row r="177" ht="12.75" customHeight="1">
      <c r="F177" s="74"/>
      <c r="H177" s="74"/>
    </row>
    <row r="178" ht="12.75" customHeight="1"/>
    <row r="179" ht="12.75" customHeight="1"/>
    <row r="180" ht="12.75" customHeight="1"/>
    <row r="181" ht="12.75" customHeight="1"/>
    <row r="182" ht="12.75" customHeight="1">
      <c r="F182" s="74"/>
      <c r="H182" s="74"/>
    </row>
    <row r="183" ht="12.75" customHeight="1">
      <c r="F183" s="74"/>
      <c r="H183" s="74"/>
    </row>
    <row r="184" ht="12.75" customHeight="1">
      <c r="F184" s="74"/>
      <c r="H184" s="74"/>
    </row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>
      <c r="AG206" s="74"/>
    </row>
    <row r="207" ht="12.75" customHeight="1"/>
    <row r="208" ht="12.75" customHeight="1">
      <c r="F208" s="74"/>
      <c r="H208" s="74"/>
    </row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>
      <c r="F216" s="74"/>
      <c r="H216" s="74"/>
    </row>
    <row r="217" ht="12.75" customHeight="1">
      <c r="F217" s="74"/>
      <c r="H217" s="74"/>
    </row>
    <row r="218" ht="12.75" customHeight="1"/>
    <row r="219" ht="12.75" customHeight="1">
      <c r="F219" s="74"/>
      <c r="H219" s="74"/>
    </row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>
      <c r="F231" s="74"/>
      <c r="H231" s="74"/>
    </row>
    <row r="232" ht="12.75" customHeight="1">
      <c r="F232" s="74"/>
      <c r="H232" s="74"/>
    </row>
    <row r="233" ht="12.75" customHeight="1"/>
    <row r="234" ht="12.75" customHeight="1"/>
    <row r="235" ht="12.75" customHeight="1"/>
    <row r="236" ht="12.75" customHeight="1">
      <c r="F236" s="74"/>
      <c r="H236" s="74"/>
    </row>
    <row r="237" ht="12.75" customHeight="1">
      <c r="F237" s="74"/>
      <c r="H237" s="74"/>
    </row>
    <row r="238" ht="12.75" customHeight="1"/>
    <row r="239" ht="12.75" customHeight="1">
      <c r="F239" s="74"/>
      <c r="H239" s="74"/>
    </row>
    <row r="240" ht="12.75" customHeight="1">
      <c r="F240" s="74"/>
      <c r="H240" s="74"/>
    </row>
    <row r="241" ht="12.75" customHeight="1">
      <c r="F241" s="74"/>
      <c r="H241" s="74"/>
    </row>
    <row r="242" ht="12.75" customHeight="1">
      <c r="F242" s="74"/>
      <c r="H242" s="74"/>
    </row>
    <row r="243" ht="12.75" customHeight="1">
      <c r="F243" s="74"/>
      <c r="H243" s="74"/>
    </row>
    <row r="244" ht="12.75" customHeight="1">
      <c r="F244" s="74"/>
      <c r="H244" s="74"/>
    </row>
    <row r="245" ht="12.75" customHeight="1">
      <c r="F245" s="74"/>
      <c r="H245" s="74"/>
    </row>
    <row r="246" ht="12.75" customHeight="1">
      <c r="F246" s="74"/>
      <c r="H246" s="74"/>
    </row>
    <row r="247" ht="12.75" customHeight="1"/>
    <row r="248" ht="12.75" customHeight="1"/>
    <row r="249" ht="12.75" customHeight="1">
      <c r="F249" s="74"/>
      <c r="H249" s="74"/>
    </row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>
      <c r="F255" s="74"/>
      <c r="H255" s="74"/>
    </row>
    <row r="256" ht="12.75" customHeight="1">
      <c r="F256" s="74"/>
      <c r="H256" s="74"/>
    </row>
    <row r="257" ht="12.75" customHeight="1">
      <c r="F257" s="74"/>
      <c r="H257" s="74"/>
    </row>
    <row r="258" ht="12.75" customHeight="1"/>
    <row r="259" ht="12.75" customHeight="1">
      <c r="F259" s="74"/>
      <c r="H259" s="74"/>
    </row>
    <row r="260" ht="12.75" customHeight="1">
      <c r="F260" s="74"/>
      <c r="H260" s="74"/>
    </row>
    <row r="261" ht="12.75" customHeight="1">
      <c r="F261" s="74"/>
      <c r="H261" s="74"/>
    </row>
    <row r="262" ht="12.75" customHeight="1">
      <c r="F262" s="74"/>
      <c r="H262" s="74"/>
    </row>
    <row r="263" ht="12.75" customHeight="1"/>
    <row r="264" ht="12.75" customHeight="1">
      <c r="F264" s="74"/>
      <c r="H264" s="74"/>
    </row>
    <row r="265" ht="12.75" customHeight="1">
      <c r="F265" s="74"/>
      <c r="H265" s="74"/>
    </row>
    <row r="266" ht="12.75" customHeight="1">
      <c r="F266" s="74"/>
      <c r="H266" s="74"/>
    </row>
    <row r="267" ht="12.75" customHeight="1">
      <c r="F267" s="74"/>
      <c r="H267" s="74"/>
    </row>
    <row r="268" ht="12.75" customHeight="1">
      <c r="F268" s="74"/>
      <c r="H268" s="74"/>
    </row>
    <row r="269" ht="12.75" customHeight="1">
      <c r="F269" s="74"/>
      <c r="H269" s="74"/>
    </row>
    <row r="270" ht="12.75" customHeight="1">
      <c r="F270" s="74"/>
      <c r="H270" s="74"/>
    </row>
    <row r="271" ht="12.75" customHeight="1">
      <c r="F271" s="74"/>
      <c r="H271" s="74"/>
    </row>
    <row r="272" ht="12.75" customHeight="1">
      <c r="F272" s="74"/>
      <c r="H272" s="74"/>
    </row>
    <row r="273" ht="12.75" customHeight="1">
      <c r="F273" s="74"/>
      <c r="H273" s="74"/>
    </row>
    <row r="274" ht="12.75" customHeight="1"/>
    <row r="275" ht="12.75" customHeight="1"/>
    <row r="276" ht="12.75" customHeight="1">
      <c r="F276" s="74"/>
      <c r="H276" s="74"/>
    </row>
    <row r="277" ht="12.75" customHeight="1"/>
    <row r="278" ht="12.75" customHeight="1"/>
    <row r="279" ht="12.75" customHeight="1"/>
    <row r="280" ht="12.75" customHeight="1"/>
    <row r="281" ht="12.75" customHeight="1">
      <c r="F281" s="74"/>
      <c r="H281" s="74"/>
    </row>
    <row r="282" ht="12.75" customHeight="1"/>
    <row r="283" ht="12.75" customHeight="1"/>
    <row r="284" ht="12.75" customHeight="1"/>
    <row r="285" ht="12.75" customHeight="1">
      <c r="F285" s="74"/>
      <c r="H285" s="74"/>
    </row>
    <row r="286" ht="12.75" customHeight="1">
      <c r="F286" s="74"/>
      <c r="H286" s="74"/>
    </row>
    <row r="287" ht="12.75" customHeight="1">
      <c r="F287" s="74"/>
      <c r="H287" s="74"/>
    </row>
    <row r="288" ht="12.75" customHeight="1">
      <c r="F288" s="74"/>
      <c r="H288" s="74"/>
    </row>
    <row r="289" ht="12.75" customHeight="1">
      <c r="F289" s="74"/>
      <c r="H289" s="74"/>
    </row>
    <row r="290" ht="12.75" customHeight="1">
      <c r="F290" s="74"/>
      <c r="H290" s="74"/>
    </row>
    <row r="291" ht="12.75" customHeight="1"/>
    <row r="292" ht="12.75" customHeight="1">
      <c r="F292" s="74"/>
      <c r="H292" s="74"/>
    </row>
    <row r="293" ht="12.75" customHeight="1">
      <c r="F293" s="74"/>
      <c r="H293" s="74"/>
    </row>
    <row r="294" ht="12.75" customHeight="1">
      <c r="F294" s="74"/>
      <c r="H294" s="74"/>
    </row>
    <row r="295" ht="12.75" customHeight="1">
      <c r="F295" s="74"/>
      <c r="H295" s="74"/>
    </row>
    <row r="296" ht="12.75" customHeight="1">
      <c r="F296" s="74"/>
      <c r="H296" s="74"/>
    </row>
    <row r="297" ht="12.75" customHeight="1">
      <c r="F297" s="74"/>
      <c r="H297" s="74"/>
    </row>
    <row r="298" ht="12.75" customHeight="1">
      <c r="F298" s="74"/>
      <c r="H298" s="74"/>
    </row>
    <row r="299" ht="12.75" customHeight="1">
      <c r="F299" s="74"/>
      <c r="H299" s="74"/>
    </row>
    <row r="300" ht="12.75" customHeight="1">
      <c r="F300" s="74"/>
      <c r="H300" s="74"/>
    </row>
    <row r="301" ht="12.75" customHeight="1">
      <c r="F301" s="74"/>
      <c r="H301" s="74"/>
    </row>
    <row r="302" ht="12.75" customHeight="1">
      <c r="F302" s="74"/>
      <c r="H302" s="74"/>
    </row>
    <row r="303" ht="12.75" customHeight="1">
      <c r="F303" s="74"/>
      <c r="H303" s="74"/>
    </row>
    <row r="304" ht="12.75" customHeight="1">
      <c r="F304" s="74"/>
      <c r="H304" s="74"/>
    </row>
    <row r="305" ht="12.75" customHeight="1">
      <c r="F305" s="74"/>
      <c r="H305" s="74"/>
    </row>
    <row r="306" ht="12.75" customHeight="1">
      <c r="F306" s="74"/>
      <c r="H306" s="74"/>
    </row>
    <row r="307" ht="12.75" customHeight="1">
      <c r="F307" s="74"/>
      <c r="H307" s="74"/>
    </row>
    <row r="308" ht="12.75" customHeight="1">
      <c r="F308" s="74"/>
      <c r="H308" s="74"/>
      <c r="Q308" s="74"/>
    </row>
    <row r="309" ht="12.75" customHeight="1">
      <c r="F309" s="74"/>
      <c r="H309" s="74"/>
    </row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>
      <c r="F319" s="74"/>
      <c r="H319" s="74"/>
    </row>
    <row r="320" ht="12.75" customHeight="1">
      <c r="F320" s="74"/>
      <c r="H320" s="74"/>
    </row>
    <row r="321" ht="12.75" customHeight="1">
      <c r="F321" s="74"/>
      <c r="H321" s="74"/>
    </row>
    <row r="322" ht="12.75" customHeight="1">
      <c r="F322" s="74"/>
      <c r="H322" s="74"/>
    </row>
    <row r="323" ht="12.75" customHeight="1">
      <c r="F323" s="74"/>
      <c r="H323" s="74"/>
    </row>
    <row r="324" ht="12.75" customHeight="1">
      <c r="F324" s="74"/>
      <c r="H324" s="74"/>
    </row>
    <row r="325" ht="12.75" customHeight="1">
      <c r="F325" s="74"/>
      <c r="H325" s="74"/>
    </row>
    <row r="326" ht="12.75" customHeight="1">
      <c r="F326" s="74"/>
      <c r="H326" s="74"/>
    </row>
    <row r="327" ht="12.75" customHeight="1">
      <c r="F327" s="74"/>
      <c r="H327" s="74"/>
    </row>
    <row r="328" ht="12.75" customHeight="1">
      <c r="F328" s="74"/>
      <c r="H328" s="74"/>
    </row>
    <row r="329" ht="12.75" customHeight="1">
      <c r="F329" s="74"/>
      <c r="H329" s="74"/>
    </row>
    <row r="330" ht="12.75" customHeight="1">
      <c r="F330" s="74"/>
      <c r="H330" s="74"/>
    </row>
    <row r="331" ht="12.75" customHeight="1"/>
    <row r="332" ht="12.75" customHeight="1">
      <c r="F332" s="74"/>
      <c r="H332" s="74"/>
    </row>
    <row r="333" ht="12.75" customHeight="1">
      <c r="F333" s="74"/>
      <c r="H333" s="74"/>
    </row>
    <row r="334" ht="12.75" customHeight="1">
      <c r="F334" s="74"/>
      <c r="H334" s="74"/>
    </row>
    <row r="335" ht="12.75" customHeight="1">
      <c r="F335" s="74"/>
      <c r="H335" s="74"/>
    </row>
    <row r="336" ht="12.75" customHeight="1">
      <c r="F336" s="74"/>
      <c r="H336" s="74"/>
    </row>
    <row r="337" ht="12.75" customHeight="1">
      <c r="F337" s="74"/>
      <c r="H337" s="74"/>
    </row>
    <row r="338" ht="12.75" customHeight="1">
      <c r="F338" s="74"/>
      <c r="H338" s="74"/>
    </row>
    <row r="339" ht="12.75" customHeight="1">
      <c r="F339" s="74"/>
      <c r="H339" s="74"/>
    </row>
    <row r="340" ht="12.75" customHeight="1">
      <c r="F340" s="74"/>
      <c r="H340" s="74"/>
    </row>
    <row r="341" ht="12.75" customHeight="1">
      <c r="F341" s="74"/>
      <c r="H341" s="74"/>
    </row>
    <row r="342" ht="12.75" customHeight="1">
      <c r="F342" s="74"/>
      <c r="H342" s="74"/>
    </row>
    <row r="343" ht="12.75" customHeight="1">
      <c r="F343" s="74"/>
      <c r="H343" s="74"/>
    </row>
    <row r="344" ht="12.75" customHeight="1">
      <c r="F344" s="74"/>
      <c r="H344" s="74"/>
    </row>
    <row r="345" ht="12.75" customHeight="1">
      <c r="F345" s="74"/>
      <c r="H345" s="74"/>
    </row>
    <row r="346" ht="12.75" customHeight="1">
      <c r="F346" s="74"/>
      <c r="H346" s="74"/>
    </row>
    <row r="347" ht="12.75" customHeight="1">
      <c r="F347" s="74"/>
      <c r="H347" s="74"/>
    </row>
    <row r="348" ht="12.75" customHeight="1">
      <c r="F348" s="74"/>
      <c r="H348" s="74"/>
    </row>
    <row r="349" ht="12.75" customHeight="1">
      <c r="F349" s="74"/>
      <c r="H349" s="74"/>
    </row>
    <row r="350" ht="12.75" customHeight="1">
      <c r="F350" s="74"/>
      <c r="H350" s="74"/>
    </row>
    <row r="351" ht="12.75" customHeight="1">
      <c r="F351" s="74"/>
      <c r="H351" s="74"/>
    </row>
    <row r="352" ht="12.75" customHeight="1">
      <c r="F352" s="74"/>
      <c r="H352" s="74"/>
    </row>
    <row r="353" ht="12.75" customHeight="1">
      <c r="F353" s="74"/>
      <c r="H353" s="74"/>
    </row>
    <row r="354" ht="12.75" customHeight="1">
      <c r="F354" s="74"/>
      <c r="H354" s="74"/>
    </row>
    <row r="355" ht="12.75" customHeight="1">
      <c r="F355" s="74"/>
      <c r="H355" s="74"/>
    </row>
    <row r="356" ht="12.75" customHeight="1">
      <c r="F356" s="74"/>
      <c r="H356" s="74"/>
    </row>
    <row r="357" ht="12.75" customHeight="1">
      <c r="F357" s="74"/>
      <c r="H357" s="74"/>
    </row>
    <row r="358" ht="12.75" customHeight="1">
      <c r="F358" s="74"/>
      <c r="H358" s="74"/>
    </row>
    <row r="359" ht="12.75" customHeight="1"/>
    <row r="360" ht="12.75" customHeight="1">
      <c r="F360" s="74"/>
      <c r="H360" s="74"/>
    </row>
    <row r="361" ht="12.75" customHeight="1"/>
    <row r="362" ht="12.75" customHeight="1">
      <c r="F362" s="74"/>
      <c r="H362" s="74"/>
    </row>
    <row r="363" ht="12.75" customHeight="1"/>
    <row r="364" ht="12.75" customHeight="1">
      <c r="AG364" s="74"/>
    </row>
    <row r="365" ht="12.75" customHeight="1">
      <c r="F365" s="74"/>
      <c r="H365" s="74"/>
    </row>
    <row r="366" ht="12.75" customHeight="1">
      <c r="F366" s="74"/>
      <c r="H366" s="74"/>
    </row>
    <row r="367" ht="12.75" customHeight="1">
      <c r="F367" s="74"/>
      <c r="H367" s="74"/>
    </row>
    <row r="368" ht="12.75" customHeight="1">
      <c r="F368" s="74"/>
      <c r="H368" s="74"/>
    </row>
    <row r="369" ht="12.75" customHeight="1">
      <c r="F369" s="74"/>
      <c r="H369" s="74"/>
    </row>
    <row r="370" ht="12.75" customHeight="1">
      <c r="F370" s="74"/>
      <c r="H370" s="74"/>
    </row>
    <row r="371" ht="12.75" customHeight="1">
      <c r="F371" s="74"/>
      <c r="H371" s="74"/>
    </row>
    <row r="372" ht="12.75" customHeight="1">
      <c r="F372" s="74"/>
      <c r="H372" s="74"/>
    </row>
    <row r="373" ht="12.75" customHeight="1">
      <c r="F373" s="74"/>
      <c r="H373" s="74"/>
    </row>
    <row r="374" ht="12.75" customHeight="1">
      <c r="F374" s="74"/>
      <c r="H374" s="74"/>
    </row>
    <row r="375" ht="12.75" customHeight="1">
      <c r="F375" s="74"/>
      <c r="H375" s="74"/>
    </row>
    <row r="376" ht="12.75" customHeight="1">
      <c r="F376" s="74"/>
      <c r="H376" s="74"/>
    </row>
    <row r="377" ht="12.75" customHeight="1">
      <c r="F377" s="74"/>
      <c r="H377" s="74"/>
    </row>
    <row r="378" ht="12.75" customHeight="1">
      <c r="F378" s="74"/>
      <c r="H378" s="74"/>
    </row>
    <row r="379" ht="12.75" customHeight="1">
      <c r="F379" s="74"/>
      <c r="H379" s="74"/>
    </row>
    <row r="380" ht="12.75" customHeight="1">
      <c r="F380" s="74"/>
      <c r="H380" s="74"/>
    </row>
    <row r="381" ht="12.75" customHeight="1"/>
    <row r="382" ht="12.75" customHeight="1">
      <c r="F382" s="74"/>
      <c r="H382" s="74"/>
    </row>
    <row r="383" ht="12.75" customHeight="1">
      <c r="F383" s="74"/>
      <c r="H383" s="74"/>
    </row>
    <row r="384" ht="12.75" customHeight="1"/>
    <row r="385" ht="12.75" customHeight="1"/>
    <row r="386" ht="12.75" customHeight="1">
      <c r="F386" s="74"/>
      <c r="H386" s="74"/>
    </row>
    <row r="387" ht="12.75" customHeight="1">
      <c r="F387" s="74"/>
      <c r="H387" s="74"/>
    </row>
    <row r="388" ht="12.75" customHeight="1">
      <c r="F388" s="74"/>
      <c r="H388" s="74"/>
    </row>
    <row r="389" ht="12.75" customHeight="1">
      <c r="F389" s="74"/>
      <c r="H389" s="74"/>
    </row>
    <row r="390" ht="12.75" customHeight="1"/>
    <row r="391" ht="12.75" customHeight="1">
      <c r="F391" s="74"/>
      <c r="H391" s="74"/>
    </row>
    <row r="392" ht="12.75" customHeight="1">
      <c r="F392" s="74"/>
      <c r="H392" s="74"/>
    </row>
    <row r="393" ht="12.75" customHeight="1">
      <c r="F393" s="74"/>
      <c r="H393" s="74"/>
    </row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>
      <c r="F400" s="74"/>
      <c r="H400" s="74"/>
    </row>
    <row r="401" ht="12.75" customHeight="1">
      <c r="F401" s="74"/>
      <c r="H401" s="74"/>
    </row>
    <row r="402" ht="12.75" customHeight="1"/>
    <row r="403" ht="12.75" customHeight="1"/>
    <row r="404" ht="12.75" customHeight="1"/>
    <row r="405" ht="12.75" customHeight="1">
      <c r="F405" s="74"/>
      <c r="H405" s="74"/>
    </row>
    <row r="406" ht="12.75" customHeight="1">
      <c r="F406" s="74"/>
      <c r="H406" s="74"/>
    </row>
    <row r="407" ht="12.75" customHeight="1"/>
    <row r="408" ht="12.75" customHeight="1">
      <c r="F408" s="74"/>
      <c r="H408" s="74"/>
    </row>
    <row r="409" ht="12.75" customHeight="1">
      <c r="F409" s="74"/>
      <c r="H409" s="74"/>
    </row>
    <row r="410" ht="12.75" customHeight="1">
      <c r="F410" s="74"/>
      <c r="H410" s="74"/>
    </row>
    <row r="411" ht="12.75" customHeight="1">
      <c r="F411" s="74"/>
      <c r="H411" s="74"/>
    </row>
    <row r="412" ht="12.75" customHeight="1">
      <c r="F412" s="74"/>
      <c r="H412" s="74"/>
    </row>
    <row r="413" ht="12.75" customHeight="1">
      <c r="F413" s="74"/>
      <c r="H413" s="74"/>
    </row>
    <row r="414" ht="12.75" customHeight="1">
      <c r="F414" s="74"/>
      <c r="H414" s="74"/>
    </row>
    <row r="415" ht="12.75" customHeight="1">
      <c r="F415" s="74"/>
      <c r="H415" s="74"/>
    </row>
    <row r="416" ht="12.75" customHeight="1">
      <c r="F416" s="74"/>
      <c r="H416" s="74"/>
    </row>
    <row r="417" ht="12.75" customHeight="1"/>
    <row r="418" ht="12.75" customHeight="1"/>
    <row r="419" ht="12.75" customHeight="1"/>
    <row r="420" ht="12.75" customHeight="1"/>
    <row r="421" ht="12.75" customHeight="1">
      <c r="F421" s="74"/>
      <c r="H421" s="74"/>
    </row>
    <row r="422" ht="12.75" customHeight="1">
      <c r="F422" s="74"/>
      <c r="H422" s="74"/>
    </row>
    <row r="423" ht="12.75" customHeight="1">
      <c r="F423" s="74"/>
      <c r="H423" s="74"/>
    </row>
    <row r="424" ht="12.75" customHeight="1">
      <c r="F424" s="74"/>
      <c r="H424" s="74"/>
    </row>
    <row r="425" ht="12.75" customHeight="1">
      <c r="F425" s="74"/>
      <c r="H425" s="74"/>
    </row>
    <row r="426" ht="12.75" customHeight="1">
      <c r="F426" s="74"/>
      <c r="H426" s="74"/>
    </row>
    <row r="427" ht="12.75" customHeight="1">
      <c r="F427" s="74"/>
      <c r="H427" s="74"/>
    </row>
    <row r="428" ht="12.75" customHeight="1">
      <c r="F428" s="74"/>
      <c r="H428" s="74"/>
    </row>
    <row r="429" ht="12.75" customHeight="1">
      <c r="F429" s="74"/>
      <c r="H429" s="74"/>
    </row>
    <row r="430" ht="12.75" customHeight="1">
      <c r="F430" s="74"/>
      <c r="H430" s="74"/>
    </row>
    <row r="431" ht="12.75" customHeight="1">
      <c r="F431" s="74"/>
      <c r="H431" s="74"/>
    </row>
    <row r="432" ht="12.75" customHeight="1">
      <c r="F432" s="74"/>
      <c r="H432" s="74"/>
    </row>
    <row r="433" ht="12.75" customHeight="1">
      <c r="F433" s="74"/>
      <c r="H433" s="74"/>
    </row>
    <row r="434" ht="12.75" customHeight="1">
      <c r="F434" s="74"/>
      <c r="H434" s="74"/>
    </row>
    <row r="435" ht="12.75" customHeight="1">
      <c r="F435" s="74"/>
      <c r="H435" s="74"/>
    </row>
    <row r="436" ht="12.75" customHeight="1">
      <c r="F436" s="74"/>
      <c r="H436" s="74"/>
    </row>
    <row r="437" ht="12.75" customHeight="1">
      <c r="F437" s="74"/>
      <c r="H437" s="74"/>
    </row>
    <row r="438" ht="12.75" customHeight="1"/>
    <row r="439" ht="12.75" customHeight="1"/>
    <row r="440" ht="12.75" customHeight="1">
      <c r="F440" s="74"/>
      <c r="H440" s="74"/>
    </row>
    <row r="441" ht="12.75" customHeight="1">
      <c r="F441" s="74"/>
      <c r="H441" s="74"/>
    </row>
    <row r="442" ht="12.75" customHeight="1">
      <c r="F442" s="74"/>
      <c r="H442" s="74"/>
    </row>
    <row r="443" ht="12.75" customHeight="1">
      <c r="F443" s="74"/>
      <c r="H443" s="74"/>
    </row>
    <row r="444" ht="12.75" customHeight="1">
      <c r="F444" s="74"/>
      <c r="H444" s="74"/>
    </row>
    <row r="445" ht="12.75" customHeight="1"/>
    <row r="446" ht="12.75" customHeight="1">
      <c r="F446" s="74"/>
      <c r="H446" s="74"/>
    </row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>
      <c r="F454" s="74"/>
      <c r="H454" s="74"/>
    </row>
    <row r="455" ht="12.75" customHeight="1">
      <c r="F455" s="74"/>
      <c r="H455" s="74"/>
    </row>
    <row r="456" ht="12.75" customHeight="1">
      <c r="F456" s="74"/>
      <c r="H456" s="74"/>
    </row>
    <row r="457" ht="12.75" customHeight="1">
      <c r="F457" s="74"/>
      <c r="H457" s="74"/>
    </row>
    <row r="458" ht="12.75" customHeight="1">
      <c r="F458" s="74"/>
      <c r="H458" s="74"/>
    </row>
    <row r="459" ht="12.75" customHeight="1"/>
    <row r="460" ht="12.75" customHeight="1">
      <c r="F460" s="74"/>
      <c r="H460" s="74"/>
    </row>
    <row r="461" ht="12.75" customHeight="1"/>
    <row r="462" ht="12.75" customHeight="1"/>
    <row r="463" ht="12.75" customHeight="1"/>
    <row r="464" ht="12.75" customHeight="1">
      <c r="F464" s="74"/>
      <c r="H464" s="74"/>
    </row>
    <row r="465" ht="12.75" customHeight="1">
      <c r="F465" s="74"/>
      <c r="H465" s="74"/>
    </row>
    <row r="466" ht="12.75" customHeight="1">
      <c r="F466" s="74"/>
      <c r="H466" s="74"/>
    </row>
    <row r="467" ht="12.75" customHeight="1">
      <c r="F467" s="74"/>
      <c r="H467" s="74"/>
    </row>
    <row r="468" ht="12.75" customHeight="1">
      <c r="F468" s="74"/>
      <c r="H468" s="74"/>
    </row>
    <row r="469" ht="12.75" customHeight="1">
      <c r="F469" s="74"/>
      <c r="H469" s="74"/>
    </row>
    <row r="470" ht="12.75" customHeight="1">
      <c r="F470" s="74"/>
      <c r="H470" s="74"/>
    </row>
    <row r="471" ht="12.75" customHeight="1"/>
    <row r="472" ht="12.75" customHeight="1"/>
    <row r="473" ht="12.75" customHeight="1">
      <c r="F473" s="74"/>
      <c r="H473" s="74"/>
    </row>
    <row r="474" ht="12.75" customHeight="1">
      <c r="F474" s="74"/>
      <c r="H474" s="74"/>
    </row>
    <row r="475" ht="12.75" customHeight="1">
      <c r="F475" s="74"/>
      <c r="H475" s="74"/>
    </row>
    <row r="476" ht="12.75" customHeight="1">
      <c r="F476" s="74"/>
      <c r="H476" s="74"/>
    </row>
    <row r="477" ht="12.75" customHeight="1">
      <c r="F477" s="74"/>
      <c r="H477" s="74"/>
    </row>
    <row r="478" ht="12.75" customHeight="1">
      <c r="F478" s="74"/>
      <c r="H478" s="74"/>
    </row>
    <row r="479" ht="12.75" customHeight="1"/>
    <row r="480" ht="12.75" customHeight="1">
      <c r="F480" s="74"/>
      <c r="H480" s="74"/>
    </row>
    <row r="481" ht="12.75" customHeight="1">
      <c r="F481" s="74"/>
      <c r="H481" s="74"/>
    </row>
    <row r="482" ht="12.75" customHeight="1">
      <c r="F482" s="74"/>
      <c r="H482" s="74"/>
    </row>
    <row r="483" ht="12.75" customHeight="1">
      <c r="F483" s="74"/>
      <c r="H483" s="74"/>
    </row>
    <row r="484" ht="12.75" customHeight="1">
      <c r="F484" s="74"/>
      <c r="H484" s="74"/>
    </row>
    <row r="485" ht="12.75" customHeight="1">
      <c r="F485" s="74"/>
      <c r="H485" s="74"/>
    </row>
    <row r="486" ht="12.75" customHeight="1">
      <c r="F486" s="74"/>
      <c r="H486" s="74"/>
    </row>
    <row r="487" ht="12.75" customHeight="1">
      <c r="F487" s="74"/>
      <c r="H487" s="74"/>
    </row>
    <row r="488" ht="12.75" customHeight="1"/>
    <row r="489" ht="12.75" customHeight="1">
      <c r="F489" s="74"/>
      <c r="H489" s="74"/>
    </row>
    <row r="490" ht="12.75" customHeight="1">
      <c r="F490" s="74"/>
      <c r="H490" s="74"/>
    </row>
    <row r="491" ht="12.75" customHeight="1"/>
    <row r="492" ht="12.75" customHeight="1">
      <c r="F492" s="74"/>
      <c r="H492" s="74"/>
    </row>
    <row r="493" ht="12.75" customHeight="1">
      <c r="F493" s="74"/>
      <c r="H493" s="74"/>
    </row>
    <row r="494" ht="12.75" customHeight="1">
      <c r="F494" s="74"/>
      <c r="H494" s="74"/>
    </row>
    <row r="495" ht="12.75" customHeight="1">
      <c r="F495" s="74"/>
      <c r="H495" s="74"/>
    </row>
    <row r="496" ht="12.75" customHeight="1">
      <c r="F496" s="74"/>
      <c r="H496" s="74"/>
    </row>
    <row r="497" ht="12.75" customHeight="1">
      <c r="F497" s="74"/>
      <c r="H497" s="74"/>
    </row>
    <row r="498" ht="12.75" customHeight="1">
      <c r="F498" s="74"/>
      <c r="H498" s="74"/>
    </row>
    <row r="499" ht="12.75" customHeight="1"/>
    <row r="500" ht="12.75" customHeight="1">
      <c r="F500" s="74"/>
      <c r="H500" s="74"/>
    </row>
    <row r="501" ht="12.75" customHeight="1">
      <c r="F501" s="74"/>
      <c r="H501" s="74"/>
    </row>
    <row r="502" ht="12.75" customHeight="1">
      <c r="F502" s="74"/>
      <c r="H502" s="74"/>
    </row>
    <row r="503" ht="12.75" customHeight="1">
      <c r="F503" s="74"/>
      <c r="H503" s="74"/>
    </row>
    <row r="504" ht="12.75" customHeight="1">
      <c r="F504" s="74"/>
      <c r="H504" s="74"/>
    </row>
    <row r="505" ht="12.75" customHeight="1">
      <c r="F505" s="74"/>
      <c r="H505" s="74"/>
    </row>
    <row r="506" ht="12.75" customHeight="1">
      <c r="F506" s="74"/>
      <c r="H506" s="74"/>
    </row>
    <row r="507" ht="12.75" customHeight="1">
      <c r="F507" s="74"/>
      <c r="H507" s="74"/>
    </row>
    <row r="508" ht="12.75" customHeight="1">
      <c r="F508" s="74"/>
      <c r="H508" s="74"/>
    </row>
    <row r="509" ht="12.75" customHeight="1">
      <c r="F509" s="74"/>
      <c r="H509" s="74"/>
    </row>
    <row r="510" ht="12.75" customHeight="1">
      <c r="F510" s="74"/>
      <c r="H510" s="74"/>
    </row>
    <row r="511" ht="12.75" customHeight="1">
      <c r="F511" s="74"/>
      <c r="H511" s="74"/>
    </row>
    <row r="512" ht="12.75" customHeight="1">
      <c r="F512" s="74"/>
      <c r="H512" s="74"/>
    </row>
    <row r="513" ht="12.75" customHeight="1">
      <c r="F513" s="74"/>
      <c r="H513" s="74"/>
    </row>
    <row r="514" ht="12.75" customHeight="1">
      <c r="F514" s="74"/>
      <c r="H514" s="74"/>
    </row>
    <row r="515" ht="12.75" customHeight="1">
      <c r="F515" s="74"/>
      <c r="H515" s="74"/>
    </row>
    <row r="516" ht="12.75" customHeight="1">
      <c r="F516" s="74"/>
      <c r="H516" s="74"/>
    </row>
    <row r="517" ht="12.75" customHeight="1">
      <c r="F517" s="74"/>
      <c r="H517" s="74"/>
    </row>
    <row r="518" ht="12.75" customHeight="1">
      <c r="F518" s="74"/>
      <c r="H518" s="74"/>
    </row>
    <row r="519" ht="12.75" customHeight="1">
      <c r="F519" s="74"/>
      <c r="H519" s="74"/>
    </row>
    <row r="520" ht="12.75" customHeight="1">
      <c r="F520" s="74"/>
      <c r="H520" s="74"/>
    </row>
    <row r="521" ht="12.75" customHeight="1">
      <c r="F521" s="74"/>
      <c r="H521" s="74"/>
    </row>
    <row r="522" ht="12.75" customHeight="1">
      <c r="F522" s="74"/>
      <c r="H522" s="74"/>
    </row>
    <row r="523" ht="12.75" customHeight="1">
      <c r="F523" s="74"/>
      <c r="H523" s="74"/>
    </row>
    <row r="524" ht="12.75" customHeight="1">
      <c r="F524" s="74"/>
      <c r="H524" s="74"/>
    </row>
    <row r="525" ht="12.75" customHeight="1"/>
    <row r="526" ht="12.75" customHeight="1">
      <c r="F526" s="74"/>
      <c r="H526" s="74"/>
    </row>
    <row r="527" ht="12.75" customHeight="1">
      <c r="F527" s="74"/>
      <c r="H527" s="74"/>
    </row>
    <row r="528" ht="12.75" customHeight="1"/>
    <row r="529" ht="12.75" customHeight="1">
      <c r="F529" s="74"/>
      <c r="H529" s="74"/>
    </row>
    <row r="530" ht="12.75" customHeight="1">
      <c r="F530" s="74"/>
      <c r="H530" s="74"/>
    </row>
    <row r="531" ht="12.75" customHeight="1">
      <c r="F531" s="74"/>
      <c r="H531" s="74"/>
    </row>
    <row r="532" ht="12.75" customHeight="1">
      <c r="F532" s="74"/>
      <c r="H532" s="74"/>
    </row>
    <row r="533" ht="12.75" customHeight="1">
      <c r="F533" s="74"/>
      <c r="H533" s="74"/>
    </row>
    <row r="534" ht="12.75" customHeight="1"/>
    <row r="535" ht="12.75" customHeight="1"/>
    <row r="536" ht="12.75" customHeight="1">
      <c r="F536" s="74"/>
      <c r="H536" s="74"/>
    </row>
    <row r="537" ht="12.75" customHeight="1">
      <c r="F537" s="74"/>
      <c r="H537" s="74"/>
    </row>
    <row r="538" ht="12.75" customHeight="1">
      <c r="F538" s="74"/>
      <c r="H538" s="74"/>
    </row>
    <row r="539" ht="12.75" customHeight="1">
      <c r="F539" s="74"/>
      <c r="H539" s="74"/>
    </row>
    <row r="540" ht="12.75" customHeight="1">
      <c r="F540" s="74"/>
      <c r="H540" s="74"/>
    </row>
    <row r="541" ht="12.75" customHeight="1">
      <c r="F541" s="74"/>
      <c r="H541" s="74"/>
    </row>
    <row r="542" ht="12.75" customHeight="1">
      <c r="F542" s="74"/>
      <c r="H542" s="74"/>
    </row>
    <row r="543" ht="12.75" customHeight="1">
      <c r="F543" s="74"/>
      <c r="H543" s="74"/>
    </row>
    <row r="544" ht="12.75" customHeight="1">
      <c r="F544" s="74"/>
      <c r="H544" s="74"/>
    </row>
    <row r="545" ht="12.75" customHeight="1">
      <c r="F545" s="74"/>
      <c r="H545" s="74"/>
    </row>
    <row r="546" ht="12.75" customHeight="1">
      <c r="F546" s="74"/>
      <c r="H546" s="74"/>
    </row>
    <row r="547" ht="12.75" customHeight="1">
      <c r="F547" s="74"/>
      <c r="H547" s="74"/>
    </row>
    <row r="548" ht="12.75" customHeight="1">
      <c r="F548" s="74"/>
      <c r="H548" s="74"/>
    </row>
    <row r="549" ht="12.75" customHeight="1">
      <c r="F549" s="74"/>
      <c r="H549" s="74"/>
    </row>
    <row r="550" ht="12.75" customHeight="1">
      <c r="F550" s="74"/>
      <c r="H550" s="74"/>
    </row>
    <row r="551" ht="12.75" customHeight="1">
      <c r="F551" s="74"/>
      <c r="H551" s="74"/>
    </row>
    <row r="552" ht="12.75" customHeight="1"/>
    <row r="553" ht="12.75" customHeight="1">
      <c r="F553" s="74"/>
      <c r="H553" s="74"/>
    </row>
    <row r="554" ht="12.75" customHeight="1">
      <c r="F554" s="74"/>
      <c r="H554" s="74"/>
    </row>
    <row r="555" ht="12.75" customHeight="1">
      <c r="F555" s="74"/>
      <c r="H555" s="74"/>
    </row>
    <row r="556" ht="12.75" customHeight="1">
      <c r="F556" s="74"/>
      <c r="H556" s="74"/>
    </row>
    <row r="557" ht="12.75" customHeight="1">
      <c r="F557" s="74"/>
      <c r="H557" s="74"/>
    </row>
    <row r="558" ht="12.75" customHeight="1">
      <c r="F558" s="74"/>
      <c r="H558" s="74"/>
    </row>
    <row r="559" ht="12.75" customHeight="1">
      <c r="F559" s="74"/>
      <c r="H559" s="74"/>
    </row>
    <row r="560" ht="12.75" customHeight="1"/>
    <row r="561" ht="12.75" customHeight="1">
      <c r="F561" s="74"/>
      <c r="H561" s="74"/>
    </row>
    <row r="562" ht="12.75" customHeight="1">
      <c r="F562" s="74"/>
      <c r="H562" s="74"/>
    </row>
    <row r="563" ht="12.75" customHeight="1">
      <c r="F563" s="74"/>
      <c r="H563" s="74"/>
    </row>
    <row r="564" ht="12.75" customHeight="1"/>
    <row r="565" ht="12.75" customHeight="1">
      <c r="AG565" s="74"/>
    </row>
    <row r="566" ht="12.75" customHeight="1">
      <c r="F566" s="74"/>
      <c r="H566" s="74"/>
    </row>
    <row r="567" ht="12.75" customHeight="1">
      <c r="F567" s="74"/>
      <c r="H567" s="74"/>
    </row>
    <row r="568" ht="12.75" customHeight="1">
      <c r="F568" s="74"/>
      <c r="H568" s="74"/>
    </row>
    <row r="569" ht="12.75" customHeight="1">
      <c r="F569" s="74"/>
      <c r="H569" s="74"/>
    </row>
    <row r="570" ht="12.75" customHeight="1">
      <c r="F570" s="74"/>
      <c r="H570" s="74"/>
    </row>
    <row r="571" ht="12.75" customHeight="1">
      <c r="F571" s="74"/>
      <c r="H571" s="74"/>
    </row>
    <row r="572" ht="12.75" customHeight="1"/>
    <row r="573" ht="12.75" customHeight="1">
      <c r="F573" s="74"/>
      <c r="H573" s="74"/>
    </row>
    <row r="574" ht="12.75" customHeight="1">
      <c r="F574" s="74"/>
      <c r="H574" s="74"/>
    </row>
    <row r="575" ht="12.75" customHeight="1">
      <c r="F575" s="74"/>
      <c r="H575" s="74"/>
    </row>
    <row r="576" ht="12.75" customHeight="1">
      <c r="F576" s="74"/>
      <c r="H576" s="74"/>
    </row>
    <row r="577" ht="12.75" customHeight="1">
      <c r="F577" s="74"/>
      <c r="H577" s="74"/>
    </row>
    <row r="578" ht="12.75" customHeight="1"/>
    <row r="579" ht="12.75" customHeight="1">
      <c r="F579" s="74"/>
      <c r="H579" s="74"/>
    </row>
    <row r="580" ht="12.75" customHeight="1">
      <c r="F580" s="74"/>
      <c r="H580" s="74"/>
    </row>
    <row r="581" ht="12.75" customHeight="1">
      <c r="F581" s="74"/>
      <c r="H581" s="74"/>
    </row>
    <row r="582" ht="12.75" customHeight="1"/>
    <row r="583" ht="12.75" customHeight="1"/>
    <row r="584" ht="12.75" customHeight="1">
      <c r="F584" s="74"/>
      <c r="H584" s="74"/>
    </row>
    <row r="585" ht="12.75" customHeight="1">
      <c r="F585" s="74"/>
      <c r="H585" s="74"/>
    </row>
    <row r="586" ht="12.75" customHeight="1">
      <c r="F586" s="74"/>
      <c r="H586" s="74"/>
    </row>
    <row r="587" ht="12.75" customHeight="1">
      <c r="F587" s="74"/>
      <c r="H587" s="74"/>
    </row>
    <row r="588" ht="12.75" customHeight="1"/>
    <row r="589" ht="12.75" customHeight="1">
      <c r="F589" s="74"/>
      <c r="H589" s="74"/>
    </row>
    <row r="590" ht="12.75" customHeight="1">
      <c r="F590" s="74"/>
      <c r="H590" s="74"/>
    </row>
    <row r="591" ht="12.75" customHeight="1">
      <c r="F591" s="74"/>
      <c r="H591" s="74"/>
    </row>
    <row r="592" ht="12.75" customHeight="1">
      <c r="F592" s="74"/>
      <c r="H592" s="74"/>
      <c r="AG592" s="74"/>
    </row>
    <row r="593" ht="12.75" customHeight="1">
      <c r="F593" s="74"/>
      <c r="H593" s="74"/>
    </row>
    <row r="594" ht="12.75" customHeight="1">
      <c r="F594" s="74"/>
      <c r="H594" s="74"/>
    </row>
    <row r="595" ht="12.75" customHeight="1">
      <c r="F595" s="74"/>
      <c r="H595" s="74"/>
    </row>
    <row r="596" ht="12.75" customHeight="1">
      <c r="F596" s="74"/>
      <c r="H596" s="74"/>
    </row>
    <row r="597" ht="12.75" customHeight="1">
      <c r="F597" s="74"/>
      <c r="H597" s="74"/>
    </row>
    <row r="598" ht="12.75" customHeight="1">
      <c r="F598" s="74"/>
      <c r="H598" s="74"/>
    </row>
    <row r="599" ht="12.75" customHeight="1"/>
    <row r="600" ht="12.75" customHeight="1">
      <c r="F600" s="74"/>
      <c r="H600" s="74"/>
    </row>
    <row r="601" ht="12.75" customHeight="1">
      <c r="F601" s="74"/>
      <c r="H601" s="74"/>
    </row>
    <row r="602" ht="12.75" customHeight="1"/>
    <row r="603" ht="12.75" customHeight="1"/>
    <row r="604" ht="12.75" customHeight="1">
      <c r="F604" s="74"/>
      <c r="H604" s="74"/>
    </row>
    <row r="605" ht="12.75" customHeight="1">
      <c r="F605" s="74"/>
      <c r="H605" s="74"/>
    </row>
    <row r="606" ht="12.75" customHeight="1">
      <c r="F606" s="74"/>
      <c r="H606" s="74"/>
    </row>
    <row r="607" ht="12.75" customHeight="1"/>
    <row r="608" ht="12.75" customHeight="1">
      <c r="F608" s="74"/>
      <c r="H608" s="74"/>
    </row>
    <row r="609" ht="12.75" customHeight="1"/>
    <row r="610" ht="12.75" customHeight="1">
      <c r="F610" s="74"/>
      <c r="H610" s="74"/>
    </row>
    <row r="611" ht="12.75" customHeight="1">
      <c r="F611" s="74"/>
      <c r="H611" s="74"/>
    </row>
    <row r="612" ht="12.75" customHeight="1">
      <c r="F612" s="74"/>
      <c r="H612" s="74"/>
    </row>
    <row r="613" ht="12.75" customHeight="1">
      <c r="F613" s="74"/>
      <c r="H613" s="74"/>
    </row>
    <row r="614" ht="12.75" customHeight="1">
      <c r="F614" s="74"/>
      <c r="H614" s="74"/>
    </row>
    <row r="615" ht="12.75" customHeight="1">
      <c r="F615" s="74"/>
      <c r="H615" s="74"/>
    </row>
    <row r="616" ht="12.75" customHeight="1"/>
    <row r="617" ht="12.75" customHeight="1"/>
    <row r="618" ht="12.75" customHeight="1">
      <c r="F618" s="74"/>
      <c r="H618" s="74"/>
    </row>
    <row r="619" ht="12.75" customHeight="1">
      <c r="F619" s="74"/>
      <c r="H619" s="74"/>
    </row>
    <row r="620" ht="12.75" customHeight="1">
      <c r="F620" s="74"/>
      <c r="H620" s="74"/>
    </row>
    <row r="621" ht="12.75" customHeight="1">
      <c r="F621" s="74"/>
      <c r="H621" s="74"/>
    </row>
    <row r="622" ht="12.75" customHeight="1"/>
    <row r="623" ht="12.75" customHeight="1"/>
    <row r="624" ht="12.75" customHeight="1">
      <c r="F624" s="74"/>
      <c r="H624" s="74"/>
    </row>
    <row r="625" ht="12.75" customHeight="1"/>
    <row r="626" ht="12.75" customHeight="1">
      <c r="F626" s="74"/>
      <c r="H626" s="74"/>
    </row>
    <row r="627" ht="12.75" customHeight="1">
      <c r="F627" s="74"/>
      <c r="H627" s="74"/>
    </row>
    <row r="628" ht="12.75" customHeight="1">
      <c r="F628" s="74"/>
      <c r="H628" s="74"/>
    </row>
    <row r="629" ht="12.75" customHeight="1">
      <c r="F629" s="74"/>
      <c r="H629" s="74"/>
    </row>
    <row r="630" ht="12.75" customHeight="1">
      <c r="F630" s="74"/>
      <c r="H630" s="74"/>
    </row>
    <row r="631" ht="12.75" customHeight="1">
      <c r="F631" s="74"/>
      <c r="H631" s="74"/>
    </row>
    <row r="632" ht="12.75" customHeight="1">
      <c r="F632" s="74"/>
      <c r="H632" s="74"/>
    </row>
    <row r="633" ht="12.75" customHeight="1"/>
    <row r="634" ht="12.75" customHeight="1">
      <c r="F634" s="74"/>
      <c r="H634" s="74"/>
    </row>
    <row r="635" ht="12.75" customHeight="1">
      <c r="F635" s="74"/>
      <c r="H635" s="74"/>
    </row>
    <row r="636" ht="12.75" customHeight="1">
      <c r="F636" s="74"/>
      <c r="H636" s="74"/>
    </row>
    <row r="637" ht="12.75" customHeight="1">
      <c r="F637" s="74"/>
      <c r="H637" s="74"/>
    </row>
    <row r="638" ht="12.75" customHeight="1">
      <c r="F638" s="74"/>
      <c r="H638" s="74"/>
    </row>
    <row r="639" ht="12.75" customHeight="1">
      <c r="F639" s="74"/>
      <c r="H639" s="74"/>
    </row>
    <row r="640" ht="12.75" customHeight="1">
      <c r="F640" s="74"/>
      <c r="H640" s="74"/>
    </row>
    <row r="641" ht="12.75" customHeight="1">
      <c r="F641" s="74"/>
      <c r="H641" s="74"/>
    </row>
    <row r="642" ht="12.75" customHeight="1">
      <c r="F642" s="74"/>
      <c r="H642" s="74"/>
    </row>
    <row r="643" ht="12.75" customHeight="1">
      <c r="F643" s="74"/>
      <c r="H643" s="74"/>
    </row>
    <row r="644" ht="12.75" customHeight="1"/>
    <row r="645" ht="12.75" customHeight="1">
      <c r="F645" s="74"/>
      <c r="H645" s="74"/>
    </row>
    <row r="646" ht="12.75" customHeight="1"/>
    <row r="647" ht="12.75" customHeight="1">
      <c r="F647" s="74"/>
      <c r="H647" s="74"/>
    </row>
    <row r="648" ht="12.75" customHeight="1"/>
    <row r="649" ht="12.75" customHeight="1">
      <c r="F649" s="74"/>
      <c r="H649" s="74"/>
    </row>
    <row r="650" ht="12.75" customHeight="1">
      <c r="F650" s="74"/>
      <c r="H650" s="74"/>
    </row>
    <row r="651" ht="12.75" customHeight="1">
      <c r="AG651" s="74"/>
    </row>
    <row r="652" ht="12.75" customHeight="1">
      <c r="F652" s="74"/>
      <c r="H652" s="74"/>
    </row>
    <row r="653" ht="12.75" customHeight="1">
      <c r="F653" s="74"/>
      <c r="H653" s="74"/>
    </row>
    <row r="654" ht="12.75" customHeight="1"/>
    <row r="655" ht="12.75" customHeight="1"/>
    <row r="656" ht="12.75" customHeight="1">
      <c r="F656" s="74"/>
      <c r="H656" s="74"/>
    </row>
    <row r="657" ht="12.75" customHeight="1"/>
    <row r="658" ht="12.75" customHeight="1"/>
    <row r="659" ht="12.75" customHeight="1">
      <c r="F659" s="74"/>
      <c r="H659" s="74"/>
    </row>
    <row r="660" ht="12.75" customHeight="1">
      <c r="F660" s="74"/>
      <c r="H660" s="74"/>
    </row>
    <row r="661" ht="12.75" customHeight="1">
      <c r="F661" s="74"/>
      <c r="H661" s="74"/>
    </row>
    <row r="662" ht="12.75" customHeight="1"/>
    <row r="663" ht="12.75" customHeight="1"/>
    <row r="664" ht="12.75" customHeight="1">
      <c r="F664" s="74"/>
      <c r="H664" s="74"/>
    </row>
    <row r="665" ht="12.75" customHeight="1">
      <c r="F665" s="74"/>
      <c r="H665" s="74"/>
    </row>
    <row r="666" ht="12.75" customHeight="1">
      <c r="F666" s="74"/>
      <c r="H666" s="74"/>
    </row>
    <row r="667" ht="12.75" customHeight="1">
      <c r="F667" s="74"/>
      <c r="H667" s="74"/>
    </row>
    <row r="668" ht="12.75" customHeight="1">
      <c r="F668" s="74"/>
      <c r="H668" s="74"/>
    </row>
    <row r="669" ht="12.75" customHeight="1">
      <c r="F669" s="74"/>
      <c r="H669" s="74"/>
    </row>
    <row r="670" ht="12.75" customHeight="1">
      <c r="F670" s="74"/>
      <c r="H670" s="74"/>
    </row>
    <row r="671" ht="12.75" customHeight="1">
      <c r="F671" s="74"/>
      <c r="H671" s="74"/>
    </row>
    <row r="672" ht="12.75" customHeight="1">
      <c r="F672" s="74"/>
      <c r="H672" s="74"/>
    </row>
    <row r="673" ht="12.75" customHeight="1">
      <c r="F673" s="74"/>
      <c r="H673" s="74"/>
    </row>
    <row r="674" ht="12.75" customHeight="1">
      <c r="F674" s="74"/>
      <c r="H674" s="74"/>
    </row>
    <row r="675" ht="12.75" customHeight="1">
      <c r="F675" s="74"/>
      <c r="H675" s="74"/>
    </row>
    <row r="676" ht="12.75" customHeight="1">
      <c r="F676" s="74"/>
      <c r="H676" s="74"/>
    </row>
    <row r="677" ht="12.75" customHeight="1">
      <c r="F677" s="74"/>
      <c r="H677" s="74"/>
    </row>
    <row r="678" ht="12.75" customHeight="1">
      <c r="F678" s="74"/>
      <c r="H678" s="74"/>
    </row>
    <row r="679" ht="12.75" customHeight="1"/>
    <row r="680" ht="12.75" customHeight="1">
      <c r="F680" s="74"/>
      <c r="H680" s="74"/>
    </row>
    <row r="681" ht="12.75" customHeight="1">
      <c r="F681" s="74"/>
      <c r="H681" s="74"/>
    </row>
    <row r="682" ht="12.75" customHeight="1">
      <c r="F682" s="74"/>
      <c r="H682" s="74"/>
    </row>
    <row r="683" ht="12.75" customHeight="1">
      <c r="F683" s="74"/>
      <c r="H683" s="74"/>
    </row>
    <row r="684" ht="12.75" customHeight="1">
      <c r="F684" s="74"/>
      <c r="H684" s="74"/>
    </row>
    <row r="685" ht="12.75" customHeight="1">
      <c r="F685" s="74"/>
      <c r="H685" s="74"/>
    </row>
    <row r="686" ht="12.75" customHeight="1">
      <c r="F686" s="74"/>
      <c r="H686" s="74"/>
    </row>
    <row r="687" ht="12.75" customHeight="1">
      <c r="F687" s="74"/>
      <c r="H687" s="74"/>
    </row>
    <row r="688" ht="12.75" customHeight="1">
      <c r="F688" s="74"/>
      <c r="H688" s="74"/>
    </row>
    <row r="689" ht="12.75" customHeight="1"/>
    <row r="690" ht="12.75" customHeight="1">
      <c r="F690" s="74"/>
      <c r="H690" s="74"/>
    </row>
    <row r="691" ht="12.75" customHeight="1">
      <c r="F691" s="74"/>
      <c r="H691" s="74"/>
    </row>
    <row r="692" ht="12.75" customHeight="1">
      <c r="F692" s="74"/>
      <c r="H692" s="74"/>
    </row>
    <row r="693" ht="12.75" customHeight="1">
      <c r="F693" s="74"/>
      <c r="H693" s="74"/>
    </row>
    <row r="694" ht="12.75" customHeight="1">
      <c r="F694" s="74"/>
      <c r="H694" s="74"/>
    </row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>
      <c r="F702" s="74"/>
      <c r="H702" s="74"/>
    </row>
    <row r="703" ht="12.75" customHeight="1">
      <c r="F703" s="74"/>
      <c r="H703" s="74"/>
    </row>
    <row r="704" ht="12.75" customHeight="1"/>
    <row r="705" ht="12.75" customHeight="1"/>
    <row r="706" ht="12.75" customHeight="1">
      <c r="F706" s="74"/>
      <c r="H706" s="74"/>
    </row>
    <row r="707" ht="12.75" customHeight="1"/>
    <row r="708" ht="12.75" customHeight="1">
      <c r="F708" s="74"/>
      <c r="H708" s="74"/>
    </row>
    <row r="709" ht="12.75" customHeight="1">
      <c r="F709" s="74"/>
      <c r="H709" s="74"/>
    </row>
    <row r="710" ht="12.75" customHeight="1">
      <c r="F710" s="74"/>
      <c r="H710" s="74"/>
    </row>
    <row r="711" ht="12.75" customHeight="1">
      <c r="F711" s="74"/>
      <c r="H711" s="74"/>
    </row>
    <row r="712" ht="12.75" customHeight="1">
      <c r="F712" s="74"/>
      <c r="H712" s="74"/>
    </row>
    <row r="713" ht="12.75" customHeight="1">
      <c r="F713" s="74"/>
      <c r="H713" s="74"/>
    </row>
    <row r="714" ht="12.75" customHeight="1">
      <c r="F714" s="74"/>
      <c r="H714" s="74"/>
    </row>
    <row r="715" ht="12.75" customHeight="1">
      <c r="F715" s="74"/>
      <c r="H715" s="74"/>
    </row>
    <row r="716" ht="12.75" customHeight="1">
      <c r="F716" s="74"/>
      <c r="H716" s="74"/>
    </row>
    <row r="717" ht="12.75" customHeight="1">
      <c r="F717" s="74"/>
      <c r="H717" s="74"/>
    </row>
    <row r="718" ht="12.75" customHeight="1">
      <c r="F718" s="74"/>
      <c r="H718" s="74"/>
    </row>
    <row r="719" ht="12.75" customHeight="1">
      <c r="F719" s="74"/>
      <c r="H719" s="74"/>
    </row>
    <row r="720" ht="12.75" customHeight="1">
      <c r="F720" s="74"/>
      <c r="H720" s="74"/>
    </row>
    <row r="721" ht="12.75" customHeight="1">
      <c r="F721" s="74"/>
      <c r="H721" s="74"/>
    </row>
    <row r="722" ht="12.75" customHeight="1"/>
    <row r="723" ht="12.75" customHeight="1">
      <c r="F723" s="74"/>
      <c r="H723" s="74"/>
    </row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>
      <c r="F729" s="74"/>
      <c r="H729" s="74"/>
    </row>
    <row r="730" ht="12.75" customHeight="1">
      <c r="F730" s="74"/>
      <c r="H730" s="74"/>
    </row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>
      <c r="F736" s="74"/>
      <c r="H736" s="74"/>
    </row>
    <row r="737" ht="12.75" customHeight="1">
      <c r="F737" s="74"/>
      <c r="H737" s="74"/>
    </row>
    <row r="738" ht="12.75" customHeight="1">
      <c r="F738" s="74"/>
      <c r="H738" s="74"/>
    </row>
    <row r="739" ht="12.75" customHeight="1">
      <c r="F739" s="74"/>
      <c r="H739" s="74"/>
    </row>
    <row r="740" ht="12.75" customHeight="1">
      <c r="F740" s="74"/>
      <c r="H740" s="74"/>
    </row>
    <row r="741" ht="12.75" customHeight="1">
      <c r="F741" s="74"/>
      <c r="H741" s="74"/>
    </row>
    <row r="742" ht="12.75" customHeight="1"/>
    <row r="743" ht="12.75" customHeight="1"/>
    <row r="744" ht="12.75" customHeight="1"/>
    <row r="745" ht="12.75" customHeight="1"/>
    <row r="746" ht="12.75" customHeight="1">
      <c r="K746" s="74"/>
    </row>
    <row r="747" ht="12.75" customHeight="1">
      <c r="K747" s="74"/>
    </row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>
      <c r="F760" s="74"/>
      <c r="H760" s="74"/>
    </row>
    <row r="761" ht="12.75" customHeight="1">
      <c r="F761" s="74"/>
      <c r="H761" s="74"/>
    </row>
    <row r="762" ht="12.75" customHeight="1">
      <c r="F762" s="74"/>
      <c r="H762" s="74"/>
    </row>
    <row r="763" ht="12.75" customHeight="1">
      <c r="F763" s="74"/>
      <c r="H763" s="74"/>
    </row>
    <row r="764" ht="12.75" customHeight="1">
      <c r="F764" s="74"/>
      <c r="H764" s="74"/>
    </row>
    <row r="765" ht="12.75" customHeight="1">
      <c r="F765" s="74"/>
      <c r="H765" s="74"/>
    </row>
    <row r="766" ht="12.75" customHeight="1">
      <c r="F766" s="74"/>
      <c r="H766" s="74"/>
    </row>
    <row r="767" ht="12.75" customHeight="1">
      <c r="F767" s="74"/>
      <c r="H767" s="74"/>
    </row>
    <row r="768" ht="12.75" customHeight="1">
      <c r="F768" s="74"/>
      <c r="H768" s="74"/>
    </row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>
      <c r="F779" s="74"/>
      <c r="H779" s="74"/>
    </row>
    <row r="780" ht="12.75" customHeight="1"/>
    <row r="781" ht="12.75" customHeight="1"/>
    <row r="782" ht="12.75" customHeight="1"/>
    <row r="783" ht="12.75" customHeight="1">
      <c r="F783" s="74"/>
      <c r="H783" s="74"/>
    </row>
    <row r="784" ht="12.75" customHeight="1">
      <c r="F784" s="74"/>
      <c r="H784" s="74"/>
    </row>
    <row r="785" ht="12.75" customHeight="1">
      <c r="F785" s="74"/>
      <c r="H785" s="74"/>
    </row>
    <row r="786" ht="12.75" customHeight="1">
      <c r="F786" s="74"/>
      <c r="H786" s="74"/>
    </row>
    <row r="787" ht="12.75" customHeight="1">
      <c r="F787" s="74"/>
      <c r="H787" s="74"/>
    </row>
    <row r="788" ht="12.75" customHeight="1">
      <c r="F788" s="74"/>
      <c r="H788" s="74"/>
    </row>
    <row r="789" ht="12.75" customHeight="1"/>
    <row r="790" ht="12.75" customHeight="1"/>
    <row r="791" ht="12.75" customHeight="1"/>
    <row r="792" ht="12.75" customHeight="1"/>
    <row r="793" ht="12.75" customHeight="1">
      <c r="F793" s="74"/>
      <c r="H793" s="74"/>
    </row>
    <row r="794" ht="12.75" customHeight="1"/>
    <row r="795" ht="12.75" customHeight="1">
      <c r="F795" s="74"/>
      <c r="H795" s="74"/>
    </row>
    <row r="796" ht="12.75" customHeight="1">
      <c r="F796" s="74"/>
      <c r="H796" s="74"/>
    </row>
    <row r="797" ht="12.75" customHeight="1">
      <c r="F797" s="74"/>
      <c r="H797" s="74"/>
    </row>
    <row r="798" ht="12.75" customHeight="1">
      <c r="F798" s="74"/>
      <c r="H798" s="74"/>
    </row>
    <row r="799" ht="12.75" customHeight="1">
      <c r="F799" s="74"/>
      <c r="H799" s="74"/>
    </row>
    <row r="800" ht="12.75" customHeight="1"/>
    <row r="801" ht="12.75" customHeight="1"/>
    <row r="802" ht="12.75" customHeight="1">
      <c r="F802" s="74"/>
      <c r="H802" s="74"/>
    </row>
    <row r="803" ht="12.75" customHeight="1">
      <c r="F803" s="74"/>
      <c r="H803" s="74"/>
    </row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>
      <c r="F817" s="74"/>
      <c r="H817" s="74"/>
    </row>
    <row r="818" ht="12.75" customHeight="1"/>
    <row r="819" ht="12.75" customHeight="1">
      <c r="F819" s="74"/>
      <c r="H819" s="74"/>
    </row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>
      <c r="F830" s="74"/>
      <c r="H830" s="74"/>
    </row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>
      <c r="F843" s="74"/>
      <c r="H843" s="74"/>
    </row>
    <row r="844" ht="12.75" customHeight="1">
      <c r="AG844" s="74"/>
    </row>
    <row r="845" ht="12.75" customHeight="1">
      <c r="F845" s="74"/>
      <c r="H845" s="74"/>
    </row>
    <row r="846" ht="12.75" customHeight="1">
      <c r="F846" s="74"/>
      <c r="H846" s="74"/>
    </row>
    <row r="847" ht="12.75" customHeight="1"/>
    <row r="848" ht="12.75" customHeight="1">
      <c r="F848" s="74"/>
      <c r="H848" s="74"/>
    </row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>
      <c r="AG862" s="74"/>
    </row>
    <row r="863" ht="12.75" customHeight="1">
      <c r="F863" s="74"/>
      <c r="H863" s="74"/>
    </row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>
      <c r="F870" s="74"/>
      <c r="H870" s="74"/>
    </row>
    <row r="871" ht="12.75" customHeight="1">
      <c r="F871" s="74"/>
      <c r="H871" s="74"/>
    </row>
    <row r="872" ht="12.75" customHeight="1"/>
    <row r="873" ht="12.75" customHeight="1"/>
    <row r="874" ht="12.75" customHeight="1">
      <c r="F874" s="74"/>
      <c r="H874" s="74"/>
    </row>
    <row r="875" ht="12.75" customHeight="1">
      <c r="F875" s="74"/>
      <c r="H875" s="74"/>
    </row>
    <row r="876" ht="12.75" customHeight="1">
      <c r="F876" s="74"/>
      <c r="H876" s="74"/>
    </row>
    <row r="877" ht="12.75" customHeight="1">
      <c r="F877" s="74"/>
      <c r="H877" s="74"/>
    </row>
    <row r="878" ht="12.75" customHeight="1">
      <c r="F878" s="74"/>
      <c r="H878" s="74"/>
    </row>
    <row r="879" ht="12.75" customHeight="1"/>
    <row r="880" ht="12.75" customHeight="1"/>
    <row r="881" ht="12.75" customHeight="1">
      <c r="AG881" s="74"/>
    </row>
    <row r="882" ht="12.75" customHeight="1"/>
    <row r="883" ht="12.75" customHeight="1"/>
    <row r="884" ht="12.75" customHeight="1">
      <c r="F884" s="74"/>
      <c r="H884" s="74"/>
    </row>
    <row r="885" ht="12.75" customHeight="1"/>
    <row r="886" ht="12.75" customHeight="1">
      <c r="F886" s="74"/>
      <c r="H886" s="74"/>
    </row>
    <row r="887" ht="12.75" customHeight="1"/>
    <row r="888" ht="12.75" customHeight="1">
      <c r="F888" s="74"/>
      <c r="H888" s="74"/>
    </row>
    <row r="889" ht="12.75" customHeight="1">
      <c r="F889" s="74"/>
      <c r="H889" s="74"/>
    </row>
    <row r="890" ht="12.75" customHeight="1">
      <c r="F890" s="74"/>
      <c r="H890" s="74"/>
    </row>
    <row r="891" ht="12.75" customHeight="1">
      <c r="F891" s="74"/>
      <c r="H891" s="74"/>
    </row>
    <row r="892" ht="12.75" customHeight="1">
      <c r="AG892" s="74"/>
    </row>
    <row r="893" ht="12.75" customHeight="1"/>
    <row r="894" ht="12.75" customHeight="1"/>
    <row r="895" ht="12.75" customHeight="1"/>
    <row r="896" ht="12.75" customHeight="1"/>
    <row r="897" ht="12.75" customHeight="1">
      <c r="F897" s="74"/>
      <c r="H897" s="74"/>
    </row>
    <row r="898" ht="12.75" customHeight="1">
      <c r="F898" s="74"/>
      <c r="H898" s="74"/>
    </row>
    <row r="899" ht="12.75" customHeight="1"/>
    <row r="900" ht="12.75" customHeight="1"/>
    <row r="901" ht="12.75" customHeight="1">
      <c r="F901" s="74"/>
      <c r="H901" s="74"/>
      <c r="AG901" s="74"/>
    </row>
    <row r="902" ht="12.75" customHeight="1">
      <c r="F902" s="74"/>
      <c r="H902" s="74"/>
    </row>
    <row r="903" ht="12.75" customHeight="1">
      <c r="F903" s="74"/>
      <c r="H903" s="74"/>
    </row>
    <row r="904" ht="12.75" customHeight="1">
      <c r="F904" s="74"/>
      <c r="H904" s="74"/>
    </row>
    <row r="905" ht="12.75" customHeight="1">
      <c r="F905" s="74"/>
      <c r="H905" s="74"/>
    </row>
    <row r="906" ht="12.75" customHeight="1"/>
    <row r="907" ht="12.75" customHeight="1"/>
    <row r="908" ht="12.75" customHeight="1"/>
    <row r="909" ht="12.75" customHeight="1"/>
    <row r="910" ht="12.75" customHeight="1">
      <c r="F910" s="74"/>
      <c r="H910" s="74"/>
    </row>
    <row r="911" ht="12.75" customHeight="1">
      <c r="F911" s="74"/>
      <c r="H911" s="74"/>
    </row>
    <row r="912" ht="12.75" customHeight="1">
      <c r="F912" s="74"/>
      <c r="H912" s="74"/>
    </row>
    <row r="913" ht="12.75" customHeight="1">
      <c r="F913" s="74"/>
      <c r="H913" s="74"/>
    </row>
    <row r="914" ht="12.75" customHeight="1">
      <c r="F914" s="74"/>
      <c r="H914" s="74"/>
    </row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>
      <c r="F924" s="74"/>
      <c r="H924" s="74"/>
    </row>
    <row r="925" ht="12.75" customHeight="1">
      <c r="F925" s="74"/>
      <c r="H925" s="74"/>
    </row>
    <row r="926" ht="12.75" customHeight="1">
      <c r="F926" s="74"/>
      <c r="H926" s="74"/>
    </row>
    <row r="927" ht="12.75" customHeight="1">
      <c r="F927" s="74"/>
      <c r="H927" s="74"/>
    </row>
    <row r="928" ht="12.75" customHeight="1">
      <c r="F928" s="74"/>
      <c r="H928" s="74"/>
    </row>
    <row r="929" ht="12.75" customHeight="1">
      <c r="F929" s="74"/>
      <c r="H929" s="74"/>
    </row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>
      <c r="AG935" s="74"/>
    </row>
    <row r="936" ht="12.75" customHeight="1"/>
    <row r="937" ht="12.75" customHeight="1">
      <c r="F937" s="74"/>
      <c r="H937" s="74"/>
    </row>
    <row r="938" ht="12.75" customHeight="1"/>
    <row r="939" ht="12.75" customHeight="1"/>
    <row r="940" ht="12.75" customHeight="1"/>
    <row r="941" ht="12.75" customHeight="1">
      <c r="F941" s="74"/>
      <c r="H941" s="74"/>
    </row>
    <row r="942" ht="12.75" customHeight="1">
      <c r="F942" s="74"/>
      <c r="H942" s="74"/>
    </row>
    <row r="943" ht="12.75" customHeight="1"/>
    <row r="944" ht="12.75" customHeight="1"/>
    <row r="945" ht="12.75" customHeight="1"/>
    <row r="946" ht="12.75" customHeight="1">
      <c r="F946" s="74"/>
      <c r="H946" s="74"/>
    </row>
    <row r="947" ht="12.75" customHeight="1">
      <c r="F947" s="74"/>
      <c r="H947" s="74"/>
    </row>
    <row r="948" ht="12.75" customHeight="1"/>
    <row r="949" ht="12.75" customHeight="1"/>
    <row r="950" ht="12.75" customHeight="1">
      <c r="F950" s="74"/>
      <c r="H950" s="74"/>
    </row>
    <row r="951" ht="12.75" customHeight="1">
      <c r="F951" s="74"/>
      <c r="H951" s="74"/>
    </row>
    <row r="952" ht="12.75" customHeight="1"/>
    <row r="953" ht="12.75" customHeight="1">
      <c r="F953" s="74"/>
      <c r="H953" s="74"/>
    </row>
    <row r="954" ht="12.75" customHeight="1"/>
    <row r="955" ht="12.75" customHeight="1">
      <c r="F955" s="74"/>
      <c r="H955" s="74"/>
    </row>
    <row r="956" ht="12.75" customHeight="1">
      <c r="F956" s="74"/>
      <c r="H956" s="74"/>
    </row>
    <row r="957" ht="12.75" customHeight="1">
      <c r="F957" s="74"/>
      <c r="H957" s="74"/>
    </row>
    <row r="958" ht="12.75" customHeight="1">
      <c r="F958" s="74"/>
      <c r="H958" s="74"/>
    </row>
    <row r="959" ht="12.75" customHeight="1">
      <c r="F959" s="74"/>
      <c r="H959" s="74"/>
    </row>
    <row r="960" ht="12.75" customHeight="1"/>
    <row r="961" ht="12.75" customHeight="1">
      <c r="F961" s="74"/>
      <c r="H961" s="74"/>
    </row>
    <row r="962" ht="12.75" customHeight="1">
      <c r="F962" s="74"/>
      <c r="H962" s="74"/>
    </row>
    <row r="963" ht="12.75" customHeight="1">
      <c r="F963" s="74"/>
      <c r="H963" s="74"/>
    </row>
    <row r="964" ht="12.75" customHeight="1">
      <c r="F964" s="74"/>
      <c r="H964" s="74"/>
    </row>
    <row r="965" ht="12.75" customHeight="1">
      <c r="F965" s="74"/>
      <c r="H965" s="74"/>
    </row>
    <row r="966" ht="12.75" customHeight="1">
      <c r="F966" s="74"/>
      <c r="H966" s="74"/>
    </row>
    <row r="967" ht="12.75" customHeight="1">
      <c r="F967" s="74"/>
      <c r="H967" s="74"/>
    </row>
    <row r="968" ht="12.75" customHeight="1">
      <c r="F968" s="74"/>
      <c r="H968" s="74"/>
    </row>
    <row r="969" ht="12.75" customHeight="1">
      <c r="F969" s="74"/>
      <c r="H969" s="74"/>
    </row>
    <row r="970" ht="12.75" customHeight="1">
      <c r="F970" s="74"/>
      <c r="H970" s="74"/>
    </row>
    <row r="971" ht="12.75" customHeight="1">
      <c r="F971" s="74"/>
      <c r="H971" s="74"/>
    </row>
    <row r="972" ht="12.75" customHeight="1">
      <c r="F972" s="74"/>
      <c r="H972" s="74"/>
    </row>
    <row r="973" ht="12.75" customHeight="1">
      <c r="F973" s="74"/>
      <c r="H973" s="74"/>
    </row>
    <row r="974" ht="12.75" customHeight="1">
      <c r="F974" s="74"/>
      <c r="H974" s="74"/>
    </row>
    <row r="975" ht="12.75" customHeight="1">
      <c r="F975" s="74"/>
      <c r="H975" s="74"/>
    </row>
    <row r="976" ht="12.75" customHeight="1">
      <c r="F976" s="74"/>
      <c r="H976" s="74"/>
    </row>
    <row r="977" ht="12.75" customHeight="1">
      <c r="F977" s="74"/>
      <c r="H977" s="74"/>
    </row>
    <row r="978" ht="12.75" customHeight="1">
      <c r="F978" s="74"/>
      <c r="H978" s="74"/>
    </row>
    <row r="979" ht="12.75" customHeight="1">
      <c r="F979" s="74"/>
      <c r="H979" s="74"/>
    </row>
    <row r="980" ht="12.75" customHeight="1">
      <c r="F980" s="74"/>
      <c r="H980" s="74"/>
    </row>
    <row r="981" ht="12.75" customHeight="1">
      <c r="F981" s="74"/>
      <c r="H981" s="74"/>
    </row>
    <row r="982" ht="12.75" customHeight="1">
      <c r="F982" s="74"/>
      <c r="H982" s="74"/>
    </row>
    <row r="983" ht="12.75" customHeight="1">
      <c r="F983" s="74"/>
      <c r="H983" s="74"/>
    </row>
    <row r="984" ht="12.75" customHeight="1">
      <c r="F984" s="74"/>
      <c r="H984" s="74"/>
    </row>
    <row r="985" ht="12.75" customHeight="1">
      <c r="F985" s="74"/>
      <c r="H985" s="74"/>
    </row>
    <row r="986" ht="12.75" customHeight="1">
      <c r="F986" s="74"/>
      <c r="H986" s="74"/>
    </row>
    <row r="987" ht="12.75" customHeight="1">
      <c r="F987" s="74"/>
      <c r="H987" s="74"/>
    </row>
    <row r="988" ht="12.75" customHeight="1"/>
    <row r="989" ht="12.75" customHeight="1"/>
    <row r="990" ht="12.75" customHeight="1"/>
    <row r="991" ht="12.75" customHeight="1">
      <c r="F991" s="74"/>
      <c r="H991" s="74"/>
    </row>
    <row r="992" ht="12.75" customHeight="1"/>
    <row r="993" ht="12.75" customHeight="1">
      <c r="F993" s="74"/>
      <c r="H993" s="74"/>
    </row>
    <row r="994" ht="12.75" customHeight="1">
      <c r="F994" s="74"/>
      <c r="H994" s="74"/>
    </row>
    <row r="995" ht="12.75" customHeight="1">
      <c r="F995" s="74"/>
      <c r="H995" s="74"/>
    </row>
    <row r="996" ht="12.75" customHeight="1">
      <c r="F996" s="74"/>
      <c r="H996" s="74"/>
    </row>
    <row r="997" ht="12.75" customHeight="1"/>
    <row r="998" ht="12.75" customHeight="1">
      <c r="F998" s="74"/>
      <c r="H998" s="74"/>
    </row>
    <row r="999" ht="12.75" customHeight="1"/>
    <row r="1000" ht="12.75" customHeight="1">
      <c r="F1000" s="74"/>
      <c r="H1000" s="74"/>
    </row>
    <row r="1001" ht="12.75" customHeight="1"/>
    <row r="1002" ht="12.75" customHeight="1">
      <c r="F1002" s="74"/>
      <c r="H1002" s="74"/>
    </row>
    <row r="1003" ht="12.75" customHeight="1"/>
    <row r="1004" ht="12.75" customHeight="1"/>
    <row r="1005" ht="12.75" customHeight="1">
      <c r="F1005" s="74"/>
      <c r="H1005" s="74"/>
    </row>
    <row r="1006" ht="12.75" customHeight="1">
      <c r="F1006" s="74"/>
      <c r="H1006" s="74"/>
    </row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>
      <c r="F1020" s="74"/>
      <c r="H1020" s="74"/>
    </row>
    <row r="1021" ht="12.75" customHeight="1">
      <c r="AG1021" s="74"/>
    </row>
    <row r="1022" ht="12.75" customHeight="1">
      <c r="F1022" s="74"/>
      <c r="H1022" s="74"/>
      <c r="K1022" s="74"/>
    </row>
    <row r="1023" ht="12.75" customHeight="1">
      <c r="F1023" s="74"/>
      <c r="H1023" s="74"/>
    </row>
    <row r="1024" ht="12.75" customHeight="1">
      <c r="F1024" s="74"/>
      <c r="H1024" s="74"/>
      <c r="L1024" s="74"/>
    </row>
    <row r="1025" ht="12.75" customHeight="1">
      <c r="F1025" s="74"/>
      <c r="H1025" s="74"/>
      <c r="K1025" s="74"/>
    </row>
    <row r="1026" ht="12.75" customHeight="1">
      <c r="F1026" s="74"/>
      <c r="H1026" s="74"/>
      <c r="K1026" s="74"/>
    </row>
    <row r="1027" ht="12.75" customHeight="1">
      <c r="F1027" s="74"/>
      <c r="H1027" s="74"/>
    </row>
    <row r="1028" ht="12.75" customHeight="1">
      <c r="F1028" s="74"/>
      <c r="H1028" s="74"/>
      <c r="AG1028" s="74"/>
    </row>
    <row r="1029" ht="12.75" customHeight="1"/>
    <row r="1030" ht="12.75" customHeight="1">
      <c r="F1030" s="74"/>
      <c r="H1030" s="74"/>
      <c r="AG1030" s="74"/>
    </row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>
      <c r="F1037" s="74"/>
      <c r="H1037" s="74"/>
      <c r="AG1037" s="74"/>
    </row>
    <row r="1038" ht="12.75" customHeight="1">
      <c r="F1038" s="74"/>
      <c r="H1038" s="74"/>
      <c r="AG1038" s="74"/>
    </row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>
      <c r="AG1045" s="74"/>
    </row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>
      <c r="AG1059" s="74"/>
    </row>
    <row r="1060" ht="12.75" customHeight="1">
      <c r="F1060" s="74"/>
      <c r="H1060" s="74"/>
      <c r="M1060" s="74"/>
    </row>
    <row r="1061" ht="12.75" customHeight="1">
      <c r="F1061" s="74"/>
      <c r="H1061" s="74"/>
      <c r="O1061" s="74"/>
    </row>
    <row r="1062" ht="12.75" customHeight="1">
      <c r="F1062" s="74"/>
      <c r="H1062" s="74"/>
    </row>
    <row r="1063" ht="12.75" customHeight="1"/>
    <row r="1064" ht="12.75" customHeight="1">
      <c r="F1064" s="74"/>
      <c r="H1064" s="74"/>
      <c r="K1064" s="74"/>
    </row>
    <row r="1065" ht="12.75" customHeight="1">
      <c r="F1065" s="74"/>
      <c r="H1065" s="74"/>
    </row>
    <row r="1066" ht="12.75" customHeight="1">
      <c r="F1066" s="74"/>
      <c r="H1066" s="74"/>
    </row>
    <row r="1067" ht="12.75" customHeight="1">
      <c r="AG1067" s="74"/>
    </row>
    <row r="1068" ht="12.75" customHeight="1"/>
    <row r="1069" ht="12.75" customHeight="1">
      <c r="AG1069" s="74"/>
    </row>
    <row r="1070" ht="12.75" customHeight="1">
      <c r="AG1070" s="74"/>
    </row>
    <row r="1071" ht="12.75" customHeight="1">
      <c r="F1071" s="74"/>
      <c r="H1071" s="74"/>
    </row>
    <row r="1072" ht="12.75" customHeight="1">
      <c r="F1072" s="74"/>
      <c r="H1072" s="74"/>
    </row>
    <row r="1073" ht="12.75" customHeight="1"/>
    <row r="1074" ht="12.75" customHeight="1"/>
    <row r="1075" ht="12.75" customHeight="1">
      <c r="AG1075" s="74"/>
    </row>
    <row r="1076" ht="12.75" customHeight="1">
      <c r="F1076" s="74"/>
      <c r="H1076" s="74"/>
    </row>
    <row r="1077" ht="12.75" customHeight="1">
      <c r="AG1077" s="74"/>
    </row>
    <row r="1078" ht="12.75" customHeight="1"/>
    <row r="1079" ht="12.75" customHeight="1">
      <c r="AG1079" s="74"/>
    </row>
    <row r="1080" ht="12.75" customHeight="1">
      <c r="AG1080" s="74"/>
    </row>
    <row r="1081" ht="12.75" customHeight="1">
      <c r="AG1081" s="74"/>
    </row>
    <row r="1082" ht="12.75" customHeight="1"/>
    <row r="1083" ht="12.75" customHeight="1">
      <c r="AG1083" s="74"/>
    </row>
    <row r="1084" ht="12.75" customHeight="1">
      <c r="F1084" s="74"/>
      <c r="H1084" s="74"/>
    </row>
    <row r="1085" ht="12.75" customHeight="1">
      <c r="F1085" s="74"/>
      <c r="H1085" s="74"/>
    </row>
    <row r="1086" ht="12.75" customHeight="1">
      <c r="F1086" s="74"/>
      <c r="H1086" s="74"/>
    </row>
    <row r="1087" ht="12.75" customHeight="1"/>
    <row r="1088" ht="12.75" customHeight="1"/>
    <row r="1089" ht="12.75" customHeight="1">
      <c r="F1089" s="74"/>
      <c r="H1089" s="74"/>
    </row>
    <row r="1090" ht="12.75" customHeight="1">
      <c r="AG1090" s="74"/>
    </row>
    <row r="1091" ht="12.75" customHeight="1">
      <c r="AG1091" s="74"/>
    </row>
    <row r="1092" ht="12.75" customHeight="1">
      <c r="AG1092" s="74"/>
    </row>
    <row r="1093" ht="12.75" customHeight="1"/>
    <row r="1094" ht="12.75" customHeight="1">
      <c r="AG1094" s="74"/>
    </row>
    <row r="1095" ht="12.75" customHeight="1">
      <c r="F1095" s="74"/>
      <c r="H1095" s="74"/>
    </row>
    <row r="1096" ht="12.75" customHeight="1"/>
    <row r="1097" ht="12.75" customHeight="1">
      <c r="F1097" s="74"/>
      <c r="H1097" s="74"/>
    </row>
    <row r="1098" ht="12.75" customHeight="1">
      <c r="F1098" s="74"/>
      <c r="H1098" s="74"/>
    </row>
    <row r="1099" ht="12.75" customHeight="1">
      <c r="F1099" s="74"/>
      <c r="H1099" s="74"/>
    </row>
    <row r="1100" ht="12.75" customHeight="1">
      <c r="F1100" s="74"/>
      <c r="H1100" s="74"/>
    </row>
    <row r="1101" ht="12.75" customHeight="1">
      <c r="F1101" s="74"/>
      <c r="H1101" s="74"/>
    </row>
    <row r="1102" ht="12.75" customHeight="1"/>
    <row r="1103" ht="12.75" customHeight="1">
      <c r="AG1103" s="74"/>
    </row>
    <row r="1104" ht="12.75" customHeight="1">
      <c r="AG1104" s="74"/>
    </row>
    <row r="1105" ht="12.75" customHeight="1"/>
    <row r="1106" ht="12.75" customHeight="1">
      <c r="F1106" s="74"/>
      <c r="H1106" s="74"/>
    </row>
    <row r="1107" ht="12.75" customHeight="1">
      <c r="F1107" s="74"/>
      <c r="H1107" s="74"/>
    </row>
    <row r="1108" ht="12.75" customHeight="1">
      <c r="F1108" s="74"/>
      <c r="H1108" s="74"/>
    </row>
    <row r="1109" ht="12.75" customHeight="1"/>
    <row r="1110" ht="12.75" customHeight="1"/>
    <row r="1111" ht="12.75" customHeight="1">
      <c r="AG1111" s="74"/>
    </row>
    <row r="1112" ht="12.75" customHeight="1"/>
    <row r="1113" ht="12.75" customHeight="1">
      <c r="F1113" s="74"/>
      <c r="H1113" s="74"/>
    </row>
    <row r="1114" ht="12.75" customHeight="1"/>
    <row r="1115" ht="12.75" customHeight="1"/>
    <row r="1116" ht="12.75" customHeight="1"/>
    <row r="1117" ht="12.75" customHeight="1">
      <c r="F1117" s="74"/>
      <c r="H1117" s="74"/>
    </row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>
      <c r="AG1124" s="74"/>
    </row>
    <row r="1125" ht="12.75" customHeight="1"/>
    <row r="1126" ht="12.75" customHeight="1">
      <c r="AG1126" s="74"/>
    </row>
    <row r="1127" ht="12.75" customHeight="1">
      <c r="F1127" s="74"/>
      <c r="H1127" s="74"/>
      <c r="K1127" s="74"/>
    </row>
    <row r="1128" ht="12.75" customHeight="1">
      <c r="F1128" s="74"/>
      <c r="H1128" s="74"/>
    </row>
    <row r="1129" ht="12.75" customHeight="1">
      <c r="F1129" s="74"/>
      <c r="H1129" s="74"/>
    </row>
    <row r="1130" ht="12.75" customHeight="1"/>
    <row r="1131" ht="12.75" customHeight="1">
      <c r="F1131" s="74"/>
      <c r="H1131" s="74"/>
    </row>
    <row r="1132" ht="12.75" customHeight="1"/>
    <row r="1133" ht="12.75" customHeight="1">
      <c r="F1133" s="74"/>
      <c r="H1133" s="74"/>
    </row>
    <row r="1134" ht="12.75" customHeight="1">
      <c r="F1134" s="74"/>
      <c r="H1134" s="74"/>
      <c r="N1134" s="74"/>
    </row>
    <row r="1135" ht="12.75" customHeight="1">
      <c r="F1135" s="74"/>
      <c r="H1135" s="74"/>
      <c r="M1135" s="74"/>
    </row>
    <row r="1136" ht="12.75" customHeight="1"/>
    <row r="1137" ht="12.75" customHeight="1"/>
    <row r="1138" ht="12.75" customHeight="1">
      <c r="F1138" s="74"/>
      <c r="H1138" s="74"/>
    </row>
    <row r="1139" ht="12.75" customHeight="1">
      <c r="F1139" s="74"/>
      <c r="H1139" s="74"/>
    </row>
    <row r="1140" ht="12.75" customHeight="1">
      <c r="F1140" s="74"/>
      <c r="H1140" s="74"/>
    </row>
    <row r="1141" ht="12.75" customHeight="1">
      <c r="F1141" s="74"/>
      <c r="H1141" s="74"/>
    </row>
    <row r="1142" ht="12.75" customHeight="1">
      <c r="F1142" s="74"/>
      <c r="H1142" s="74"/>
    </row>
    <row r="1143" ht="12.75" customHeight="1"/>
    <row r="1144" ht="12.75" customHeight="1"/>
    <row r="1145" ht="12.75" customHeight="1"/>
    <row r="1146" ht="12.75" customHeight="1"/>
    <row r="1147" ht="12.75" customHeight="1">
      <c r="F1147" s="74"/>
      <c r="H1147" s="74"/>
    </row>
    <row r="1148" ht="12.75" customHeight="1">
      <c r="F1148" s="74"/>
      <c r="H1148" s="74"/>
    </row>
    <row r="1149" ht="12.75" customHeight="1">
      <c r="F1149" s="74"/>
      <c r="H1149" s="74"/>
    </row>
    <row r="1150" ht="12.75" customHeight="1">
      <c r="F1150" s="74"/>
      <c r="H1150" s="74"/>
    </row>
    <row r="1151" ht="12.75" customHeight="1"/>
    <row r="1152" ht="12.75" customHeight="1"/>
    <row r="1153" ht="12.75" customHeight="1"/>
    <row r="1154" ht="12.75" customHeight="1">
      <c r="F1154" s="74"/>
      <c r="H1154" s="74"/>
    </row>
    <row r="1155" ht="12.75" customHeight="1">
      <c r="F1155" s="74"/>
      <c r="H1155" s="74"/>
    </row>
    <row r="1156" ht="12.75" customHeight="1">
      <c r="F1156" s="74"/>
      <c r="H1156" s="74"/>
    </row>
    <row r="1157" ht="12.75" customHeight="1"/>
    <row r="1158" ht="12.75" customHeight="1"/>
    <row r="1159" ht="12.75" customHeight="1"/>
    <row r="1160" ht="12.75" customHeight="1">
      <c r="F1160" s="74"/>
      <c r="H1160" s="74"/>
    </row>
    <row r="1161" ht="12.75" customHeight="1">
      <c r="F1161" s="74"/>
      <c r="H1161" s="74"/>
      <c r="AG1161" s="74"/>
    </row>
    <row r="1162" ht="12.75" customHeight="1"/>
    <row r="1163" ht="12.75" customHeight="1"/>
    <row r="1164" ht="12.75" customHeight="1">
      <c r="F1164" s="74"/>
      <c r="H1164" s="74"/>
    </row>
    <row r="1165" ht="12.75" customHeight="1"/>
    <row r="1166" ht="12.75" customHeight="1">
      <c r="AG1166" s="74"/>
    </row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>
      <c r="F1175" s="74"/>
      <c r="H1175" s="74"/>
    </row>
    <row r="1176" ht="12.75" customHeight="1">
      <c r="F1176" s="74"/>
      <c r="H1176" s="74"/>
    </row>
    <row r="1177" ht="12.75" customHeight="1">
      <c r="F1177" s="74"/>
      <c r="H1177" s="74"/>
    </row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>
      <c r="F1184" s="74"/>
      <c r="H1184" s="74"/>
    </row>
    <row r="1185" ht="12.75" customHeight="1">
      <c r="F1185" s="74"/>
      <c r="H1185" s="74"/>
    </row>
    <row r="1186" ht="12.75" customHeight="1">
      <c r="F1186" s="74"/>
      <c r="H1186" s="74"/>
    </row>
    <row r="1187" ht="12.75" customHeight="1">
      <c r="F1187" s="74"/>
      <c r="H1187" s="74"/>
    </row>
    <row r="1188" ht="12.75" customHeight="1">
      <c r="F1188" s="74"/>
      <c r="H1188" s="74"/>
    </row>
    <row r="1189" ht="12.75" customHeight="1">
      <c r="F1189" s="74"/>
      <c r="H1189" s="74"/>
    </row>
    <row r="1190" ht="12.75" customHeight="1">
      <c r="AG1190" s="74"/>
    </row>
    <row r="1191" ht="12.75" customHeight="1">
      <c r="F1191" s="74"/>
      <c r="H1191" s="74"/>
    </row>
    <row r="1192" ht="12.75" customHeight="1">
      <c r="F1192" s="74"/>
      <c r="H1192" s="74"/>
    </row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>
      <c r="F1201" s="74"/>
      <c r="H1201" s="74"/>
    </row>
    <row r="1202" ht="12.75" customHeight="1"/>
    <row r="1203" ht="12.75" customHeight="1">
      <c r="F1203" s="74"/>
      <c r="H1203" s="74"/>
    </row>
    <row r="1204" ht="12.75" customHeight="1"/>
    <row r="1205" ht="12.75" customHeight="1"/>
    <row r="1206" ht="12.75" customHeight="1">
      <c r="F1206" s="74"/>
      <c r="H1206" s="74"/>
    </row>
    <row r="1207" ht="12.75" customHeight="1">
      <c r="F1207" s="74"/>
      <c r="H1207" s="74"/>
    </row>
    <row r="1208" ht="12.75" customHeight="1">
      <c r="F1208" s="74"/>
      <c r="H1208" s="74"/>
    </row>
    <row r="1209" ht="12.75" customHeight="1"/>
    <row r="1210" ht="12.75" customHeight="1">
      <c r="F1210" s="74"/>
      <c r="H1210" s="74"/>
    </row>
    <row r="1211" ht="12.75" customHeight="1"/>
    <row r="1212" ht="12.75" customHeight="1"/>
    <row r="1213" ht="12.75" customHeight="1"/>
    <row r="1214" ht="12.75" customHeight="1"/>
    <row r="1215" ht="12.75" customHeight="1">
      <c r="AG1215" s="74"/>
    </row>
    <row r="1216" ht="12.75" customHeight="1"/>
    <row r="1217" ht="12.75" customHeight="1">
      <c r="F1217" s="74"/>
      <c r="H1217" s="74"/>
    </row>
    <row r="1218" ht="12.75" customHeight="1">
      <c r="F1218" s="74"/>
      <c r="H1218" s="74"/>
    </row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>
      <c r="F1227" s="74"/>
      <c r="H1227" s="74"/>
    </row>
    <row r="1228" ht="12.75" customHeight="1">
      <c r="F1228" s="74"/>
      <c r="H1228" s="74"/>
    </row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>
      <c r="AG1252" s="74"/>
    </row>
    <row r="1253" ht="12.75" customHeight="1">
      <c r="AG1253" s="74"/>
    </row>
    <row r="1254" ht="12.75" customHeight="1">
      <c r="AG1254" s="74"/>
    </row>
    <row r="1255" ht="12.75" customHeight="1">
      <c r="AG1255" s="74"/>
    </row>
    <row r="1256" ht="12.75" customHeight="1">
      <c r="AG1256" s="74"/>
    </row>
    <row r="1257" ht="12.75" customHeight="1"/>
    <row r="1258" ht="12.75" customHeight="1"/>
    <row r="1259" ht="12.75" customHeight="1">
      <c r="AG1259" s="74"/>
    </row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>
      <c r="F1282" s="74"/>
      <c r="H1282" s="74"/>
    </row>
    <row r="1283" ht="12.75" customHeight="1">
      <c r="F1283" s="74"/>
      <c r="H1283" s="74"/>
    </row>
    <row r="1284" ht="12.75" customHeight="1">
      <c r="F1284" s="74"/>
      <c r="H1284" s="74"/>
    </row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>
      <c r="F1294" s="74"/>
      <c r="H1294" s="74"/>
    </row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>
      <c r="F1300" s="74"/>
      <c r="H1300" s="74"/>
    </row>
    <row r="1301" ht="12.75" customHeight="1">
      <c r="F1301" s="74"/>
      <c r="H1301" s="74"/>
    </row>
    <row r="1302" ht="12.75" customHeight="1">
      <c r="F1302" s="74"/>
      <c r="H1302" s="74"/>
    </row>
    <row r="1303" ht="12.75" customHeight="1"/>
    <row r="1304" ht="12.75" customHeight="1">
      <c r="F1304" s="74"/>
      <c r="H1304" s="74"/>
    </row>
    <row r="1305" ht="12.75" customHeight="1">
      <c r="AG1305" s="74"/>
    </row>
    <row r="1306" ht="12.75" customHeight="1"/>
    <row r="1307" ht="12.75" customHeight="1"/>
    <row r="1308" ht="12.75" customHeight="1">
      <c r="AG1308" s="74"/>
    </row>
    <row r="1309" ht="12.75" customHeight="1"/>
    <row r="1310" ht="12.75" customHeight="1"/>
    <row r="1311" ht="12.75" customHeight="1">
      <c r="AG1311" s="74"/>
    </row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>
      <c r="AG1325" s="74"/>
    </row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>
      <c r="F1332" s="74"/>
      <c r="H1332" s="74"/>
    </row>
    <row r="1333" ht="12.75" customHeight="1">
      <c r="F1333" s="74"/>
      <c r="H1333" s="74"/>
    </row>
    <row r="1334" ht="12.75" customHeight="1">
      <c r="F1334" s="74"/>
      <c r="H1334" s="74"/>
    </row>
    <row r="1335" ht="12.75" customHeight="1"/>
    <row r="1336" ht="12.75" customHeight="1"/>
    <row r="1337" ht="12.75" customHeight="1"/>
    <row r="1338" ht="12.75" customHeight="1"/>
    <row r="1339" ht="12.75" customHeight="1">
      <c r="AG1339" s="74"/>
    </row>
    <row r="1340" ht="12.75" customHeight="1">
      <c r="AG1340" s="74"/>
    </row>
    <row r="1341" ht="12.75" customHeight="1"/>
    <row r="1342" ht="12.75" customHeight="1"/>
    <row r="1343" ht="12.75" customHeight="1"/>
    <row r="1344" ht="12.75" customHeight="1"/>
    <row r="1345" ht="12.75" customHeight="1">
      <c r="F1345" s="74"/>
      <c r="H1345" s="74"/>
    </row>
    <row r="1346" ht="12.75" customHeight="1">
      <c r="F1346" s="74"/>
      <c r="H1346" s="74"/>
    </row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>
      <c r="F1424" s="74"/>
      <c r="H1424" s="74"/>
    </row>
    <row r="1425" ht="12.75" customHeight="1"/>
    <row r="1426" ht="12.75" customHeight="1"/>
    <row r="1427" ht="12.75" customHeight="1">
      <c r="F1427" s="74"/>
      <c r="H1427" s="74"/>
    </row>
    <row r="1428" ht="12.75" customHeight="1"/>
    <row r="1429" ht="12.75" customHeight="1"/>
    <row r="1430" ht="12.75" customHeight="1"/>
    <row r="1431" ht="12.75" customHeight="1"/>
    <row r="1432" ht="12.75" customHeight="1">
      <c r="F1432" s="74"/>
      <c r="H1432" s="74"/>
    </row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>
      <c r="F1439" s="74"/>
      <c r="H1439" s="74"/>
    </row>
    <row r="1440" ht="12.75" customHeight="1"/>
    <row r="1441" ht="12.75" customHeight="1"/>
    <row r="1442" ht="12.75" customHeight="1"/>
    <row r="1443" ht="12.75" customHeight="1">
      <c r="F1443" s="74"/>
      <c r="H1443" s="74"/>
    </row>
    <row r="1444" ht="12.75" customHeight="1"/>
    <row r="1445" ht="12.75" customHeight="1"/>
    <row r="1446" ht="12.75" customHeight="1"/>
    <row r="1447" ht="12.75" customHeight="1"/>
    <row r="1448" ht="12.75" customHeight="1">
      <c r="F1448" s="74"/>
      <c r="H1448" s="74"/>
    </row>
    <row r="1449" ht="12.75" customHeight="1">
      <c r="F1449" s="74"/>
      <c r="H1449" s="74"/>
    </row>
    <row r="1450" ht="12.75" customHeight="1">
      <c r="F1450" s="74"/>
      <c r="H1450" s="74"/>
    </row>
    <row r="1451" ht="12.75" customHeight="1">
      <c r="F1451" s="74"/>
      <c r="H1451" s="74"/>
    </row>
    <row r="1452" ht="12.75" customHeight="1">
      <c r="F1452" s="74"/>
      <c r="H1452" s="74"/>
    </row>
    <row r="1453" ht="12.75" customHeight="1">
      <c r="F1453" s="74"/>
      <c r="H1453" s="74"/>
    </row>
    <row r="1454" ht="12.75" customHeight="1">
      <c r="F1454" s="74"/>
      <c r="H1454" s="74"/>
    </row>
    <row r="1455" ht="12.75" customHeight="1">
      <c r="F1455" s="74"/>
      <c r="H1455" s="74"/>
    </row>
    <row r="1456" ht="12.75" customHeight="1">
      <c r="F1456" s="74"/>
      <c r="H1456" s="74"/>
    </row>
    <row r="1457" ht="12.75" customHeight="1">
      <c r="F1457" s="74"/>
      <c r="H1457" s="74"/>
    </row>
    <row r="1458" ht="12.75" customHeight="1">
      <c r="F1458" s="74"/>
      <c r="H1458" s="74"/>
    </row>
    <row r="1459" ht="12.75" customHeight="1">
      <c r="F1459" s="74"/>
      <c r="H1459" s="74"/>
    </row>
    <row r="1460" ht="12.75" customHeight="1">
      <c r="F1460" s="74"/>
      <c r="H1460" s="74"/>
    </row>
    <row r="1461" ht="12.75" customHeight="1">
      <c r="F1461" s="74"/>
      <c r="H1461" s="74"/>
    </row>
    <row r="1462" ht="12.75" customHeight="1">
      <c r="F1462" s="74"/>
      <c r="H1462" s="74"/>
    </row>
    <row r="1463" ht="12.75" customHeight="1"/>
    <row r="1464" ht="12.75" customHeight="1"/>
    <row r="1465" ht="12.75" customHeight="1"/>
    <row r="1466" ht="12.75" customHeight="1">
      <c r="F1466" s="74"/>
      <c r="H1466" s="74"/>
    </row>
    <row r="1467" ht="12.75" customHeight="1">
      <c r="F1467" s="74"/>
      <c r="H1467" s="74"/>
    </row>
    <row r="1468" ht="12.75" customHeight="1">
      <c r="F1468" s="74"/>
      <c r="H1468" s="74"/>
    </row>
    <row r="1469" ht="12.75" customHeight="1">
      <c r="F1469" s="74"/>
      <c r="H1469" s="74"/>
    </row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>
      <c r="F1476" s="74"/>
      <c r="H1476" s="74"/>
    </row>
    <row r="1477" ht="12.75" customHeight="1">
      <c r="F1477" s="74"/>
      <c r="H1477" s="74"/>
    </row>
    <row r="1478" ht="12.75" customHeight="1">
      <c r="F1478" s="74"/>
      <c r="H1478" s="74"/>
    </row>
    <row r="1479" ht="12.75" customHeight="1">
      <c r="F1479" s="74"/>
      <c r="H1479" s="74"/>
    </row>
    <row r="1480" ht="12.75" customHeight="1">
      <c r="F1480" s="74"/>
      <c r="H1480" s="74"/>
    </row>
    <row r="1481" ht="12.75" customHeight="1">
      <c r="F1481" s="74"/>
      <c r="H1481" s="74"/>
    </row>
    <row r="1482" ht="12.75" customHeight="1"/>
    <row r="1483" ht="12.75" customHeight="1"/>
    <row r="1484" ht="12.75" customHeight="1"/>
    <row r="1485" ht="12.75" customHeight="1">
      <c r="F1485" s="74"/>
      <c r="H1485" s="74"/>
    </row>
    <row r="1486" ht="12.75" customHeight="1">
      <c r="F1486" s="74"/>
      <c r="H1486" s="74"/>
    </row>
    <row r="1487" ht="12.75" customHeight="1">
      <c r="F1487" s="74"/>
      <c r="H1487" s="74"/>
    </row>
    <row r="1488" ht="12.75" customHeight="1">
      <c r="F1488" s="74"/>
      <c r="H1488" s="74"/>
    </row>
    <row r="1489" ht="12.75" customHeight="1">
      <c r="F1489" s="74"/>
      <c r="H1489" s="74"/>
    </row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>
      <c r="F1504" s="74"/>
      <c r="H1504" s="74"/>
    </row>
    <row r="1505" ht="12.75" customHeight="1">
      <c r="F1505" s="74"/>
      <c r="H1505" s="74"/>
    </row>
    <row r="1506" ht="12.75" customHeight="1">
      <c r="F1506" s="74"/>
      <c r="H1506" s="74"/>
    </row>
    <row r="1507" ht="12.75" customHeight="1">
      <c r="F1507" s="74"/>
      <c r="H1507" s="74"/>
    </row>
    <row r="1508" ht="12.75" customHeight="1"/>
    <row r="1509" ht="12.75" customHeight="1">
      <c r="F1509" s="74"/>
      <c r="H1509" s="74"/>
    </row>
    <row r="1510" ht="12.75" customHeight="1">
      <c r="F1510" s="74"/>
      <c r="H1510" s="74"/>
    </row>
    <row r="1511" ht="12.75" customHeight="1"/>
    <row r="1512" ht="12.75" customHeight="1">
      <c r="F1512" s="74"/>
      <c r="H1512" s="74"/>
    </row>
    <row r="1513" ht="12.75" customHeight="1">
      <c r="F1513" s="74"/>
      <c r="H1513" s="74"/>
    </row>
    <row r="1514" ht="12.75" customHeight="1">
      <c r="F1514" s="74"/>
      <c r="H1514" s="74"/>
    </row>
    <row r="1515" ht="12.75" customHeight="1">
      <c r="F1515" s="74"/>
      <c r="H1515" s="74"/>
    </row>
    <row r="1516" ht="12.75" customHeight="1">
      <c r="F1516" s="74"/>
      <c r="H1516" s="74"/>
    </row>
    <row r="1517" ht="12.75" customHeight="1">
      <c r="F1517" s="74"/>
      <c r="H1517" s="74"/>
    </row>
    <row r="1518" ht="12.75" customHeight="1">
      <c r="F1518" s="74"/>
      <c r="H1518" s="74"/>
    </row>
    <row r="1519" ht="12.75" customHeight="1"/>
    <row r="1520" ht="12.75" customHeight="1">
      <c r="F1520" s="74"/>
      <c r="H1520" s="74"/>
    </row>
    <row r="1521" ht="12.75" customHeight="1">
      <c r="F1521" s="74"/>
      <c r="H1521" s="74"/>
    </row>
    <row r="1522" ht="12.75" customHeight="1">
      <c r="F1522" s="74"/>
      <c r="H1522" s="74"/>
    </row>
    <row r="1523" ht="12.75" customHeight="1">
      <c r="F1523" s="74"/>
      <c r="H1523" s="74"/>
    </row>
    <row r="1524" ht="12.75" customHeight="1">
      <c r="F1524" s="74"/>
      <c r="H1524" s="74"/>
    </row>
    <row r="1525" ht="12.75" customHeight="1">
      <c r="F1525" s="74"/>
      <c r="H1525" s="74"/>
    </row>
    <row r="1526" ht="12.75" customHeight="1">
      <c r="F1526" s="74"/>
      <c r="H1526" s="74"/>
    </row>
    <row r="1527" ht="12.75" customHeight="1">
      <c r="F1527" s="74"/>
      <c r="H1527" s="74"/>
    </row>
    <row r="1528" ht="12.75" customHeight="1">
      <c r="F1528" s="74"/>
      <c r="H1528" s="74"/>
    </row>
    <row r="1529" ht="12.75" customHeight="1">
      <c r="F1529" s="74"/>
      <c r="H1529" s="74"/>
    </row>
    <row r="1530" ht="12.75" customHeight="1"/>
    <row r="1531" ht="12.75" customHeight="1"/>
    <row r="1532" ht="12.75" customHeight="1">
      <c r="F1532" s="74"/>
      <c r="H1532" s="74"/>
    </row>
    <row r="1533" ht="12.75" customHeight="1">
      <c r="F1533" s="74"/>
      <c r="H1533" s="74"/>
    </row>
    <row r="1534" ht="12.75" customHeight="1"/>
    <row r="1535" ht="12.75" customHeight="1"/>
    <row r="1536" ht="12.75" customHeight="1"/>
    <row r="1537" ht="12.75" customHeight="1">
      <c r="F1537" s="74"/>
      <c r="H1537" s="74"/>
    </row>
    <row r="1538" ht="12.75" customHeight="1">
      <c r="F1538" s="74"/>
      <c r="H1538" s="74"/>
    </row>
    <row r="1539" ht="12.75" customHeight="1">
      <c r="F1539" s="74"/>
      <c r="H1539" s="74"/>
    </row>
    <row r="1540" ht="12.75" customHeight="1"/>
    <row r="1541" ht="12.75" customHeight="1">
      <c r="F1541" s="74"/>
      <c r="H1541" s="74"/>
    </row>
    <row r="1542" ht="12.75" customHeight="1">
      <c r="F1542" s="74"/>
      <c r="H1542" s="74"/>
    </row>
    <row r="1543" ht="12.75" customHeight="1"/>
    <row r="1544" ht="12.75" customHeight="1">
      <c r="F1544" s="74"/>
      <c r="H1544" s="74"/>
    </row>
    <row r="1545" ht="12.75" customHeight="1">
      <c r="F1545" s="74"/>
      <c r="H1545" s="74"/>
    </row>
    <row r="1546" ht="12.75" customHeight="1">
      <c r="F1546" s="74"/>
      <c r="H1546" s="74"/>
    </row>
    <row r="1547" ht="12.75" customHeight="1"/>
    <row r="1548" ht="12.75" customHeight="1"/>
    <row r="1549" ht="12.75" customHeight="1"/>
    <row r="1550" ht="12.75" customHeight="1"/>
    <row r="1551" ht="12.75" customHeight="1">
      <c r="F1551" s="74"/>
      <c r="H1551" s="74"/>
    </row>
    <row r="1552" ht="12.75" customHeight="1"/>
    <row r="1553" ht="12.75" customHeight="1">
      <c r="F1553" s="74"/>
      <c r="H1553" s="74"/>
    </row>
    <row r="1554" ht="12.75" customHeight="1"/>
    <row r="1555" ht="12.75" customHeight="1"/>
    <row r="1556" ht="12.75" customHeight="1">
      <c r="F1556" s="74"/>
      <c r="H1556" s="74"/>
    </row>
    <row r="1557" ht="12.75" customHeight="1">
      <c r="F1557" s="74"/>
      <c r="H1557" s="74"/>
    </row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>
      <c r="F1564" s="74"/>
      <c r="H1564" s="74"/>
    </row>
    <row r="1565" ht="12.75" customHeight="1">
      <c r="F1565" s="74"/>
      <c r="H1565" s="74"/>
    </row>
    <row r="1566" ht="12.75" customHeight="1">
      <c r="F1566" s="74"/>
      <c r="H1566" s="74"/>
    </row>
    <row r="1567" ht="12.75" customHeight="1">
      <c r="F1567" s="74"/>
      <c r="H1567" s="74"/>
    </row>
    <row r="1568" ht="12.75" customHeight="1">
      <c r="F1568" s="74"/>
      <c r="H1568" s="74"/>
    </row>
    <row r="1569" ht="12.75" customHeight="1">
      <c r="F1569" s="74"/>
      <c r="H1569" s="74"/>
    </row>
    <row r="1570" ht="12.75" customHeight="1">
      <c r="F1570" s="74"/>
      <c r="H1570" s="74"/>
    </row>
    <row r="1571" ht="12.75" customHeight="1">
      <c r="F1571" s="74"/>
      <c r="H1571" s="74"/>
    </row>
    <row r="1572" ht="12.75" customHeight="1">
      <c r="F1572" s="74"/>
      <c r="H1572" s="74"/>
    </row>
    <row r="1573" ht="12.75" customHeight="1">
      <c r="F1573" s="74"/>
      <c r="H1573" s="74"/>
    </row>
    <row r="1574" ht="12.75" customHeight="1"/>
    <row r="1575" ht="12.75" customHeight="1"/>
    <row r="1576" ht="12.75" customHeight="1">
      <c r="F1576" s="74"/>
      <c r="H1576" s="74"/>
    </row>
    <row r="1577" ht="12.75" customHeight="1">
      <c r="F1577" s="74"/>
      <c r="H1577" s="74"/>
    </row>
    <row r="1578" ht="12.75" customHeight="1">
      <c r="F1578" s="74"/>
      <c r="H1578" s="74"/>
    </row>
    <row r="1579" ht="12.75" customHeight="1">
      <c r="F1579" s="74"/>
      <c r="H1579" s="74"/>
    </row>
    <row r="1580" ht="12.75" customHeight="1">
      <c r="F1580" s="74"/>
      <c r="H1580" s="74"/>
    </row>
    <row r="1581" ht="12.75" customHeight="1">
      <c r="F1581" s="74"/>
      <c r="H1581" s="74"/>
      <c r="L1581" s="74"/>
    </row>
    <row r="1582" ht="12.75" customHeight="1">
      <c r="F1582" s="74"/>
      <c r="H1582" s="74"/>
    </row>
    <row r="1583" ht="12.75" customHeight="1">
      <c r="F1583" s="74"/>
      <c r="H1583" s="74"/>
    </row>
    <row r="1584" ht="12.75" customHeight="1"/>
    <row r="1585" ht="12.75" customHeight="1">
      <c r="F1585" s="74"/>
      <c r="H1585" s="74"/>
    </row>
    <row r="1586" ht="12.75" customHeight="1">
      <c r="F1586" s="74"/>
      <c r="H1586" s="74"/>
    </row>
    <row r="1587" ht="12.75" customHeight="1">
      <c r="F1587" s="74"/>
      <c r="H1587" s="74"/>
    </row>
    <row r="1588" ht="12.75" customHeight="1">
      <c r="F1588" s="74"/>
      <c r="H1588" s="74"/>
    </row>
    <row r="1589" ht="12.75" customHeight="1">
      <c r="F1589" s="74"/>
      <c r="H1589" s="74"/>
    </row>
    <row r="1590" ht="12.75" customHeight="1">
      <c r="F1590" s="74"/>
      <c r="H1590" s="74"/>
    </row>
    <row r="1591" ht="12.75" customHeight="1">
      <c r="F1591" s="74"/>
      <c r="H1591" s="74"/>
    </row>
    <row r="1592" ht="12.75" customHeight="1">
      <c r="F1592" s="74"/>
      <c r="H1592" s="74"/>
    </row>
    <row r="1593" ht="12.75" customHeight="1">
      <c r="F1593" s="74"/>
      <c r="H1593" s="74"/>
    </row>
    <row r="1594" ht="12.75" customHeight="1"/>
    <row r="1595" ht="12.75" customHeight="1"/>
    <row r="1596" ht="12.75" customHeight="1">
      <c r="F1596" s="74"/>
      <c r="H1596" s="74"/>
    </row>
    <row r="1597" ht="12.75" customHeight="1"/>
    <row r="1598" ht="12.75" customHeight="1">
      <c r="F1598" s="74"/>
      <c r="H1598" s="74"/>
    </row>
    <row r="1599" ht="12.75" customHeight="1">
      <c r="F1599" s="74"/>
      <c r="H1599" s="74"/>
    </row>
    <row r="1600" ht="12.75" customHeight="1">
      <c r="F1600" s="74"/>
      <c r="H1600" s="74"/>
    </row>
    <row r="1601" ht="12.75" customHeight="1"/>
    <row r="1602" ht="12.75" customHeight="1"/>
    <row r="1603" ht="12.75" customHeight="1">
      <c r="F1603" s="74"/>
      <c r="H1603" s="74"/>
    </row>
    <row r="1604" ht="12.75" customHeight="1">
      <c r="F1604" s="74"/>
      <c r="H1604" s="74"/>
    </row>
    <row r="1605" ht="12.75" customHeight="1">
      <c r="F1605" s="74"/>
      <c r="H1605" s="74"/>
    </row>
    <row r="1606" ht="12.75" customHeight="1">
      <c r="F1606" s="74"/>
      <c r="H1606" s="74"/>
    </row>
    <row r="1607" ht="12.75" customHeight="1">
      <c r="F1607" s="74"/>
      <c r="H1607" s="74"/>
    </row>
    <row r="1608" ht="12.75" customHeight="1">
      <c r="F1608" s="74"/>
      <c r="H1608" s="74"/>
    </row>
    <row r="1609" ht="12.75" customHeight="1">
      <c r="AG1609" s="74"/>
    </row>
    <row r="1610" ht="12.75" customHeight="1">
      <c r="F1610" s="74"/>
      <c r="H1610" s="74"/>
    </row>
    <row r="1611" ht="12.75" customHeight="1">
      <c r="F1611" s="74"/>
      <c r="H1611" s="74"/>
    </row>
    <row r="1612" ht="12.75" customHeight="1">
      <c r="F1612" s="74"/>
      <c r="H1612" s="74"/>
    </row>
    <row r="1613" ht="12.75" customHeight="1">
      <c r="F1613" s="74"/>
      <c r="H1613" s="74"/>
    </row>
    <row r="1614" ht="12.75" customHeight="1">
      <c r="F1614" s="74"/>
      <c r="H1614" s="74"/>
    </row>
    <row r="1615" ht="12.75" customHeight="1">
      <c r="F1615" s="74"/>
      <c r="H1615" s="74"/>
    </row>
    <row r="1616" ht="12.75" customHeight="1"/>
    <row r="1617" ht="12.75" customHeight="1"/>
    <row r="1618" ht="12.75" customHeight="1">
      <c r="F1618" s="74"/>
      <c r="H1618" s="74"/>
    </row>
    <row r="1619" ht="12.75" customHeight="1">
      <c r="F1619" s="74"/>
      <c r="H1619" s="74"/>
    </row>
    <row r="1620" ht="12.75" customHeight="1">
      <c r="F1620" s="74"/>
      <c r="H1620" s="74"/>
    </row>
    <row r="1621" ht="12.75" customHeight="1">
      <c r="AG1621" s="74"/>
    </row>
    <row r="1622" ht="12.75" customHeight="1"/>
    <row r="1623" ht="12.75" customHeight="1"/>
    <row r="1624" ht="12.75" customHeight="1">
      <c r="F1624" s="74"/>
      <c r="H1624" s="74"/>
    </row>
    <row r="1625" ht="12.75" customHeight="1">
      <c r="F1625" s="74"/>
      <c r="H1625" s="74"/>
    </row>
    <row r="1626" ht="12.75" customHeight="1">
      <c r="F1626" s="74"/>
      <c r="H1626" s="74"/>
    </row>
    <row r="1627" ht="12.75" customHeight="1">
      <c r="F1627" s="74"/>
      <c r="H1627" s="74"/>
    </row>
    <row r="1628" ht="12.75" customHeight="1"/>
    <row r="1629" ht="12.75" customHeight="1"/>
    <row r="1630" ht="12.75" customHeight="1">
      <c r="F1630" s="74"/>
      <c r="H1630" s="74"/>
    </row>
    <row r="1631" ht="12.75" customHeight="1">
      <c r="AG1631" s="74"/>
    </row>
    <row r="1632" ht="12.75" customHeight="1"/>
    <row r="1633" ht="12.75" customHeight="1">
      <c r="F1633" s="74"/>
      <c r="H1633" s="74"/>
    </row>
    <row r="1634" ht="12.75" customHeight="1">
      <c r="F1634" s="74"/>
      <c r="H1634" s="74"/>
    </row>
    <row r="1635" ht="12.75" customHeight="1">
      <c r="F1635" s="74"/>
      <c r="H1635" s="74"/>
    </row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>
      <c r="AG1642" s="74"/>
    </row>
    <row r="1643" ht="12.75" customHeight="1"/>
    <row r="1644" ht="12.75" customHeight="1"/>
    <row r="1645" ht="12.75" customHeight="1">
      <c r="F1645" s="74"/>
      <c r="H1645" s="74"/>
    </row>
    <row r="1646" ht="12.75" customHeight="1">
      <c r="F1646" s="74"/>
      <c r="H1646" s="74"/>
    </row>
    <row r="1647" ht="12.75" customHeight="1">
      <c r="F1647" s="74"/>
      <c r="H1647" s="74"/>
    </row>
    <row r="1648" ht="12.75" customHeight="1"/>
    <row r="1649" ht="12.75" customHeight="1">
      <c r="F1649" s="74"/>
      <c r="H1649" s="74"/>
    </row>
    <row r="1650" ht="12.75" customHeight="1">
      <c r="F1650" s="74"/>
      <c r="H1650" s="74"/>
    </row>
    <row r="1651" ht="12.75" customHeight="1"/>
    <row r="1652" ht="12.75" customHeight="1">
      <c r="F1652" s="74"/>
      <c r="H1652" s="74"/>
    </row>
    <row r="1653" ht="12.75" customHeight="1">
      <c r="F1653" s="74"/>
      <c r="H1653" s="74"/>
    </row>
    <row r="1654" ht="12.75" customHeight="1"/>
    <row r="1655" ht="12.75" customHeight="1"/>
    <row r="1656" ht="12.75" customHeight="1"/>
    <row r="1657" ht="12.75" customHeight="1">
      <c r="F1657" s="74"/>
      <c r="H1657" s="74"/>
    </row>
    <row r="1658" ht="12.75" customHeight="1">
      <c r="F1658" s="74"/>
      <c r="H1658" s="74"/>
    </row>
    <row r="1659" ht="12.75" customHeight="1">
      <c r="F1659" s="74"/>
      <c r="H1659" s="74"/>
    </row>
    <row r="1660" ht="12.75" customHeight="1">
      <c r="F1660" s="74"/>
      <c r="H1660" s="74"/>
    </row>
    <row r="1661" ht="12.75" customHeight="1">
      <c r="F1661" s="74"/>
      <c r="H1661" s="74"/>
    </row>
    <row r="1662" ht="12.75" customHeight="1">
      <c r="F1662" s="74"/>
      <c r="H1662" s="74"/>
    </row>
    <row r="1663" ht="12.75" customHeight="1"/>
    <row r="1664" ht="12.75" customHeight="1">
      <c r="F1664" s="74"/>
      <c r="H1664" s="74"/>
    </row>
    <row r="1665" ht="12.75" customHeight="1">
      <c r="F1665" s="74"/>
      <c r="H1665" s="74"/>
    </row>
    <row r="1666" ht="12.75" customHeight="1">
      <c r="F1666" s="74"/>
      <c r="H1666" s="74"/>
    </row>
    <row r="1667" ht="12.75" customHeight="1"/>
    <row r="1668" ht="12.75" customHeight="1">
      <c r="F1668" s="74"/>
      <c r="H1668" s="74"/>
    </row>
    <row r="1669" ht="12.75" customHeight="1"/>
    <row r="1670" ht="12.75" customHeight="1"/>
    <row r="1671" ht="12.75" customHeight="1"/>
    <row r="1672" ht="12.75" customHeight="1">
      <c r="F1672" s="74"/>
      <c r="H1672" s="74"/>
    </row>
    <row r="1673" ht="12.75" customHeight="1"/>
    <row r="1674" ht="12.75" customHeight="1"/>
    <row r="1675" ht="12.75" customHeight="1">
      <c r="F1675" s="74"/>
      <c r="H1675" s="74"/>
    </row>
    <row r="1676" ht="12.75" customHeight="1">
      <c r="F1676" s="74"/>
      <c r="H1676" s="74"/>
      <c r="AG1676" s="74"/>
    </row>
    <row r="1677" ht="12.75" customHeight="1">
      <c r="F1677" s="74"/>
      <c r="H1677" s="74"/>
    </row>
    <row r="1678" ht="12.75" customHeight="1">
      <c r="F1678" s="74"/>
      <c r="H1678" s="74"/>
    </row>
    <row r="1679" ht="12.75" customHeight="1">
      <c r="F1679" s="74"/>
      <c r="H1679" s="74"/>
    </row>
    <row r="1680" ht="12.75" customHeight="1"/>
    <row r="1681" ht="12.75" customHeight="1"/>
    <row r="1682" ht="12.75" customHeight="1"/>
    <row r="1683" ht="12.75" customHeight="1">
      <c r="F1683" s="74"/>
      <c r="H1683" s="74"/>
    </row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>
      <c r="F1698" s="74"/>
      <c r="H1698" s="74"/>
    </row>
    <row r="1699" ht="12.75" customHeight="1">
      <c r="F1699" s="74"/>
      <c r="H1699" s="74"/>
    </row>
    <row r="1700" ht="12.75" customHeight="1">
      <c r="F1700" s="74"/>
      <c r="H1700" s="74"/>
    </row>
    <row r="1701" ht="12.75" customHeight="1">
      <c r="F1701" s="74"/>
      <c r="H1701" s="74"/>
    </row>
    <row r="1702" ht="12.75" customHeight="1">
      <c r="F1702" s="74"/>
      <c r="H1702" s="74"/>
    </row>
    <row r="1703" ht="12.75" customHeight="1">
      <c r="F1703" s="74"/>
      <c r="H1703" s="74"/>
    </row>
    <row r="1704" ht="12.75" customHeight="1">
      <c r="F1704" s="74"/>
      <c r="H1704" s="74"/>
    </row>
    <row r="1705" ht="12.75" customHeight="1">
      <c r="F1705" s="74"/>
      <c r="H1705" s="74"/>
    </row>
    <row r="1706" ht="12.75" customHeight="1">
      <c r="F1706" s="74"/>
      <c r="H1706" s="74"/>
    </row>
    <row r="1707" ht="12.75" customHeight="1">
      <c r="F1707" s="74"/>
      <c r="H1707" s="74"/>
    </row>
    <row r="1708" ht="12.75" customHeight="1">
      <c r="F1708" s="74"/>
      <c r="H1708" s="74"/>
    </row>
    <row r="1709" ht="12.75" customHeight="1">
      <c r="F1709" s="74"/>
      <c r="H1709" s="74"/>
    </row>
    <row r="1710" ht="12.75" customHeight="1">
      <c r="F1710" s="74"/>
      <c r="H1710" s="74"/>
    </row>
    <row r="1711" ht="12.75" customHeight="1">
      <c r="F1711" s="74"/>
      <c r="H1711" s="74"/>
    </row>
    <row r="1712" ht="12.75" customHeight="1">
      <c r="F1712" s="74"/>
      <c r="H1712" s="74"/>
    </row>
    <row r="1713" ht="12.75" customHeight="1">
      <c r="F1713" s="74"/>
      <c r="H1713" s="74"/>
    </row>
    <row r="1714" ht="12.75" customHeight="1">
      <c r="F1714" s="74"/>
      <c r="H1714" s="74"/>
    </row>
    <row r="1715" ht="12.75" customHeight="1">
      <c r="F1715" s="74"/>
      <c r="H1715" s="74"/>
    </row>
    <row r="1716" ht="12.75" customHeight="1">
      <c r="F1716" s="74"/>
      <c r="H1716" s="74"/>
    </row>
    <row r="1717" ht="12.75" customHeight="1">
      <c r="F1717" s="74"/>
      <c r="H1717" s="74"/>
    </row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>
      <c r="F1727" s="74"/>
      <c r="H1727" s="74"/>
    </row>
    <row r="1728" ht="12.75" customHeight="1">
      <c r="AG1728" s="74"/>
    </row>
    <row r="1729" ht="12.75" customHeight="1">
      <c r="F1729" s="74"/>
      <c r="H1729" s="74"/>
    </row>
    <row r="1730" ht="12.75" customHeight="1">
      <c r="F1730" s="74"/>
      <c r="H1730" s="74"/>
    </row>
    <row r="1731" ht="12.75" customHeight="1">
      <c r="F1731" s="74"/>
      <c r="H1731" s="74"/>
    </row>
    <row r="1732" ht="12.75" customHeight="1">
      <c r="F1732" s="74"/>
      <c r="H1732" s="74"/>
    </row>
    <row r="1733" ht="12.75" customHeight="1">
      <c r="F1733" s="74"/>
      <c r="H1733" s="74"/>
    </row>
    <row r="1734" ht="12.75" customHeight="1">
      <c r="F1734" s="74"/>
      <c r="H1734" s="74"/>
    </row>
    <row r="1735" ht="12.75" customHeight="1"/>
    <row r="1736" ht="12.75" customHeight="1">
      <c r="F1736" s="74"/>
      <c r="H1736" s="74"/>
    </row>
    <row r="1737" ht="12.75" customHeight="1">
      <c r="F1737" s="74"/>
      <c r="H1737" s="74"/>
    </row>
    <row r="1738" ht="12.75" customHeight="1">
      <c r="AG1738" s="74"/>
    </row>
    <row r="1739" ht="12.75" customHeight="1">
      <c r="AG1739" s="74"/>
    </row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>
      <c r="F1746" s="74"/>
      <c r="H1746" s="74"/>
    </row>
    <row r="1747" ht="12.75" customHeight="1"/>
    <row r="1748" ht="12.75" customHeight="1"/>
    <row r="1749" ht="12.75" customHeight="1">
      <c r="F1749" s="74"/>
      <c r="H1749" s="74"/>
    </row>
    <row r="1750" ht="12.75" customHeight="1">
      <c r="F1750" s="74"/>
      <c r="H1750" s="74"/>
    </row>
    <row r="1751" ht="12.75" customHeight="1">
      <c r="F1751" s="74"/>
      <c r="H1751" s="74"/>
    </row>
    <row r="1752" ht="12.75" customHeight="1">
      <c r="F1752" s="74"/>
      <c r="H1752" s="74"/>
      <c r="AG1752" s="74"/>
    </row>
    <row r="1753" ht="12.75" customHeight="1"/>
    <row r="1754" ht="12.75" customHeight="1">
      <c r="F1754" s="74"/>
      <c r="H1754" s="74"/>
    </row>
    <row r="1755" ht="12.75" customHeight="1">
      <c r="F1755" s="74"/>
      <c r="H1755" s="74"/>
    </row>
    <row r="1756" ht="12.75" customHeight="1">
      <c r="F1756" s="74"/>
      <c r="H1756" s="74"/>
    </row>
    <row r="1757" ht="12.75" customHeight="1">
      <c r="F1757" s="74"/>
      <c r="H1757" s="74"/>
    </row>
    <row r="1758" ht="12.75" customHeight="1">
      <c r="F1758" s="74"/>
      <c r="H1758" s="74"/>
    </row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>
      <c r="F1767" s="74"/>
      <c r="H1767" s="74"/>
    </row>
    <row r="1768" ht="12.75" customHeight="1">
      <c r="F1768" s="74"/>
      <c r="H1768" s="74"/>
    </row>
    <row r="1769" ht="12.75" customHeight="1">
      <c r="F1769" s="74"/>
      <c r="H1769" s="74"/>
    </row>
    <row r="1770" ht="12.75" customHeight="1"/>
    <row r="1771" ht="12.75" customHeight="1"/>
    <row r="1772" ht="12.75" customHeight="1">
      <c r="F1772" s="74"/>
      <c r="H1772" s="74"/>
    </row>
    <row r="1773" ht="12.75" customHeight="1"/>
    <row r="1774" ht="12.75" customHeight="1">
      <c r="F1774" s="74"/>
      <c r="H1774" s="74"/>
    </row>
    <row r="1775" ht="12.75" customHeight="1"/>
    <row r="1776" ht="12.75" customHeight="1">
      <c r="F1776" s="74"/>
      <c r="H1776" s="74"/>
    </row>
    <row r="1777" ht="12.75" customHeight="1">
      <c r="F1777" s="74"/>
      <c r="H1777" s="74"/>
    </row>
    <row r="1778" ht="12.75" customHeight="1">
      <c r="F1778" s="74"/>
      <c r="H1778" s="74"/>
    </row>
    <row r="1779" ht="12.75" customHeight="1">
      <c r="F1779" s="74"/>
      <c r="H1779" s="74"/>
    </row>
    <row r="1780" ht="12.75" customHeight="1">
      <c r="F1780" s="74"/>
      <c r="H1780" s="74"/>
    </row>
    <row r="1781" ht="12.75" customHeight="1">
      <c r="F1781" s="74"/>
      <c r="H1781" s="74"/>
    </row>
    <row r="1782" ht="12.75" customHeight="1">
      <c r="F1782" s="74"/>
      <c r="H1782" s="74"/>
    </row>
    <row r="1783" ht="12.75" customHeight="1">
      <c r="F1783" s="74"/>
      <c r="H1783" s="74"/>
    </row>
    <row r="1784" ht="12.75" customHeight="1">
      <c r="F1784" s="74"/>
      <c r="H1784" s="74"/>
    </row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>
      <c r="F1802" s="74"/>
      <c r="H1802" s="74"/>
      <c r="L1802" s="74"/>
    </row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>
      <c r="F1811" s="74"/>
      <c r="H1811" s="74"/>
    </row>
    <row r="1812" ht="12.75" customHeight="1">
      <c r="F1812" s="74"/>
      <c r="H1812" s="74"/>
    </row>
    <row r="1813" ht="12.75" customHeight="1">
      <c r="F1813" s="74"/>
      <c r="H1813" s="74"/>
    </row>
    <row r="1814" ht="12.75" customHeight="1">
      <c r="F1814" s="74"/>
      <c r="H1814" s="74"/>
    </row>
    <row r="1815" ht="12.75" customHeight="1">
      <c r="F1815" s="74"/>
      <c r="H1815" s="74"/>
    </row>
    <row r="1816" ht="12.75" customHeight="1">
      <c r="F1816" s="74"/>
      <c r="H1816" s="74"/>
    </row>
    <row r="1817" ht="12.75" customHeight="1"/>
    <row r="1818" ht="12.75" customHeight="1">
      <c r="AG1818" s="74"/>
    </row>
    <row r="1819" ht="12.75" customHeight="1"/>
    <row r="1820" ht="12.75" customHeight="1">
      <c r="F1820" s="74"/>
      <c r="H1820" s="74"/>
    </row>
    <row r="1821" ht="12.75" customHeight="1">
      <c r="F1821" s="74"/>
      <c r="H1821" s="74"/>
    </row>
    <row r="1822" ht="12.75" customHeight="1">
      <c r="F1822" s="74"/>
      <c r="H1822" s="74"/>
    </row>
    <row r="1823" ht="12.75" customHeight="1">
      <c r="F1823" s="74"/>
      <c r="H1823" s="74"/>
    </row>
    <row r="1824" ht="12.75" customHeight="1"/>
    <row r="1825" ht="12.75" customHeight="1"/>
    <row r="1826" ht="12.75" customHeight="1">
      <c r="F1826" s="74"/>
      <c r="H1826" s="74"/>
    </row>
    <row r="1827" ht="12.75" customHeight="1">
      <c r="F1827" s="74"/>
      <c r="H1827" s="74"/>
    </row>
    <row r="1828" ht="12.75" customHeight="1"/>
    <row r="1829" ht="12.75" customHeight="1">
      <c r="AG1829" s="74"/>
    </row>
    <row r="1830" ht="12.75" customHeight="1">
      <c r="AG1830" s="74"/>
    </row>
    <row r="1831" ht="12.75" customHeight="1"/>
    <row r="1832" ht="12.75" customHeight="1">
      <c r="F1832" s="74"/>
      <c r="H1832" s="74"/>
    </row>
    <row r="1833" ht="12.75" customHeight="1">
      <c r="F1833" s="74"/>
      <c r="H1833" s="74"/>
    </row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>
      <c r="F1839" s="74"/>
      <c r="H1839" s="74"/>
    </row>
    <row r="1840" ht="12.75" customHeight="1">
      <c r="F1840" s="74"/>
      <c r="H1840" s="74"/>
    </row>
    <row r="1841" ht="12.75" customHeight="1">
      <c r="F1841" s="74"/>
      <c r="H1841" s="74"/>
    </row>
    <row r="1842" ht="12.75" customHeight="1">
      <c r="F1842" s="74"/>
      <c r="H1842" s="74"/>
    </row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>
      <c r="F1858" s="74"/>
      <c r="H1858" s="74"/>
    </row>
    <row r="1859" ht="12.75" customHeight="1">
      <c r="F1859" s="74"/>
      <c r="H1859" s="74"/>
    </row>
    <row r="1860" ht="12.75" customHeight="1">
      <c r="F1860" s="74"/>
      <c r="H1860" s="74"/>
    </row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>
      <c r="AG1883" s="74"/>
    </row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>
      <c r="F1893" s="74"/>
      <c r="H1893" s="74"/>
    </row>
    <row r="1894" ht="12.75" customHeight="1"/>
    <row r="1895" ht="12.75" customHeight="1"/>
    <row r="1896" ht="12.75" customHeight="1">
      <c r="F1896" s="74"/>
      <c r="H1896" s="74"/>
    </row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>
      <c r="F1928" s="74"/>
      <c r="H1928" s="74"/>
    </row>
    <row r="1929" ht="12.75" customHeight="1">
      <c r="F1929" s="74"/>
      <c r="H1929" s="74"/>
    </row>
    <row r="1930" ht="12.75" customHeight="1"/>
    <row r="1931" ht="12.75" customHeight="1"/>
    <row r="1932" ht="12.75" customHeight="1"/>
    <row r="1933" ht="12.75" customHeight="1"/>
    <row r="1934" ht="12.75" customHeight="1">
      <c r="F1934" s="74"/>
      <c r="H1934" s="74"/>
    </row>
    <row r="1935" ht="12.75" customHeight="1">
      <c r="F1935" s="74"/>
      <c r="H1935" s="74"/>
    </row>
    <row r="1936" ht="12.75" customHeight="1">
      <c r="F1936" s="74"/>
      <c r="H1936" s="74"/>
    </row>
    <row r="1937" ht="12.75" customHeight="1">
      <c r="F1937" s="74"/>
      <c r="H1937" s="74"/>
    </row>
    <row r="1938" ht="12.75" customHeight="1">
      <c r="F1938" s="74"/>
      <c r="H1938" s="74"/>
    </row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>
      <c r="F1949" s="74"/>
      <c r="H1949" s="74"/>
    </row>
    <row r="1950" ht="12.75" customHeight="1">
      <c r="F1950" s="74"/>
      <c r="H1950" s="74"/>
    </row>
    <row r="1951" ht="12.75" customHeight="1">
      <c r="F1951" s="74"/>
      <c r="H1951" s="74"/>
    </row>
    <row r="1952" ht="12.75" customHeight="1">
      <c r="F1952" s="74"/>
      <c r="H1952" s="74"/>
    </row>
    <row r="1953" ht="12.75" customHeight="1"/>
    <row r="1954" ht="12.75" customHeight="1"/>
    <row r="1955" ht="12.75" customHeight="1">
      <c r="F1955" s="74"/>
      <c r="H1955" s="74"/>
    </row>
    <row r="1956" ht="12.75" customHeight="1">
      <c r="F1956" s="74"/>
      <c r="H1956" s="74"/>
    </row>
    <row r="1957" ht="12.75" customHeight="1">
      <c r="F1957" s="74"/>
      <c r="H1957" s="74"/>
    </row>
    <row r="1958" ht="12.75" customHeight="1">
      <c r="F1958" s="74"/>
      <c r="H1958" s="74"/>
    </row>
    <row r="1959" ht="12.75" customHeight="1">
      <c r="F1959" s="74"/>
      <c r="H1959" s="74"/>
    </row>
    <row r="1960" ht="12.75" customHeight="1">
      <c r="F1960" s="74"/>
      <c r="H1960" s="74"/>
    </row>
    <row r="1961" ht="12.75" customHeight="1">
      <c r="F1961" s="74"/>
      <c r="H1961" s="74"/>
    </row>
    <row r="1962" ht="12.75" customHeight="1">
      <c r="F1962" s="74"/>
      <c r="H1962" s="74"/>
    </row>
    <row r="1963" ht="12.75" customHeight="1">
      <c r="F1963" s="74"/>
      <c r="H1963" s="74"/>
    </row>
    <row r="1964" ht="12.75" customHeight="1">
      <c r="F1964" s="74"/>
      <c r="H1964" s="74"/>
    </row>
    <row r="1965" ht="12.75" customHeight="1">
      <c r="F1965" s="74"/>
      <c r="H1965" s="74"/>
    </row>
    <row r="1966" ht="12.75" customHeight="1">
      <c r="AG1966" s="74"/>
    </row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>
      <c r="AG1972" s="74"/>
    </row>
    <row r="1973" ht="12.75" customHeight="1">
      <c r="AG1973" s="74"/>
    </row>
    <row r="1974" ht="12.75" customHeight="1">
      <c r="AG1974" s="74"/>
    </row>
    <row r="1975" ht="12.75" customHeight="1">
      <c r="AG1975" s="74"/>
    </row>
    <row r="1976" ht="12.75" customHeight="1">
      <c r="AG1976" s="74"/>
    </row>
    <row r="1977" ht="12.75" customHeight="1">
      <c r="AG1977" s="74"/>
    </row>
    <row r="1978" ht="12.75" customHeight="1">
      <c r="AG1978" s="74"/>
    </row>
    <row r="1979" ht="12.75" customHeight="1"/>
    <row r="1980" ht="12.75" customHeight="1"/>
    <row r="1981" ht="12.75" customHeight="1"/>
    <row r="1982" ht="12.75" customHeight="1"/>
    <row r="1983" ht="12.75" customHeight="1">
      <c r="F1983" s="74"/>
      <c r="H1983" s="74"/>
    </row>
    <row r="1984" ht="12.75" customHeight="1">
      <c r="F1984" s="74"/>
      <c r="H1984" s="74"/>
    </row>
    <row r="1985" ht="12.75" customHeight="1">
      <c r="F1985" s="74"/>
      <c r="H1985" s="74"/>
    </row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>
      <c r="F1994" s="74"/>
      <c r="H1994" s="74"/>
    </row>
    <row r="1995" ht="12.75" customHeight="1">
      <c r="F1995" s="74"/>
      <c r="H1995" s="74"/>
    </row>
    <row r="1996" ht="12.75" customHeight="1">
      <c r="F1996" s="74"/>
      <c r="H1996" s="74"/>
    </row>
    <row r="1997" ht="12.75" customHeight="1"/>
    <row r="1998" ht="12.75" customHeight="1"/>
    <row r="1999" ht="12.75" customHeight="1">
      <c r="F1999" s="74"/>
      <c r="H1999" s="74"/>
    </row>
    <row r="2000" ht="12.75" customHeight="1">
      <c r="F2000" s="74"/>
      <c r="H2000" s="74"/>
    </row>
    <row r="2001" ht="12.75" customHeight="1">
      <c r="F2001" s="74"/>
      <c r="H2001" s="74"/>
    </row>
    <row r="2002" ht="12.75" customHeight="1">
      <c r="F2002" s="74"/>
      <c r="H2002" s="74"/>
    </row>
    <row r="2003" ht="12.75" customHeight="1"/>
    <row r="2004" ht="12.75" customHeight="1">
      <c r="F2004" s="74"/>
      <c r="H2004" s="74"/>
    </row>
    <row r="2005" ht="12.75" customHeight="1">
      <c r="F2005" s="74"/>
      <c r="H2005" s="74"/>
    </row>
    <row r="2006" ht="12.75" customHeight="1">
      <c r="F2006" s="74"/>
      <c r="H2006" s="74"/>
    </row>
    <row r="2007" ht="12.75" customHeight="1">
      <c r="F2007" s="74"/>
      <c r="H2007" s="74"/>
    </row>
    <row r="2008" ht="12.75" customHeight="1">
      <c r="F2008" s="74"/>
      <c r="H2008" s="74"/>
    </row>
    <row r="2009" ht="12.75" customHeight="1">
      <c r="F2009" s="74"/>
      <c r="H2009" s="74"/>
    </row>
    <row r="2010" ht="12.75" customHeight="1">
      <c r="F2010" s="74"/>
      <c r="H2010" s="74"/>
    </row>
    <row r="2011" ht="12.75" customHeight="1">
      <c r="F2011" s="74"/>
      <c r="H2011" s="74"/>
    </row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>
      <c r="F2018" s="74"/>
      <c r="H2018" s="74"/>
    </row>
    <row r="2019" ht="12.75" customHeight="1">
      <c r="F2019" s="74"/>
      <c r="H2019" s="74"/>
    </row>
    <row r="2020" ht="12.75" customHeight="1">
      <c r="F2020" s="74"/>
      <c r="H2020" s="74"/>
    </row>
    <row r="2021" ht="12.75" customHeight="1">
      <c r="F2021" s="74"/>
      <c r="H2021" s="74"/>
    </row>
    <row r="2022" ht="12.75" customHeight="1"/>
    <row r="2023" ht="12.75" customHeight="1">
      <c r="F2023" s="74"/>
      <c r="H2023" s="74"/>
    </row>
    <row r="2024" ht="12.75" customHeight="1"/>
    <row r="2025" ht="12.75" customHeight="1">
      <c r="F2025" s="74"/>
      <c r="H2025" s="74"/>
    </row>
    <row r="2026" ht="12.75" customHeight="1"/>
    <row r="2027" ht="12.75" customHeight="1">
      <c r="F2027" s="74"/>
      <c r="H2027" s="74"/>
    </row>
    <row r="2028" ht="12.75" customHeight="1">
      <c r="F2028" s="74"/>
      <c r="H2028" s="74"/>
    </row>
    <row r="2029" ht="12.75" customHeight="1">
      <c r="F2029" s="74"/>
      <c r="H2029" s="74"/>
    </row>
    <row r="2030" ht="12.75" customHeight="1">
      <c r="F2030" s="74"/>
      <c r="H2030" s="74"/>
    </row>
    <row r="2031" ht="12.75" customHeight="1">
      <c r="F2031" s="74"/>
      <c r="H2031" s="74"/>
    </row>
    <row r="2032" ht="12.75" customHeight="1">
      <c r="F2032" s="74"/>
      <c r="H2032" s="74"/>
    </row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>
      <c r="F2045" s="74"/>
      <c r="H2045" s="74"/>
    </row>
    <row r="2046" ht="12.75" customHeight="1">
      <c r="F2046" s="74"/>
      <c r="H2046" s="74"/>
    </row>
    <row r="2047" ht="12.75" customHeight="1">
      <c r="F2047" s="74"/>
      <c r="H2047" s="74"/>
    </row>
    <row r="2048" ht="12.75" customHeight="1">
      <c r="F2048" s="74"/>
      <c r="H2048" s="74"/>
    </row>
    <row r="2049" ht="12.75" customHeight="1"/>
    <row r="2050" ht="12.75" customHeight="1">
      <c r="F2050" s="74"/>
      <c r="H2050" s="74"/>
    </row>
    <row r="2051" ht="12.75" customHeight="1"/>
    <row r="2052" ht="12.75" customHeight="1"/>
    <row r="2053" ht="12.75" customHeight="1">
      <c r="F2053" s="74"/>
      <c r="H2053" s="74"/>
    </row>
    <row r="2054" ht="12.75" customHeight="1"/>
    <row r="2055" ht="12.75" customHeight="1"/>
    <row r="2056" ht="12.75" customHeight="1">
      <c r="F2056" s="74"/>
      <c r="H2056" s="74"/>
    </row>
    <row r="2057" ht="12.75" customHeight="1">
      <c r="F2057" s="74"/>
      <c r="H2057" s="74"/>
    </row>
    <row r="2058" ht="12.75" customHeight="1">
      <c r="F2058" s="74"/>
      <c r="H2058" s="74"/>
    </row>
    <row r="2059" ht="12.75" customHeight="1">
      <c r="F2059" s="74"/>
      <c r="H2059" s="74"/>
    </row>
    <row r="2060" ht="12.75" customHeight="1"/>
    <row r="2061" ht="12.75" customHeight="1"/>
    <row r="2062" ht="12.75" customHeight="1">
      <c r="F2062" s="74"/>
      <c r="H2062" s="74"/>
    </row>
    <row r="2063" ht="12.75" customHeight="1">
      <c r="F2063" s="74"/>
      <c r="H2063" s="74"/>
    </row>
    <row r="2064" ht="12.75" customHeight="1">
      <c r="F2064" s="74"/>
      <c r="H2064" s="74"/>
    </row>
    <row r="2065" ht="12.75" customHeight="1">
      <c r="F2065" s="74"/>
      <c r="H2065" s="74"/>
      <c r="AG2065" s="74"/>
    </row>
    <row r="2066" ht="12.75" customHeight="1">
      <c r="F2066" s="74"/>
      <c r="H2066" s="74"/>
    </row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>
      <c r="F2082" s="74"/>
      <c r="H2082" s="74"/>
    </row>
    <row r="2083" ht="12.75" customHeight="1">
      <c r="F2083" s="74"/>
      <c r="H2083" s="74"/>
    </row>
    <row r="2084" ht="12.75" customHeight="1"/>
    <row r="2085" ht="12.75" customHeight="1">
      <c r="F2085" s="74"/>
      <c r="H2085" s="74"/>
    </row>
    <row r="2086" ht="12.75" customHeight="1">
      <c r="F2086" s="74"/>
      <c r="H2086" s="74"/>
    </row>
    <row r="2087" ht="12.75" customHeight="1">
      <c r="F2087" s="74"/>
      <c r="H2087" s="74"/>
    </row>
    <row r="2088" ht="12.75" customHeight="1">
      <c r="F2088" s="74"/>
      <c r="H2088" s="74"/>
    </row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>
      <c r="F2101" s="74"/>
      <c r="H2101" s="74"/>
    </row>
    <row r="2102" ht="12.75" customHeight="1">
      <c r="F2102" s="74"/>
      <c r="H2102" s="74"/>
    </row>
    <row r="2103" ht="12.75" customHeight="1"/>
    <row r="2104" ht="12.75" customHeight="1">
      <c r="F2104" s="74"/>
      <c r="H2104" s="74"/>
    </row>
    <row r="2105" ht="12.75" customHeight="1"/>
    <row r="2106" ht="12.75" customHeight="1">
      <c r="F2106" s="74"/>
      <c r="H2106" s="74"/>
    </row>
    <row r="2107" ht="12.75" customHeight="1">
      <c r="F2107" s="74"/>
      <c r="H2107" s="74"/>
    </row>
    <row r="2108" ht="12.75" customHeight="1">
      <c r="F2108" s="74"/>
      <c r="H2108" s="74"/>
    </row>
    <row r="2109" ht="12.75" customHeight="1">
      <c r="F2109" s="74"/>
      <c r="H2109" s="74"/>
    </row>
    <row r="2110" ht="12.75" customHeight="1">
      <c r="F2110" s="74"/>
      <c r="H2110" s="74"/>
    </row>
    <row r="2111" ht="12.75" customHeight="1">
      <c r="F2111" s="74"/>
      <c r="H2111" s="74"/>
    </row>
    <row r="2112" ht="12.75" customHeight="1">
      <c r="F2112" s="74"/>
      <c r="H2112" s="74"/>
    </row>
    <row r="2113" ht="12.75" customHeight="1"/>
    <row r="2114" ht="12.75" customHeight="1">
      <c r="F2114" s="74"/>
      <c r="H2114" s="74"/>
    </row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>
      <c r="F2224" s="74"/>
      <c r="H2224" s="74"/>
    </row>
    <row r="2225" ht="12.75" customHeight="1">
      <c r="F2225" s="74"/>
      <c r="H2225" s="74"/>
    </row>
    <row r="2226" ht="12.75" customHeight="1">
      <c r="F2226" s="74"/>
      <c r="H2226" s="74"/>
    </row>
    <row r="2227" ht="12.75" customHeight="1">
      <c r="F2227" s="74"/>
      <c r="H2227" s="74"/>
    </row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>
      <c r="F2238" s="74"/>
      <c r="H2238" s="74"/>
    </row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>
      <c r="F2283" s="74"/>
      <c r="H2283" s="74"/>
    </row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>
      <c r="AG2292" s="74"/>
    </row>
    <row r="2293" ht="12.75" customHeight="1">
      <c r="AG2293" s="74"/>
    </row>
    <row r="2294" ht="12.75" customHeight="1"/>
    <row r="2295" ht="12.75" customHeight="1"/>
    <row r="2296" ht="12.75" customHeight="1"/>
    <row r="2297" ht="12.75" customHeight="1">
      <c r="AG2297" s="74"/>
    </row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>
      <c r="AG2306" s="74"/>
    </row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>
      <c r="F2320" s="74"/>
      <c r="H2320" s="74"/>
    </row>
    <row r="2321" ht="12.75" customHeight="1">
      <c r="F2321" s="74"/>
      <c r="H2321" s="74"/>
    </row>
    <row r="2322" ht="12.75" customHeight="1"/>
    <row r="2323" ht="12.75" customHeight="1">
      <c r="F2323" s="74"/>
      <c r="H2323" s="74"/>
    </row>
    <row r="2324" ht="12.75" customHeight="1">
      <c r="F2324" s="74"/>
      <c r="H2324" s="74"/>
    </row>
    <row r="2325" ht="12.75" customHeight="1">
      <c r="F2325" s="74"/>
      <c r="H2325" s="74"/>
    </row>
    <row r="2326" ht="12.75" customHeight="1">
      <c r="F2326" s="74"/>
      <c r="H2326" s="74"/>
    </row>
    <row r="2327" ht="12.75" customHeight="1">
      <c r="F2327" s="74"/>
      <c r="H2327" s="74"/>
    </row>
    <row r="2328" ht="12.75" customHeight="1">
      <c r="F2328" s="74"/>
      <c r="H2328" s="74"/>
    </row>
    <row r="2329" ht="12.75" customHeight="1">
      <c r="F2329" s="74"/>
      <c r="H2329" s="74"/>
    </row>
    <row r="2330" ht="12.75" customHeight="1"/>
    <row r="2331" ht="12.75" customHeight="1"/>
    <row r="2332" ht="12.75" customHeight="1"/>
    <row r="2333" ht="12.75" customHeight="1">
      <c r="F2333" s="74"/>
      <c r="H2333" s="74"/>
    </row>
    <row r="2334" ht="12.75" customHeight="1">
      <c r="F2334" s="74"/>
      <c r="H2334" s="74"/>
    </row>
    <row r="2335" ht="12.75" customHeight="1">
      <c r="F2335" s="74"/>
      <c r="H2335" s="74"/>
    </row>
    <row r="2336" ht="12.75" customHeight="1">
      <c r="F2336" s="74"/>
      <c r="H2336" s="74"/>
    </row>
    <row r="2337" ht="12.75" customHeight="1">
      <c r="F2337" s="74"/>
      <c r="H2337" s="74"/>
    </row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>
      <c r="F2343" s="74"/>
      <c r="H2343" s="74"/>
    </row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>
      <c r="F2355" s="74"/>
      <c r="H2355" s="74"/>
    </row>
    <row r="2356" ht="12.75" customHeight="1"/>
    <row r="2357" ht="12.75" customHeight="1">
      <c r="F2357" s="74"/>
      <c r="H2357" s="74"/>
    </row>
    <row r="2358" ht="12.75" customHeight="1"/>
    <row r="2359" ht="12.75" customHeight="1">
      <c r="F2359" s="74"/>
      <c r="H2359" s="74"/>
    </row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>
      <c r="F2386" s="74"/>
      <c r="H2386" s="74"/>
    </row>
    <row r="2387" ht="12.75" customHeight="1">
      <c r="F2387" s="74"/>
      <c r="H2387" s="74"/>
    </row>
    <row r="2388" ht="12.75" customHeight="1">
      <c r="F2388" s="74"/>
      <c r="H2388" s="74"/>
    </row>
    <row r="2389" ht="12.75" customHeight="1"/>
    <row r="2390" ht="12.75" customHeight="1">
      <c r="F2390" s="74"/>
      <c r="H2390" s="74"/>
    </row>
    <row r="2391" ht="12.75" customHeight="1">
      <c r="F2391" s="74"/>
      <c r="H2391" s="74"/>
    </row>
    <row r="2392" ht="12.75" customHeight="1">
      <c r="F2392" s="74"/>
      <c r="H2392" s="74"/>
    </row>
    <row r="2393" ht="12.75" customHeight="1">
      <c r="F2393" s="74"/>
      <c r="H2393" s="74"/>
    </row>
    <row r="2394" ht="12.75" customHeight="1">
      <c r="F2394" s="74"/>
      <c r="H2394" s="74"/>
    </row>
    <row r="2395" ht="12.75" customHeight="1">
      <c r="F2395" s="74"/>
      <c r="H2395" s="74"/>
    </row>
    <row r="2396" ht="12.75" customHeight="1">
      <c r="F2396" s="74"/>
      <c r="H2396" s="74"/>
    </row>
    <row r="2397" ht="12.75" customHeight="1">
      <c r="F2397" s="74"/>
      <c r="H2397" s="74"/>
    </row>
    <row r="2398" ht="12.75" customHeight="1">
      <c r="F2398" s="74"/>
      <c r="H2398" s="74"/>
    </row>
    <row r="2399" ht="12.75" customHeight="1">
      <c r="F2399" s="74"/>
      <c r="H2399" s="74"/>
    </row>
    <row r="2400" ht="12.75" customHeight="1">
      <c r="F2400" s="74"/>
      <c r="H2400" s="74"/>
    </row>
    <row r="2401" ht="12.75" customHeight="1">
      <c r="F2401" s="74"/>
      <c r="H2401" s="74"/>
    </row>
    <row r="2402" ht="12.75" customHeight="1"/>
    <row r="2403" ht="12.75" customHeight="1">
      <c r="F2403" s="74"/>
      <c r="H2403" s="74"/>
    </row>
    <row r="2404" ht="12.75" customHeight="1">
      <c r="F2404" s="74"/>
      <c r="H2404" s="74"/>
    </row>
    <row r="2405" ht="12.75" customHeight="1">
      <c r="F2405" s="74"/>
      <c r="H2405" s="74"/>
    </row>
    <row r="2406" ht="12.75" customHeight="1">
      <c r="F2406" s="74"/>
      <c r="H2406" s="74"/>
    </row>
    <row r="2407" ht="12.75" customHeight="1">
      <c r="F2407" s="74"/>
      <c r="H2407" s="74"/>
    </row>
    <row r="2408" ht="12.75" customHeight="1">
      <c r="F2408" s="74"/>
      <c r="H2408" s="74"/>
    </row>
    <row r="2409" ht="12.75" customHeight="1">
      <c r="F2409" s="74"/>
      <c r="H2409" s="74"/>
    </row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>
      <c r="F2424" s="74"/>
      <c r="H2424" s="74"/>
    </row>
    <row r="2425" ht="12.75" customHeight="1">
      <c r="F2425" s="74"/>
      <c r="H2425" s="74"/>
    </row>
    <row r="2426" ht="12.75" customHeight="1">
      <c r="F2426" s="74"/>
      <c r="H2426" s="74"/>
    </row>
    <row r="2427" ht="12.75" customHeight="1"/>
    <row r="2428" ht="12.75" customHeight="1">
      <c r="F2428" s="74"/>
      <c r="H2428" s="74"/>
    </row>
    <row r="2429" ht="12.75" customHeight="1">
      <c r="F2429" s="74"/>
      <c r="H2429" s="74"/>
    </row>
    <row r="2430" ht="12.75" customHeight="1"/>
    <row r="2431" ht="12.75" customHeight="1"/>
    <row r="2432" ht="12.75" customHeight="1">
      <c r="AG2432" s="74"/>
    </row>
    <row r="2433" ht="12.75" customHeight="1">
      <c r="F2433" s="74"/>
      <c r="H2433" s="74"/>
    </row>
    <row r="2434" ht="12.75" customHeight="1"/>
    <row r="2435" ht="12.75" customHeight="1"/>
    <row r="2436" ht="12.75" customHeight="1">
      <c r="F2436" s="74"/>
      <c r="H2436" s="74"/>
    </row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>
      <c r="AG2442" s="74"/>
    </row>
    <row r="2443" ht="12.75" customHeight="1">
      <c r="F2443" s="74"/>
      <c r="H2443" s="74"/>
    </row>
    <row r="2444" ht="12.75" customHeight="1"/>
    <row r="2445" ht="12.75" customHeight="1"/>
    <row r="2446" ht="12.75" customHeight="1">
      <c r="F2446" s="74"/>
      <c r="H2446" s="74"/>
    </row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>
      <c r="F2461" s="74"/>
      <c r="H2461" s="74"/>
    </row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>
      <c r="F2501" s="74"/>
      <c r="H2501" s="74"/>
    </row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>
      <c r="F2599" s="74"/>
      <c r="H2599" s="74"/>
    </row>
    <row r="2600" ht="12.75" customHeight="1">
      <c r="F2600" s="74"/>
      <c r="H2600" s="74"/>
    </row>
    <row r="2601" ht="12.75" customHeight="1">
      <c r="F2601" s="74"/>
      <c r="H2601" s="74"/>
    </row>
    <row r="2602" ht="12.75" customHeight="1">
      <c r="F2602" s="74"/>
      <c r="H2602" s="74"/>
    </row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>
      <c r="F2677" s="74"/>
      <c r="H2677" s="74"/>
    </row>
    <row r="2678" ht="12.75" customHeight="1"/>
    <row r="2679" ht="12.75" customHeight="1"/>
    <row r="2680" ht="12.75" customHeight="1"/>
    <row r="2681" ht="12.75" customHeight="1">
      <c r="F2681" s="74"/>
      <c r="H2681" s="74"/>
    </row>
    <row r="2682" ht="12.75" customHeight="1">
      <c r="F2682" s="74"/>
      <c r="H2682" s="74"/>
    </row>
    <row r="2683" ht="12.75" customHeight="1">
      <c r="F2683" s="74"/>
      <c r="H2683" s="74"/>
    </row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>
      <c r="F2693" s="74"/>
      <c r="H2693" s="74"/>
    </row>
    <row r="2694" ht="12.75" customHeight="1"/>
    <row r="2695" ht="12.75" customHeight="1"/>
    <row r="2696" ht="12.75" customHeight="1"/>
    <row r="2697" ht="12.75" customHeight="1"/>
    <row r="2698" ht="12.75" customHeight="1">
      <c r="F2698" s="74"/>
      <c r="H2698" s="74"/>
    </row>
    <row r="2699" ht="12.75" customHeight="1"/>
    <row r="2700" ht="12.75" customHeight="1"/>
    <row r="2701" ht="12.75" customHeight="1">
      <c r="F2701" s="74"/>
      <c r="H2701" s="74"/>
    </row>
    <row r="2702" ht="12.75" customHeight="1">
      <c r="F2702" s="74"/>
      <c r="H2702" s="74"/>
    </row>
    <row r="2703" ht="12.75" customHeight="1">
      <c r="F2703" s="74"/>
      <c r="H2703" s="74"/>
    </row>
    <row r="2704" ht="12.75" customHeight="1">
      <c r="F2704" s="74"/>
      <c r="H2704" s="74"/>
    </row>
    <row r="2705" ht="12.75" customHeight="1">
      <c r="F2705" s="74"/>
      <c r="H2705" s="74"/>
    </row>
    <row r="2706" ht="12.75" customHeight="1">
      <c r="F2706" s="74"/>
      <c r="H2706" s="74"/>
    </row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>
      <c r="F2722" s="74"/>
      <c r="H2722" s="74"/>
    </row>
    <row r="2723" ht="12.75" customHeight="1">
      <c r="F2723" s="74"/>
      <c r="H2723" s="74"/>
    </row>
    <row r="2724" ht="12.75" customHeight="1">
      <c r="F2724" s="74"/>
      <c r="H2724" s="74"/>
    </row>
    <row r="2725" ht="12.75" customHeight="1">
      <c r="F2725" s="74"/>
      <c r="H2725" s="74"/>
    </row>
    <row r="2726" ht="12.75" customHeight="1">
      <c r="F2726" s="74"/>
      <c r="H2726" s="74"/>
    </row>
    <row r="2727" ht="12.75" customHeight="1">
      <c r="F2727" s="74"/>
      <c r="H2727" s="74"/>
    </row>
    <row r="2728" ht="12.75" customHeight="1">
      <c r="F2728" s="74"/>
      <c r="H2728" s="74"/>
    </row>
    <row r="2729" ht="12.75" customHeight="1">
      <c r="F2729" s="74"/>
      <c r="H2729" s="74"/>
    </row>
    <row r="2730" ht="12.75" customHeight="1">
      <c r="F2730" s="74"/>
      <c r="H2730" s="74"/>
    </row>
    <row r="2731" ht="12.75" customHeight="1">
      <c r="F2731" s="74"/>
      <c r="H2731" s="74"/>
    </row>
    <row r="2732" ht="12.75" customHeight="1">
      <c r="F2732" s="74"/>
      <c r="H2732" s="74"/>
    </row>
    <row r="2733" ht="12.75" customHeight="1">
      <c r="F2733" s="74"/>
      <c r="H2733" s="74"/>
    </row>
    <row r="2734" ht="12.75" customHeight="1">
      <c r="F2734" s="74"/>
      <c r="H2734" s="74"/>
    </row>
    <row r="2735" ht="12.75" customHeight="1">
      <c r="F2735" s="74"/>
      <c r="H2735" s="74"/>
    </row>
    <row r="2736" ht="12.75" customHeight="1">
      <c r="F2736" s="74"/>
      <c r="H2736" s="74"/>
    </row>
    <row r="2737" ht="12.75" customHeight="1">
      <c r="F2737" s="74"/>
      <c r="H2737" s="74"/>
    </row>
    <row r="2738" ht="12.75" customHeight="1">
      <c r="F2738" s="74"/>
      <c r="H2738" s="74"/>
    </row>
    <row r="2739" ht="12.75" customHeight="1">
      <c r="F2739" s="74"/>
      <c r="H2739" s="74"/>
    </row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>
      <c r="F2749" s="74"/>
      <c r="H2749" s="74"/>
    </row>
    <row r="2750" ht="12.75" customHeight="1">
      <c r="F2750" s="74"/>
      <c r="H2750" s="74"/>
    </row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>
      <c r="F2759" s="74"/>
      <c r="H2759" s="74"/>
    </row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>
      <c r="F2778" s="74"/>
      <c r="H2778" s="74"/>
    </row>
    <row r="2779" ht="12.75" customHeight="1"/>
    <row r="2780" ht="12.75" customHeight="1">
      <c r="F2780" s="74"/>
      <c r="H2780" s="74"/>
    </row>
    <row r="2781" ht="12.75" customHeight="1">
      <c r="F2781" s="74"/>
      <c r="H2781" s="74"/>
    </row>
    <row r="2782" ht="12.75" customHeight="1">
      <c r="F2782" s="74"/>
      <c r="H2782" s="74"/>
    </row>
    <row r="2783" ht="12.75" customHeight="1"/>
    <row r="2784" ht="12.75" customHeight="1">
      <c r="F2784" s="74"/>
      <c r="H2784" s="74"/>
    </row>
    <row r="2785" ht="12.75" customHeight="1">
      <c r="AG2785" s="74"/>
    </row>
    <row r="2786" ht="12.75" customHeight="1">
      <c r="F2786" s="74"/>
      <c r="H2786" s="74"/>
    </row>
    <row r="2787" ht="12.75" customHeight="1">
      <c r="F2787" s="74"/>
      <c r="H2787" s="74"/>
    </row>
    <row r="2788" ht="12.75" customHeight="1">
      <c r="F2788" s="74"/>
      <c r="H2788" s="74"/>
    </row>
    <row r="2789" ht="12.75" customHeight="1">
      <c r="F2789" s="74"/>
      <c r="H2789" s="74"/>
    </row>
    <row r="2790" ht="12.75" customHeight="1">
      <c r="F2790" s="74"/>
      <c r="H2790" s="74"/>
    </row>
    <row r="2791" ht="12.75" customHeight="1">
      <c r="F2791" s="74"/>
      <c r="H2791" s="74"/>
    </row>
    <row r="2792" ht="12.75" customHeight="1">
      <c r="F2792" s="74"/>
      <c r="H2792" s="74"/>
    </row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>
      <c r="AG2805" s="74"/>
    </row>
    <row r="2806" ht="12.75" customHeight="1"/>
    <row r="2807" ht="12.75" customHeight="1"/>
    <row r="2808" ht="12.75" customHeight="1"/>
    <row r="2809" ht="12.75" customHeight="1"/>
    <row r="2810" ht="12.75" customHeight="1">
      <c r="AG2810" s="74"/>
    </row>
    <row r="2811" ht="12.75" customHeight="1"/>
    <row r="2812" ht="12.75" customHeight="1"/>
    <row r="2813" ht="12.75" customHeight="1">
      <c r="AG2813" s="74"/>
    </row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>
      <c r="F2825" s="74"/>
      <c r="H2825" s="74"/>
    </row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>
      <c r="F2831" s="74"/>
      <c r="H2831" s="74"/>
    </row>
    <row r="2832" ht="12.75" customHeight="1">
      <c r="F2832" s="74"/>
      <c r="H2832" s="74"/>
    </row>
    <row r="2833" ht="12.75" customHeight="1">
      <c r="F2833" s="74"/>
      <c r="H2833" s="74"/>
    </row>
    <row r="2834" ht="12.75" customHeight="1">
      <c r="F2834" s="74"/>
      <c r="H2834" s="74"/>
    </row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>
      <c r="F2857" s="74"/>
      <c r="H2857" s="74"/>
    </row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>
      <c r="F2866" s="74"/>
      <c r="H2866" s="74"/>
    </row>
    <row r="2867" ht="12.75" customHeight="1"/>
    <row r="2868" ht="12.75" customHeight="1">
      <c r="F2868" s="74"/>
      <c r="H2868" s="74"/>
    </row>
    <row r="2869" ht="12.75" customHeight="1">
      <c r="F2869" s="74"/>
      <c r="H2869" s="74"/>
    </row>
    <row r="2870" ht="12.75" customHeight="1"/>
    <row r="2871" ht="12.75" customHeight="1"/>
    <row r="2872" ht="12.75" customHeight="1"/>
    <row r="2873" ht="12.75" customHeight="1">
      <c r="F2873" s="74"/>
      <c r="H2873" s="74"/>
    </row>
    <row r="2874" ht="12.75" customHeight="1">
      <c r="F2874" s="74"/>
      <c r="H2874" s="74"/>
    </row>
    <row r="2875" ht="12.75" customHeight="1"/>
    <row r="2876" ht="12.75" customHeight="1"/>
    <row r="2877" ht="12.75" customHeight="1">
      <c r="F2877" s="74"/>
      <c r="H2877" s="74"/>
    </row>
    <row r="2878" ht="12.75" customHeight="1"/>
    <row r="2879" ht="12.75" customHeight="1"/>
    <row r="2880" ht="12.75" customHeight="1"/>
    <row r="2881" ht="12.75" customHeight="1">
      <c r="F2881" s="74"/>
      <c r="H2881" s="74"/>
    </row>
    <row r="2882" ht="12.75" customHeight="1"/>
    <row r="2883" ht="12.75" customHeight="1">
      <c r="F2883" s="74"/>
      <c r="H2883" s="74"/>
    </row>
    <row r="2884" ht="12.75" customHeight="1"/>
    <row r="2885" ht="12.75" customHeight="1"/>
    <row r="2886" ht="12.75" customHeight="1"/>
    <row r="2887" ht="12.75" customHeight="1"/>
    <row r="2888" ht="12.75" customHeight="1">
      <c r="F2888" s="74"/>
      <c r="H2888" s="74"/>
    </row>
    <row r="2889" ht="12.75" customHeight="1"/>
    <row r="2890" ht="12.75" customHeight="1">
      <c r="F2890" s="74"/>
      <c r="H2890" s="74"/>
    </row>
    <row r="2891" ht="12.75" customHeight="1"/>
    <row r="2892" ht="12.75" customHeight="1">
      <c r="F2892" s="74"/>
      <c r="H2892" s="74"/>
    </row>
    <row r="2893" ht="12.75" customHeight="1">
      <c r="F2893" s="74"/>
      <c r="H2893" s="74"/>
    </row>
    <row r="2894" ht="12.75" customHeight="1">
      <c r="F2894" s="74"/>
      <c r="H2894" s="74"/>
    </row>
    <row r="2895" ht="12.75" customHeight="1">
      <c r="F2895" s="74"/>
      <c r="H2895" s="74"/>
    </row>
    <row r="2896" ht="12.75" customHeight="1">
      <c r="F2896" s="74"/>
      <c r="H2896" s="74"/>
    </row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>
      <c r="F2913" s="74"/>
      <c r="H2913" s="74"/>
    </row>
    <row r="2914" ht="12.75" customHeight="1"/>
    <row r="2915" ht="12.75" customHeight="1">
      <c r="F2915" s="74"/>
      <c r="H2915" s="74"/>
    </row>
    <row r="2916" ht="12.75" customHeight="1"/>
    <row r="2917" ht="12.75" customHeight="1"/>
    <row r="2918" ht="12.75" customHeight="1"/>
    <row r="2919" ht="12.75" customHeight="1"/>
    <row r="2920" ht="12.75" customHeight="1">
      <c r="F2920" s="74"/>
      <c r="H2920" s="74"/>
    </row>
    <row r="2921" ht="12.75" customHeight="1">
      <c r="F2921" s="74"/>
      <c r="H2921" s="74"/>
    </row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>
      <c r="F2927" s="74"/>
      <c r="H2927" s="74"/>
    </row>
    <row r="2928" ht="12.75" customHeight="1"/>
    <row r="2929" ht="12.75" customHeight="1"/>
    <row r="2930" ht="12.75" customHeight="1">
      <c r="F2930" s="74"/>
      <c r="H2930" s="74"/>
    </row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>
      <c r="AG2953" s="74"/>
    </row>
    <row r="2954" ht="12.75" customHeight="1"/>
    <row r="2955" ht="12.75" customHeight="1">
      <c r="AG2955" s="74"/>
    </row>
    <row r="2956" ht="12.75" customHeight="1">
      <c r="AG2956" s="74"/>
    </row>
    <row r="2957" ht="12.75" customHeight="1">
      <c r="F2957" s="74"/>
      <c r="H2957" s="74"/>
    </row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>
      <c r="F2969" s="74"/>
      <c r="H2969" s="74"/>
    </row>
    <row r="2970" ht="12.75" customHeight="1"/>
    <row r="2971" ht="12.75" customHeight="1"/>
    <row r="2972" ht="12.75" customHeight="1"/>
    <row r="2973" ht="12.75" customHeight="1">
      <c r="F2973" s="74"/>
      <c r="H2973" s="74"/>
    </row>
    <row r="2974" ht="12.75" customHeight="1">
      <c r="F2974" s="74"/>
      <c r="H2974" s="74"/>
    </row>
    <row r="2975" ht="12.75" customHeight="1">
      <c r="F2975" s="74"/>
      <c r="H2975" s="74"/>
    </row>
    <row r="2976" ht="12.75" customHeight="1">
      <c r="F2976" s="74"/>
      <c r="H2976" s="74"/>
    </row>
    <row r="2977" ht="12.75" customHeight="1">
      <c r="F2977" s="74"/>
      <c r="H2977" s="74"/>
    </row>
    <row r="2978" ht="12.75" customHeight="1">
      <c r="F2978" s="74"/>
      <c r="H2978" s="74"/>
    </row>
    <row r="2979" ht="12.75" customHeight="1">
      <c r="F2979" s="74"/>
      <c r="H2979" s="74"/>
    </row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>
      <c r="F2993" s="74"/>
      <c r="H2993" s="74"/>
    </row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>
      <c r="F3041" s="74"/>
      <c r="H3041" s="74"/>
    </row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>
      <c r="F3069" s="74"/>
      <c r="H3069" s="74"/>
    </row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>
      <c r="F3080" s="74"/>
      <c r="H3080" s="74"/>
      <c r="AG3080" s="74"/>
    </row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>
      <c r="F3147" s="74"/>
      <c r="H3147" s="74"/>
    </row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>
      <c r="F3165" s="74"/>
      <c r="H3165" s="74"/>
    </row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>
      <c r="AG3258" s="74"/>
    </row>
    <row r="3259" ht="12.75" customHeight="1">
      <c r="AG3259" s="74"/>
    </row>
    <row r="3260" ht="12.75" customHeight="1"/>
    <row r="3261" ht="12.75" customHeight="1"/>
    <row r="3262" ht="12.75" customHeight="1">
      <c r="AG3262" s="74"/>
    </row>
    <row r="3263" ht="12.75" customHeight="1">
      <c r="AG3263" s="74"/>
    </row>
    <row r="3264" ht="12.75" customHeight="1">
      <c r="AG3264" s="74"/>
    </row>
    <row r="3265" ht="12.75" customHeight="1"/>
    <row r="3266" ht="12.75" customHeight="1"/>
    <row r="3267" ht="12.75" customHeight="1">
      <c r="AG3267" s="74"/>
    </row>
    <row r="3268" ht="12.75" customHeight="1">
      <c r="AG3268" s="74"/>
    </row>
    <row r="3269" ht="12.75" customHeight="1"/>
    <row r="3270" ht="12.75" customHeight="1"/>
    <row r="3271" ht="12.75" customHeight="1">
      <c r="AG3271" s="74"/>
    </row>
    <row r="3272" ht="12.75" customHeight="1"/>
    <row r="3273" ht="12.75" customHeight="1"/>
    <row r="3274" ht="12.75" customHeight="1">
      <c r="AG3274" s="74"/>
    </row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>
      <c r="AG3282" s="74"/>
    </row>
    <row r="3283" ht="12.75" customHeight="1"/>
    <row r="3284" ht="12.75" customHeight="1">
      <c r="AG3284" s="74"/>
    </row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>
      <c r="AG3293" s="74"/>
    </row>
    <row r="3294" ht="12.75" customHeight="1">
      <c r="AG3294" s="74"/>
    </row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>
      <c r="AG3300" s="74"/>
    </row>
    <row r="3301" ht="12.75" customHeight="1">
      <c r="AG3301" s="74"/>
    </row>
    <row r="3302" ht="12.75" customHeight="1"/>
    <row r="3303" ht="12.75" customHeight="1"/>
    <row r="3304" ht="12.75" customHeight="1"/>
    <row r="3305" ht="12.75" customHeight="1"/>
    <row r="3306" ht="12.75" customHeight="1">
      <c r="F3306" s="74"/>
      <c r="H3306" s="74"/>
    </row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>
      <c r="F3395" s="74"/>
      <c r="H3395" s="74"/>
    </row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>
      <c r="F3403" s="74"/>
      <c r="H3403" s="74"/>
    </row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>
      <c r="F3410" s="74"/>
      <c r="H3410" s="74"/>
    </row>
    <row r="3411" ht="12.75" customHeight="1"/>
    <row r="3412" ht="12.75" customHeight="1"/>
    <row r="3413" ht="12.75" customHeight="1"/>
    <row r="3414" ht="12.75" customHeight="1"/>
    <row r="3415" ht="12.75" customHeight="1">
      <c r="F3415" s="74"/>
      <c r="H3415" s="74"/>
    </row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>
      <c r="F3446" s="74"/>
      <c r="H3446" s="74"/>
    </row>
    <row r="3447" ht="12.75" customHeight="1"/>
    <row r="3448" ht="12.75" customHeight="1">
      <c r="F3448" s="74"/>
      <c r="H3448" s="74"/>
    </row>
    <row r="3449" ht="12.75" customHeight="1">
      <c r="F3449" s="74"/>
      <c r="H3449" s="74"/>
    </row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>
      <c r="F3457" s="74"/>
      <c r="H3457" s="74"/>
    </row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>
      <c r="F3463" s="74"/>
      <c r="H3463" s="74"/>
    </row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>
      <c r="AG3486" s="74"/>
    </row>
    <row r="3487" ht="12.75" customHeight="1">
      <c r="AG3487" s="74"/>
    </row>
    <row r="3488" ht="12.75" customHeight="1">
      <c r="AG3488" s="74"/>
    </row>
    <row r="3489" ht="12.75" customHeight="1"/>
    <row r="3490" ht="12.75" customHeight="1">
      <c r="AG3490" s="74"/>
    </row>
    <row r="3491" ht="12.75" customHeight="1">
      <c r="AG3491" s="74"/>
    </row>
    <row r="3492" ht="12.75" customHeight="1"/>
    <row r="3493" ht="12.75" customHeight="1"/>
    <row r="3494" ht="12.75" customHeight="1"/>
    <row r="3495" ht="12.75" customHeight="1">
      <c r="AG3495" s="74"/>
    </row>
    <row r="3496" ht="12.75" customHeight="1">
      <c r="AG3496" s="74"/>
    </row>
    <row r="3497" ht="12.75" customHeight="1">
      <c r="AG3497" s="74"/>
    </row>
    <row r="3498" ht="12.75" customHeight="1">
      <c r="AG3498" s="74"/>
    </row>
    <row r="3499" ht="12.75" customHeight="1"/>
    <row r="3500" ht="12.75" customHeight="1">
      <c r="AG3500" s="74"/>
    </row>
    <row r="3501" ht="12.75" customHeight="1">
      <c r="AG3501" s="74"/>
    </row>
    <row r="3502" ht="12.75" customHeight="1">
      <c r="AG3502" s="74"/>
    </row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>
      <c r="F3510" s="74"/>
      <c r="H3510" s="74"/>
    </row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>
      <c r="AG3522" s="74"/>
    </row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>
      <c r="F3536" s="74"/>
      <c r="H3536" s="74"/>
    </row>
    <row r="3537" ht="12.75" customHeight="1">
      <c r="F3537" s="74"/>
      <c r="H3537" s="74"/>
    </row>
    <row r="3538" ht="12.75" customHeight="1">
      <c r="AG3538" s="74"/>
    </row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>
      <c r="AG3642" s="74"/>
    </row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>
      <c r="AG3669" s="74"/>
    </row>
    <row r="3670" ht="12.75" customHeight="1">
      <c r="AG3670" s="74"/>
    </row>
    <row r="3671" ht="12.75" customHeight="1">
      <c r="AG3671" s="74"/>
    </row>
    <row r="3672" ht="12.75" customHeight="1">
      <c r="AG3672" s="74"/>
    </row>
    <row r="3673" ht="12.75" customHeight="1">
      <c r="AG3673" s="74"/>
    </row>
    <row r="3674" ht="12.75" customHeight="1">
      <c r="AG3674" s="74"/>
    </row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>
      <c r="F3684" s="74"/>
      <c r="H3684" s="74"/>
    </row>
    <row r="3685" ht="12.75" customHeight="1"/>
    <row r="3686" ht="12.75" customHeight="1"/>
    <row r="3687" ht="12.75" customHeight="1"/>
    <row r="3688" ht="12.75" customHeight="1">
      <c r="K3688" s="74"/>
    </row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>
      <c r="K3899" s="74"/>
    </row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>
      <c r="AG3951" s="74"/>
    </row>
    <row r="3952" ht="12.75" customHeight="1"/>
    <row r="3953" ht="12.75" customHeight="1">
      <c r="AG3953" s="74"/>
    </row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>
      <c r="AG3984" s="74"/>
    </row>
    <row r="3985" ht="12.75" customHeight="1">
      <c r="AG3985" s="74"/>
    </row>
    <row r="3986" ht="12.75" customHeight="1">
      <c r="AG3986" s="74"/>
    </row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>
      <c r="AG3998" s="74"/>
    </row>
    <row r="3999" ht="12.75" customHeight="1"/>
    <row r="4000" ht="12.75" customHeight="1"/>
    <row r="4001" ht="12.75" customHeight="1"/>
    <row r="4002" ht="12.75" customHeight="1">
      <c r="AG4002" s="74"/>
    </row>
    <row r="4003" ht="12.75" customHeight="1"/>
    <row r="4004" ht="12.75" customHeight="1">
      <c r="AG4004" s="74"/>
    </row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>
      <c r="AG4011" s="74"/>
    </row>
    <row r="4012" ht="12.75" customHeight="1"/>
    <row r="4013" ht="12.75" customHeight="1"/>
    <row r="4014" ht="12.75" customHeight="1">
      <c r="AG4014" s="74"/>
    </row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>
      <c r="AG4024" s="74"/>
    </row>
    <row r="4025" ht="12.75" customHeight="1"/>
    <row r="4026" ht="12.75" customHeight="1">
      <c r="AG4026" s="74"/>
    </row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>
      <c r="AG4086" s="74"/>
    </row>
    <row r="4087" ht="12.75" customHeight="1"/>
    <row r="4088" ht="12.75" customHeight="1">
      <c r="AG4088" s="74"/>
    </row>
    <row r="4089" ht="12.75" customHeight="1">
      <c r="AG4089" s="74"/>
    </row>
    <row r="4090" ht="12.75" customHeight="1">
      <c r="AG4090" s="74"/>
    </row>
    <row r="4091" ht="12.75" customHeight="1"/>
    <row r="4092" ht="12.75" customHeight="1"/>
    <row r="4093" ht="12.75" customHeight="1"/>
    <row r="4094" ht="12.75" customHeight="1">
      <c r="AG4094" s="74"/>
    </row>
    <row r="4095" ht="12.75" customHeight="1">
      <c r="AG4095" s="74"/>
    </row>
    <row r="4096" ht="12.75" customHeight="1"/>
    <row r="4097" ht="12.75" customHeight="1">
      <c r="AG4097" s="74"/>
    </row>
    <row r="4098" ht="12.75" customHeight="1"/>
    <row r="4099" ht="12.75" customHeight="1">
      <c r="AG4099" s="74"/>
    </row>
    <row r="4100" ht="12.75" customHeight="1"/>
    <row r="4101" ht="12.75" customHeight="1"/>
    <row r="4102" ht="12.75" customHeight="1">
      <c r="AG4102" s="74"/>
    </row>
    <row r="4103" ht="12.75" customHeight="1">
      <c r="AG4103" s="74"/>
    </row>
    <row r="4104" ht="12.75" customHeight="1"/>
    <row r="4105" ht="12.75" customHeight="1"/>
    <row r="4106" ht="12.75" customHeight="1"/>
    <row r="4107" ht="12.75" customHeight="1"/>
    <row r="4108" ht="12.75" customHeight="1"/>
    <row r="4109" ht="12.75" customHeight="1"/>
    <row r="4110" ht="12.75" customHeight="1"/>
    <row r="4111" ht="12.75" customHeight="1">
      <c r="F4111" s="74"/>
      <c r="H4111" s="74"/>
    </row>
    <row r="4112" ht="12.75" customHeight="1"/>
    <row r="4113" ht="12.75" customHeight="1"/>
    <row r="4114" ht="12.75" customHeight="1"/>
    <row r="4115" ht="12.75" customHeight="1"/>
    <row r="4116" ht="12.75" customHeight="1"/>
    <row r="4117" ht="12.75" customHeight="1"/>
    <row r="4118" ht="12.75" customHeight="1">
      <c r="AG4118" s="74"/>
    </row>
    <row r="4119" ht="12.75" customHeight="1"/>
    <row r="4120" ht="12.75" customHeight="1"/>
    <row r="4121" ht="12.75" customHeight="1"/>
    <row r="4122" ht="12.75" customHeight="1"/>
    <row r="4123" ht="12.75" customHeight="1"/>
    <row r="4124" ht="12.75" customHeight="1"/>
    <row r="4125" ht="12.75" customHeight="1"/>
    <row r="4126" ht="12.75" customHeight="1"/>
    <row r="4127" ht="12.75" customHeight="1"/>
    <row r="4128" ht="12.75" customHeight="1">
      <c r="AG4128" s="74"/>
    </row>
    <row r="4129" ht="12.75" customHeight="1">
      <c r="AG4129" s="74"/>
    </row>
    <row r="4130" ht="12.75" customHeight="1"/>
    <row r="4131" ht="12.75" customHeight="1"/>
    <row r="4132" ht="12.75" customHeight="1"/>
    <row r="4133" ht="12.75" customHeight="1"/>
    <row r="4134" ht="12.75" customHeight="1"/>
    <row r="4135" ht="12.75" customHeight="1"/>
    <row r="4136" ht="12.75" customHeight="1"/>
    <row r="4137" ht="12.75" customHeight="1"/>
    <row r="4138" ht="12.75" customHeight="1"/>
    <row r="4139" ht="12.75" customHeight="1"/>
    <row r="4140" ht="12.75" customHeight="1">
      <c r="AG4140" s="74"/>
    </row>
    <row r="4141" ht="12.75" customHeight="1"/>
    <row r="4142" ht="12.75" customHeight="1"/>
    <row r="4143" ht="12.75" customHeight="1"/>
    <row r="4144" ht="12.75" customHeight="1">
      <c r="AG4144" s="74"/>
    </row>
    <row r="4145" ht="12.75" customHeight="1"/>
    <row r="4146" ht="12.75" customHeight="1"/>
    <row r="4147" ht="12.75" customHeight="1">
      <c r="AG4147" s="74"/>
    </row>
    <row r="4148" ht="12.75" customHeight="1"/>
    <row r="4149" ht="12.75" customHeight="1"/>
    <row r="4150" ht="12.75" customHeight="1"/>
    <row r="4151" ht="12.75" customHeight="1"/>
    <row r="4152" ht="12.75" customHeight="1"/>
    <row r="4153" ht="12.75" customHeight="1"/>
    <row r="4154" ht="12.75" customHeight="1"/>
    <row r="4155" ht="12.75" customHeight="1"/>
    <row r="4156" ht="12.75" customHeight="1"/>
    <row r="4157" ht="12.75" customHeight="1"/>
    <row r="4158" ht="12.75" customHeight="1"/>
    <row r="4159" ht="12.75" customHeight="1"/>
    <row r="4160" ht="12.75" customHeight="1"/>
    <row r="4161" ht="12.75" customHeight="1"/>
    <row r="4162" ht="12.75" customHeight="1"/>
    <row r="4163" ht="12.75" customHeight="1"/>
    <row r="4164" ht="12.75" customHeight="1"/>
    <row r="4165" ht="12.75" customHeight="1"/>
    <row r="4166" ht="12.75" customHeight="1"/>
    <row r="4167" ht="12.75" customHeight="1"/>
    <row r="4168" ht="12.75" customHeight="1"/>
    <row r="4169" ht="12.75" customHeight="1"/>
    <row r="4170" ht="12.75" customHeight="1"/>
    <row r="4171" ht="12.75" customHeight="1"/>
    <row r="4172" ht="12.75" customHeight="1"/>
    <row r="4173" ht="12.75" customHeight="1">
      <c r="F4173" s="74"/>
      <c r="H4173" s="74"/>
    </row>
    <row r="4174" ht="12.75" customHeight="1">
      <c r="F4174" s="74"/>
      <c r="H4174" s="74"/>
    </row>
    <row r="4175" ht="12.75" customHeight="1"/>
    <row r="4176" ht="12.75" customHeight="1"/>
    <row r="4177" ht="12.75" customHeight="1"/>
    <row r="4178" ht="12.75" customHeight="1"/>
    <row r="4179" ht="12.75" customHeight="1"/>
    <row r="4180" ht="12.75" customHeight="1"/>
    <row r="4181" ht="12.75" customHeight="1">
      <c r="F4181" s="74"/>
      <c r="H4181" s="74"/>
    </row>
    <row r="4182" ht="12.75" customHeight="1"/>
    <row r="4183" ht="12.75" customHeight="1"/>
    <row r="4184" ht="12.75" customHeight="1"/>
    <row r="4185" ht="12.75" customHeight="1"/>
    <row r="4186" ht="12.75" customHeight="1"/>
    <row r="4187" ht="12.75" customHeight="1"/>
    <row r="4188" ht="12.75" customHeight="1"/>
    <row r="4189" ht="12.75" customHeight="1"/>
    <row r="4190" ht="12.75" customHeight="1"/>
    <row r="4191" ht="12.75" customHeight="1"/>
    <row r="4192" ht="12.75" customHeight="1"/>
    <row r="4193" ht="12.75" customHeight="1"/>
    <row r="4194" ht="12.75" customHeight="1"/>
    <row r="4195" ht="12.75" customHeight="1"/>
    <row r="4196" ht="12.75" customHeight="1"/>
    <row r="4197" ht="12.75" customHeight="1"/>
    <row r="4198" ht="12.75" customHeight="1"/>
    <row r="4199" ht="12.75" customHeight="1"/>
    <row r="4200" ht="12.75" customHeight="1"/>
    <row r="4201" ht="12.75" customHeight="1"/>
    <row r="4202" ht="12.75" customHeight="1"/>
    <row r="4203" ht="12.75" customHeight="1"/>
    <row r="4204" ht="12.75" customHeight="1"/>
    <row r="4205" ht="12.75" customHeight="1"/>
    <row r="4206" ht="12.75" customHeight="1"/>
    <row r="4207" ht="12.75" customHeight="1"/>
    <row r="4208" ht="12.75" customHeight="1"/>
    <row r="4209" ht="12.75" customHeight="1"/>
    <row r="4210" ht="12.75" customHeight="1"/>
    <row r="4211" ht="12.75" customHeight="1"/>
    <row r="4212" ht="12.75" customHeight="1"/>
    <row r="4213" ht="12.75" customHeight="1"/>
    <row r="4214" ht="12.75" customHeight="1"/>
    <row r="4215" ht="12.75" customHeight="1"/>
    <row r="4216" ht="12.75" customHeight="1"/>
    <row r="4217" ht="12.75" customHeight="1"/>
    <row r="4218" ht="12.75" customHeight="1"/>
    <row r="4219" ht="12.75" customHeight="1"/>
    <row r="4220" ht="12.75" customHeight="1"/>
    <row r="4221" ht="12.75" customHeight="1"/>
    <row r="4222" ht="12.75" customHeight="1">
      <c r="F4222" s="74"/>
      <c r="H4222" s="74"/>
    </row>
    <row r="4223" ht="12.75" customHeight="1"/>
    <row r="4224" ht="12.75" customHeight="1"/>
    <row r="4225" ht="12.75" customHeight="1"/>
    <row r="4226" ht="12.75" customHeight="1"/>
    <row r="4227" ht="12.75" customHeight="1"/>
    <row r="4228" ht="12.75" customHeight="1"/>
    <row r="4229" ht="12.75" customHeight="1"/>
    <row r="4230" ht="12.75" customHeight="1"/>
    <row r="4231" ht="12.75" customHeight="1"/>
    <row r="4232" ht="12.75" customHeight="1"/>
    <row r="4233" ht="12.75" customHeight="1"/>
    <row r="4234" ht="12.75" customHeight="1">
      <c r="AG4234" s="74"/>
    </row>
    <row r="4235" ht="12.75" customHeight="1"/>
    <row r="4236" ht="12.75" customHeight="1"/>
    <row r="4237" ht="12.75" customHeight="1"/>
    <row r="4238" ht="12.75" customHeight="1"/>
    <row r="4239" ht="12.75" customHeight="1"/>
    <row r="4240" ht="12.75" customHeight="1"/>
    <row r="4241" ht="12.75" customHeight="1">
      <c r="F4241" s="74"/>
      <c r="H4241" s="74"/>
    </row>
    <row r="4242" ht="12.75" customHeight="1"/>
    <row r="4243" ht="12.75" customHeight="1">
      <c r="F4243" s="74"/>
      <c r="H4243" s="74"/>
    </row>
    <row r="4244" ht="12.75" customHeight="1"/>
    <row r="4245" ht="12.75" customHeight="1"/>
    <row r="4246" ht="12.75" customHeight="1"/>
    <row r="4247" ht="12.75" customHeight="1"/>
    <row r="4248" ht="12.75" customHeight="1">
      <c r="F4248" s="74"/>
      <c r="H4248" s="74"/>
    </row>
    <row r="4249" ht="12.75" customHeight="1"/>
    <row r="4250" ht="12.75" customHeight="1"/>
    <row r="4251" ht="12.75" customHeight="1"/>
    <row r="4252" ht="12.75" customHeight="1"/>
    <row r="4253" ht="12.75" customHeight="1"/>
    <row r="4254" ht="12.75" customHeight="1"/>
    <row r="4255" ht="12.75" customHeight="1">
      <c r="F4255" s="74"/>
      <c r="H4255" s="74"/>
    </row>
    <row r="4256" ht="12.75" customHeight="1"/>
    <row r="4257" ht="12.75" customHeight="1"/>
    <row r="4258" ht="12.75" customHeight="1"/>
    <row r="4259" ht="12.75" customHeight="1"/>
    <row r="4260" ht="12.75" customHeight="1"/>
    <row r="4261" ht="12.75" customHeight="1"/>
    <row r="4262" ht="12.75" customHeight="1"/>
    <row r="4263" ht="12.75" customHeight="1"/>
    <row r="4264" ht="12.75" customHeight="1"/>
    <row r="4265" ht="12.75" customHeight="1"/>
    <row r="4266" ht="12.75" customHeight="1"/>
    <row r="4267" ht="12.75" customHeight="1"/>
    <row r="4268" ht="12.75" customHeight="1"/>
    <row r="4269" ht="12.75" customHeight="1"/>
    <row r="4270" ht="12.75" customHeight="1"/>
    <row r="4271" ht="12.75" customHeight="1"/>
    <row r="4272" ht="12.75" customHeight="1"/>
    <row r="4273" ht="12.75" customHeight="1"/>
    <row r="4274" ht="12.75" customHeight="1"/>
    <row r="4275" ht="12.75" customHeight="1"/>
    <row r="4276" ht="12.75" customHeight="1"/>
    <row r="4277" ht="12.75" customHeight="1"/>
    <row r="4278" ht="12.75" customHeight="1"/>
    <row r="4279" ht="12.75" customHeight="1"/>
    <row r="4280" ht="12.75" customHeight="1"/>
    <row r="4281" ht="12.75" customHeight="1"/>
    <row r="4282" ht="12.75" customHeight="1"/>
    <row r="4283" ht="12.75" customHeight="1"/>
    <row r="4284" ht="12.75" customHeight="1"/>
    <row r="4285" ht="12.75" customHeight="1"/>
    <row r="4286" ht="12.75" customHeight="1"/>
    <row r="4287" ht="12.75" customHeight="1"/>
    <row r="4288" ht="12.75" customHeight="1">
      <c r="F4288" s="74"/>
      <c r="H4288" s="74"/>
    </row>
    <row r="4289" ht="12.75" customHeight="1"/>
    <row r="4290" ht="12.75" customHeight="1"/>
    <row r="4291" ht="12.75" customHeight="1"/>
    <row r="4292" ht="12.75" customHeight="1">
      <c r="F4292" s="74"/>
      <c r="H4292" s="74"/>
    </row>
    <row r="4293" ht="12.75" customHeight="1"/>
    <row r="4294" ht="12.75" customHeight="1">
      <c r="F4294" s="74"/>
      <c r="H4294" s="74"/>
    </row>
    <row r="4295" ht="12.75" customHeight="1"/>
    <row r="4296" ht="12.75" customHeight="1"/>
    <row r="4297" ht="12.75" customHeight="1"/>
    <row r="4298" ht="12.75" customHeight="1">
      <c r="AG4298" s="74"/>
    </row>
    <row r="4299" ht="12.75" customHeight="1"/>
    <row r="4300" ht="12.75" customHeight="1">
      <c r="AG4300" s="74"/>
    </row>
    <row r="4301" ht="12.75" customHeight="1"/>
    <row r="4302" ht="12.75" customHeight="1"/>
    <row r="4303" ht="12.75" customHeight="1"/>
    <row r="4304" ht="12.75" customHeight="1"/>
    <row r="4305" ht="12.75" customHeight="1"/>
    <row r="4306" ht="12.75" customHeight="1"/>
    <row r="4307" ht="12.75" customHeight="1"/>
    <row r="4308" ht="12.75" customHeight="1">
      <c r="F4308" s="74"/>
      <c r="H4308" s="74"/>
    </row>
    <row r="4309" ht="12.75" customHeight="1"/>
    <row r="4310" ht="12.75" customHeight="1">
      <c r="F4310" s="74"/>
      <c r="H4310" s="74"/>
    </row>
    <row r="4311" ht="12.75" customHeight="1">
      <c r="F4311" s="74"/>
      <c r="H4311" s="74"/>
    </row>
    <row r="4312" ht="12.75" customHeight="1"/>
    <row r="4313" ht="12.75" customHeight="1"/>
    <row r="4314" ht="12.75" customHeight="1"/>
    <row r="4315" ht="12.75" customHeight="1">
      <c r="F4315" s="74"/>
      <c r="H4315" s="74"/>
    </row>
    <row r="4316" ht="12.75" customHeight="1">
      <c r="F4316" s="74"/>
      <c r="H4316" s="74"/>
    </row>
    <row r="4317" ht="12.75" customHeight="1">
      <c r="F4317" s="74"/>
      <c r="H4317" s="74"/>
    </row>
    <row r="4318" ht="12.75" customHeight="1">
      <c r="F4318" s="74"/>
      <c r="H4318" s="74"/>
    </row>
    <row r="4319" ht="12.75" customHeight="1">
      <c r="F4319" s="74"/>
      <c r="H4319" s="74"/>
    </row>
    <row r="4320" ht="12.75" customHeight="1">
      <c r="F4320" s="74"/>
      <c r="H4320" s="74"/>
    </row>
    <row r="4321" ht="12.75" customHeight="1"/>
    <row r="4322" ht="12.75" customHeight="1"/>
    <row r="4323" ht="12.75" customHeight="1"/>
    <row r="4324" ht="12.75" customHeight="1"/>
    <row r="4325" ht="12.75" customHeight="1"/>
    <row r="4326" ht="12.75" customHeight="1"/>
    <row r="4327" ht="12.75" customHeight="1"/>
    <row r="4328" ht="12.75" customHeight="1"/>
    <row r="4329" ht="12.75" customHeight="1"/>
    <row r="4330" ht="12.75" customHeight="1"/>
    <row r="4331" ht="12.75" customHeight="1"/>
    <row r="4332" ht="12.75" customHeight="1"/>
    <row r="4333" ht="12.75" customHeight="1"/>
    <row r="4334" ht="12.75" customHeight="1"/>
    <row r="4335" ht="12.75" customHeight="1"/>
    <row r="4336" ht="12.75" customHeight="1"/>
    <row r="4337" ht="12.75" customHeight="1"/>
    <row r="4338" ht="12.75" customHeight="1"/>
    <row r="4339" ht="12.75" customHeight="1"/>
    <row r="4340" ht="12.75" customHeight="1"/>
    <row r="4341" ht="12.75" customHeight="1"/>
    <row r="4342" ht="12.75" customHeight="1"/>
    <row r="4343" ht="12.75" customHeight="1"/>
    <row r="4344" ht="12.75" customHeight="1"/>
    <row r="4345" ht="12.75" customHeight="1"/>
    <row r="4346" ht="12.75" customHeight="1"/>
    <row r="4347" ht="12.75" customHeight="1"/>
    <row r="4348" ht="12.75" customHeight="1"/>
    <row r="4349" ht="12.75" customHeight="1"/>
    <row r="4350" ht="12.75" customHeight="1"/>
    <row r="4351" ht="12.75" customHeight="1"/>
    <row r="4352" ht="12.75" customHeight="1"/>
    <row r="4353" ht="12.75" customHeight="1"/>
    <row r="4354" ht="12.75" customHeight="1"/>
    <row r="4355" ht="12.75" customHeight="1"/>
    <row r="4356" ht="12.75" customHeight="1"/>
    <row r="4357" ht="12.75" customHeight="1"/>
    <row r="4358" ht="12.75" customHeight="1"/>
    <row r="4359" ht="12.75" customHeight="1"/>
    <row r="4360" ht="12.75" customHeight="1"/>
    <row r="4361" ht="12.75" customHeight="1"/>
    <row r="4362" ht="12.75" customHeight="1"/>
    <row r="4363" ht="12.75" customHeight="1"/>
    <row r="4364" ht="12.75" customHeight="1"/>
    <row r="4365" ht="12.75" customHeight="1"/>
    <row r="4366" ht="12.75" customHeight="1"/>
    <row r="4367" ht="12.75" customHeight="1">
      <c r="F4367" s="74"/>
      <c r="H4367" s="74"/>
    </row>
    <row r="4368" ht="12.75" customHeight="1"/>
    <row r="4369" ht="12.75" customHeight="1"/>
    <row r="4370" ht="12.75" customHeight="1"/>
    <row r="4371" ht="12.75" customHeight="1"/>
    <row r="4372" ht="12.75" customHeight="1"/>
    <row r="4373" ht="12.75" customHeight="1"/>
    <row r="4374" ht="12.75" customHeight="1"/>
    <row r="4375" ht="12.75" customHeight="1">
      <c r="F4375" s="74"/>
      <c r="H4375" s="74"/>
    </row>
    <row r="4376" ht="12.75" customHeight="1"/>
    <row r="4377" ht="12.75" customHeight="1"/>
    <row r="4378" ht="12.75" customHeight="1">
      <c r="F4378" s="74"/>
      <c r="H4378" s="74"/>
      <c r="AG4378" s="74"/>
    </row>
    <row r="4379" ht="12.75" customHeight="1"/>
    <row r="4380" ht="12.75" customHeight="1"/>
    <row r="4381" ht="12.75" customHeight="1"/>
    <row r="4382" ht="12.75" customHeight="1"/>
    <row r="4383" ht="12.75" customHeight="1"/>
    <row r="4384" ht="12.75" customHeight="1"/>
    <row r="4385" ht="12.75" customHeight="1"/>
    <row r="4386" ht="12.75" customHeight="1"/>
    <row r="4387" ht="12.75" customHeight="1"/>
    <row r="4388" ht="12.75" customHeight="1"/>
    <row r="4389" ht="12.75" customHeight="1"/>
    <row r="4390" ht="12.75" customHeight="1"/>
    <row r="4391" ht="12.75" customHeight="1"/>
    <row r="4392" ht="12.75" customHeight="1"/>
    <row r="4393" ht="12.75" customHeight="1"/>
    <row r="4394" ht="12.75" customHeight="1"/>
    <row r="4395" ht="12.75" customHeight="1"/>
    <row r="4396" ht="12.75" customHeight="1"/>
    <row r="4397" ht="12.75" customHeight="1"/>
    <row r="4398" ht="12.75" customHeight="1"/>
    <row r="4399" ht="12.75" customHeight="1"/>
    <row r="4400" ht="12.75" customHeight="1"/>
    <row r="4401" ht="12.75" customHeight="1"/>
    <row r="4402" ht="12.75" customHeight="1"/>
    <row r="4403" ht="12.75" customHeight="1"/>
    <row r="4404" ht="12.75" customHeight="1"/>
    <row r="4405" ht="12.75" customHeight="1"/>
    <row r="4406" ht="12.75" customHeight="1"/>
    <row r="4407" ht="12.75" customHeight="1"/>
    <row r="4408" ht="12.75" customHeight="1"/>
    <row r="4409" ht="12.75" customHeight="1"/>
    <row r="4410" ht="12.75" customHeight="1"/>
    <row r="4411" ht="12.75" customHeight="1"/>
    <row r="4412" ht="12.75" customHeight="1"/>
    <row r="4413" ht="12.75" customHeight="1"/>
    <row r="4414" ht="12.75" customHeight="1"/>
    <row r="4415" ht="12.75" customHeight="1"/>
    <row r="4416" ht="12.75" customHeight="1"/>
    <row r="4417" ht="12.75" customHeight="1"/>
    <row r="4418" ht="12.75" customHeight="1">
      <c r="F4418" s="74"/>
      <c r="H4418" s="74"/>
    </row>
    <row r="4419" ht="12.75" customHeight="1"/>
    <row r="4420" ht="12.75" customHeight="1">
      <c r="F4420" s="74"/>
      <c r="H4420" s="74"/>
    </row>
    <row r="4421" ht="12.75" customHeight="1"/>
    <row r="4422" ht="12.75" customHeight="1"/>
    <row r="4423" ht="12.75" customHeight="1"/>
    <row r="4424" ht="12.75" customHeight="1"/>
    <row r="4425" ht="12.75" customHeight="1">
      <c r="AG4425" s="74"/>
    </row>
    <row r="4426" ht="12.75" customHeight="1"/>
    <row r="4427" ht="12.75" customHeight="1"/>
    <row r="4428" ht="12.75" customHeight="1"/>
    <row r="4429" ht="12.75" customHeight="1"/>
    <row r="4430" ht="12.75" customHeight="1"/>
    <row r="4431" ht="12.75" customHeight="1"/>
    <row r="4432" ht="12.75" customHeight="1"/>
    <row r="4433" ht="12.75" customHeight="1"/>
    <row r="4434" ht="12.75" customHeight="1"/>
    <row r="4435" ht="12.75" customHeight="1">
      <c r="F4435" s="74"/>
      <c r="H4435" s="74"/>
    </row>
    <row r="4436" ht="12.75" customHeight="1"/>
    <row r="4437" ht="12.75" customHeight="1">
      <c r="F4437" s="74"/>
      <c r="H4437" s="74"/>
    </row>
    <row r="4438" ht="12.75" customHeight="1"/>
    <row r="4439" ht="12.75" customHeight="1"/>
    <row r="4440" ht="12.75" customHeight="1"/>
    <row r="4441" ht="12.75" customHeight="1"/>
    <row r="4442" ht="12.75" customHeight="1"/>
    <row r="4443" ht="12.75" customHeight="1"/>
    <row r="4444" ht="12.75" customHeight="1"/>
    <row r="4445" ht="12.75" customHeight="1"/>
    <row r="4446" ht="12.75" customHeight="1"/>
    <row r="4447" ht="12.75" customHeight="1"/>
    <row r="4448" ht="12.75" customHeight="1"/>
    <row r="4449" ht="12.75" customHeight="1"/>
    <row r="4450" ht="12.75" customHeight="1"/>
    <row r="4451" ht="12.75" customHeight="1"/>
    <row r="4452" ht="12.75" customHeight="1"/>
    <row r="4453" ht="12.75" customHeight="1"/>
    <row r="4454" ht="12.75" customHeight="1">
      <c r="AG4454" s="74"/>
    </row>
    <row r="4455" ht="12.75" customHeight="1"/>
    <row r="4456" ht="12.75" customHeight="1">
      <c r="AG4456" s="74"/>
    </row>
    <row r="4457" ht="12.75" customHeight="1">
      <c r="AG4457" s="74"/>
    </row>
    <row r="4458" ht="12.75" customHeight="1"/>
    <row r="4459" ht="12.75" customHeight="1"/>
    <row r="4460" ht="12.75" customHeight="1">
      <c r="AG4460" s="74"/>
    </row>
    <row r="4461" ht="12.75" customHeight="1"/>
    <row r="4462" ht="12.75" customHeight="1"/>
    <row r="4463" ht="12.75" customHeight="1"/>
    <row r="4464" ht="12.75" customHeight="1"/>
    <row r="4465" ht="12.75" customHeight="1"/>
    <row r="4466" ht="12.75" customHeight="1"/>
    <row r="4467" ht="12.75" customHeight="1"/>
    <row r="4468" ht="12.75" customHeight="1">
      <c r="AG4468" s="74"/>
    </row>
    <row r="4469" ht="12.75" customHeight="1"/>
    <row r="4470" ht="12.75" customHeight="1"/>
    <row r="4471" ht="12.75" customHeight="1"/>
    <row r="4472" ht="12.75" customHeight="1"/>
    <row r="4473" ht="12.75" customHeight="1"/>
    <row r="4474" ht="12.75" customHeight="1"/>
    <row r="4475" ht="12.75" customHeight="1"/>
    <row r="4476" ht="12.75" customHeight="1"/>
    <row r="4477" ht="12.75" customHeight="1"/>
    <row r="4478" ht="12.75" customHeight="1"/>
    <row r="4479" ht="12.75" customHeight="1"/>
    <row r="4480" ht="12.75" customHeight="1"/>
    <row r="4481" ht="12.75" customHeight="1"/>
    <row r="4482" ht="12.75" customHeight="1"/>
    <row r="4483" ht="12.75" customHeight="1"/>
    <row r="4484" ht="12.75" customHeight="1"/>
    <row r="4485" ht="12.75" customHeight="1"/>
    <row r="4486" ht="12.75" customHeight="1"/>
    <row r="4487" ht="12.75" customHeight="1"/>
    <row r="4488" ht="12.75" customHeight="1"/>
    <row r="4489" ht="12.75" customHeight="1"/>
    <row r="4490" ht="12.75" customHeight="1"/>
    <row r="4491" ht="12.75" customHeight="1"/>
    <row r="4492" ht="12.75" customHeight="1"/>
    <row r="4493" ht="12.75" customHeight="1"/>
    <row r="4494" ht="12.75" customHeight="1"/>
    <row r="4495" ht="12.75" customHeight="1"/>
    <row r="4496" ht="12.75" customHeight="1"/>
    <row r="4497" ht="12.75" customHeight="1"/>
    <row r="4498" ht="12.75" customHeight="1"/>
    <row r="4499" ht="12.75" customHeight="1"/>
    <row r="4500" ht="12.75" customHeight="1"/>
    <row r="4501" ht="12.75" customHeight="1"/>
    <row r="4502" ht="12.75" customHeight="1"/>
    <row r="4503" ht="12.75" customHeight="1"/>
    <row r="4504" ht="12.75" customHeight="1"/>
    <row r="4505" ht="12.75" customHeight="1"/>
    <row r="4506" ht="12.75" customHeight="1"/>
    <row r="4507" ht="12.75" customHeight="1"/>
    <row r="4508" ht="12.75" customHeight="1"/>
    <row r="4509" ht="12.75" customHeight="1"/>
    <row r="4510" ht="12.75" customHeight="1"/>
    <row r="4511" ht="12.75" customHeight="1"/>
    <row r="4512" ht="12.75" customHeight="1"/>
    <row r="4513" ht="12.75" customHeight="1"/>
    <row r="4514" ht="12.75" customHeight="1"/>
    <row r="4515" ht="12.75" customHeight="1"/>
    <row r="4516" ht="12.75" customHeight="1"/>
    <row r="4517" ht="12.75" customHeight="1"/>
    <row r="4518" ht="12.75" customHeight="1"/>
    <row r="4519" ht="12.75" customHeight="1"/>
    <row r="4520" ht="12.75" customHeight="1"/>
    <row r="4521" ht="12.75" customHeight="1"/>
    <row r="4522" ht="12.75" customHeight="1"/>
    <row r="4523" ht="12.75" customHeight="1"/>
    <row r="4524" ht="12.75" customHeight="1"/>
    <row r="4525" ht="12.75" customHeight="1"/>
    <row r="4526" ht="12.75" customHeight="1"/>
    <row r="4527" ht="12.75" customHeight="1"/>
    <row r="4528" ht="12.75" customHeight="1"/>
    <row r="4529" ht="12.75" customHeight="1"/>
    <row r="4530" ht="12.75" customHeight="1"/>
    <row r="4531" ht="12.75" customHeight="1"/>
    <row r="4532" ht="12.75" customHeight="1"/>
    <row r="4533" ht="12.75" customHeight="1"/>
    <row r="4534" ht="12.75" customHeight="1"/>
    <row r="4535" ht="12.75" customHeight="1">
      <c r="AG4535" s="74"/>
    </row>
    <row r="4536" ht="12.75" customHeight="1"/>
    <row r="4537" ht="12.75" customHeight="1"/>
    <row r="4538" ht="12.75" customHeight="1">
      <c r="AG4538" s="74"/>
    </row>
    <row r="4539" ht="12.75" customHeight="1">
      <c r="AG4539" s="74"/>
    </row>
    <row r="4540" ht="12.75" customHeight="1">
      <c r="AG4540" s="74"/>
    </row>
    <row r="4541" ht="12.75" customHeight="1">
      <c r="AG4541" s="74"/>
    </row>
    <row r="4542" ht="12.75" customHeight="1"/>
    <row r="4543" ht="12.75" customHeight="1">
      <c r="AG4543" s="74"/>
    </row>
    <row r="4544" ht="12.75" customHeight="1">
      <c r="AG4544" s="74"/>
    </row>
    <row r="4545" ht="12.75" customHeight="1"/>
    <row r="4546" ht="12.75" customHeight="1">
      <c r="AG4546" s="74"/>
    </row>
    <row r="4547" ht="12.75" customHeight="1"/>
    <row r="4548" ht="12.75" customHeight="1"/>
    <row r="4549" ht="12.75" customHeight="1"/>
    <row r="4550" ht="12.75" customHeight="1"/>
    <row r="4551" ht="12.75" customHeight="1">
      <c r="AG4551" s="74"/>
    </row>
    <row r="4552" ht="12.75" customHeight="1"/>
    <row r="4553" ht="12.75" customHeight="1"/>
    <row r="4554" ht="12.75" customHeight="1"/>
    <row r="4555" ht="12.75" customHeight="1"/>
    <row r="4556" ht="12.75" customHeight="1"/>
    <row r="4557" ht="12.75" customHeight="1">
      <c r="R4557" s="74"/>
    </row>
    <row r="4558" ht="12.75" customHeight="1"/>
    <row r="4559" ht="12.75" customHeight="1"/>
    <row r="4560" ht="12.75" customHeight="1"/>
    <row r="4561" ht="12.75" customHeight="1"/>
    <row r="4562" ht="12.75" customHeight="1"/>
    <row r="4563" ht="12.75" customHeight="1"/>
    <row r="4564" ht="12.75" customHeight="1"/>
    <row r="4565" ht="12.75" customHeight="1"/>
    <row r="4566" ht="12.75" customHeight="1"/>
    <row r="4567" ht="12.75" customHeight="1"/>
    <row r="4568" ht="12.75" customHeight="1"/>
    <row r="4569" ht="12.75" customHeight="1"/>
    <row r="4570" ht="12.75" customHeight="1"/>
    <row r="4571" ht="12.75" customHeight="1"/>
    <row r="4572" ht="12.75" customHeight="1"/>
    <row r="4573" ht="12.75" customHeight="1"/>
    <row r="4574" ht="12.75" customHeight="1"/>
    <row r="4575" ht="12.75" customHeight="1"/>
    <row r="4576" ht="12.75" customHeight="1"/>
    <row r="4577" ht="12.75" customHeight="1"/>
    <row r="4578" ht="12.75" customHeight="1"/>
    <row r="4579" ht="12.75" customHeight="1"/>
    <row r="4580" ht="12.75" customHeight="1"/>
    <row r="4581" ht="12.75" customHeight="1"/>
    <row r="4582" ht="12.75" customHeight="1"/>
    <row r="4583" ht="12.75" customHeight="1"/>
    <row r="4584" ht="12.75" customHeight="1"/>
    <row r="4585" ht="12.75" customHeight="1"/>
    <row r="4586" ht="12.75" customHeight="1"/>
    <row r="4587" ht="12.75" customHeight="1"/>
    <row r="4588" ht="12.75" customHeight="1"/>
    <row r="4589" ht="12.75" customHeight="1"/>
    <row r="4590" ht="12.75" customHeight="1"/>
    <row r="4591" ht="12.75" customHeight="1"/>
    <row r="4592" ht="12.75" customHeight="1"/>
    <row r="4593" ht="12.75" customHeight="1"/>
    <row r="4594" ht="12.75" customHeight="1"/>
    <row r="4595" ht="12.75" customHeight="1"/>
    <row r="4596" ht="12.75" customHeight="1"/>
    <row r="4597" ht="12.75" customHeight="1"/>
    <row r="4598" ht="12.75" customHeight="1"/>
    <row r="4599" ht="12.75" customHeight="1"/>
    <row r="4600" ht="12.75" customHeight="1"/>
    <row r="4601" ht="12.75" customHeight="1"/>
    <row r="4602" ht="12.75" customHeight="1"/>
    <row r="4603" ht="12.75" customHeight="1"/>
    <row r="4604" ht="12.75" customHeight="1"/>
    <row r="4605" ht="12.75" customHeight="1"/>
    <row r="4606" ht="12.75" customHeight="1"/>
    <row r="4607" ht="12.75" customHeight="1"/>
    <row r="4608" ht="12.75" customHeight="1"/>
    <row r="4609" ht="12.75" customHeight="1"/>
    <row r="4610" ht="12.75" customHeight="1"/>
    <row r="4611" ht="12.75" customHeight="1"/>
    <row r="4612" ht="12.75" customHeight="1"/>
    <row r="4613" ht="12.75" customHeight="1"/>
    <row r="4614" ht="12.75" customHeight="1"/>
    <row r="4615" ht="12.75" customHeight="1"/>
    <row r="4616" ht="12.75" customHeight="1"/>
    <row r="4617" ht="12.75" customHeight="1"/>
    <row r="4618" ht="12.75" customHeight="1"/>
    <row r="4619" ht="12.75" customHeight="1"/>
    <row r="4620" ht="12.75" customHeight="1"/>
    <row r="4621" ht="12.75" customHeight="1"/>
    <row r="4622" ht="12.75" customHeight="1"/>
    <row r="4623" ht="12.75" customHeight="1"/>
    <row r="4624" ht="12.75" customHeight="1"/>
    <row r="4625" ht="12.75" customHeight="1"/>
    <row r="4626" ht="12.75" customHeight="1"/>
    <row r="4627" ht="12.75" customHeight="1"/>
    <row r="4628" ht="12.75" customHeight="1"/>
    <row r="4629" ht="12.75" customHeight="1"/>
    <row r="4630" ht="12.75" customHeight="1"/>
    <row r="4631" ht="12.75" customHeight="1"/>
    <row r="4632" ht="12.75" customHeight="1"/>
    <row r="4633" ht="12.75" customHeight="1"/>
    <row r="4634" ht="12.75" customHeight="1"/>
    <row r="4635" ht="12.75" customHeight="1"/>
    <row r="4636" ht="12.75" customHeight="1"/>
    <row r="4637" ht="12.75" customHeight="1"/>
    <row r="4638" ht="12.75" customHeight="1"/>
    <row r="4639" ht="12.75" customHeight="1"/>
    <row r="4640" ht="12.75" customHeight="1"/>
    <row r="4641" ht="12.75" customHeight="1"/>
    <row r="4642" ht="12.75" customHeight="1"/>
    <row r="4643" ht="12.75" customHeight="1"/>
    <row r="4644" ht="12.75" customHeight="1"/>
    <row r="4645" ht="12.75" customHeight="1"/>
    <row r="4646" ht="12.75" customHeight="1"/>
    <row r="4647" ht="12.75" customHeight="1"/>
    <row r="4648" ht="12.75" customHeight="1"/>
    <row r="4649" ht="12.75" customHeight="1"/>
    <row r="4650" ht="12.75" customHeight="1">
      <c r="F4650" s="74"/>
      <c r="H4650" s="74"/>
    </row>
    <row r="4651" ht="12.75" customHeight="1"/>
    <row r="4652" ht="12.75" customHeight="1"/>
    <row r="4653" ht="12.75" customHeight="1"/>
    <row r="4654" ht="12.75" customHeight="1"/>
    <row r="4655" ht="12.75" customHeight="1"/>
    <row r="4656" ht="12.75" customHeight="1"/>
    <row r="4657" ht="12.75" customHeight="1"/>
    <row r="4658" ht="12.75" customHeight="1"/>
    <row r="4659" ht="12.75" customHeight="1"/>
    <row r="4660" ht="12.75" customHeight="1"/>
    <row r="4661" ht="12.75" customHeight="1"/>
    <row r="4662" ht="12.75" customHeight="1"/>
    <row r="4663" ht="12.75" customHeight="1"/>
    <row r="4664" ht="12.75" customHeight="1"/>
    <row r="4665" ht="12.75" customHeight="1"/>
    <row r="4666" ht="12.75" customHeight="1"/>
    <row r="4667" ht="12.75" customHeight="1"/>
    <row r="4668" ht="12.75" customHeight="1"/>
    <row r="4669" ht="12.75" customHeight="1"/>
    <row r="4670" ht="12.75" customHeight="1"/>
    <row r="4671" ht="12.75" customHeight="1"/>
    <row r="4672" ht="12.75" customHeight="1"/>
    <row r="4673" ht="12.75" customHeight="1"/>
    <row r="4674" ht="12.75" customHeight="1"/>
    <row r="4675" ht="12.75" customHeight="1"/>
    <row r="4676" ht="12.75" customHeight="1"/>
    <row r="4677" ht="12.75" customHeight="1"/>
    <row r="4678" ht="12.75" customHeight="1"/>
    <row r="4679" ht="12.75" customHeight="1"/>
    <row r="4680" ht="12.75" customHeight="1"/>
    <row r="4681" ht="12.75" customHeight="1"/>
    <row r="4682" ht="12.75" customHeight="1"/>
    <row r="4683" ht="12.75" customHeight="1"/>
    <row r="4684" ht="12.75" customHeight="1"/>
    <row r="4685" ht="12.75" customHeight="1"/>
    <row r="4686" ht="12.75" customHeight="1"/>
    <row r="4687" ht="12.75" customHeight="1"/>
    <row r="4688" ht="12.75" customHeight="1"/>
    <row r="4689" ht="12.75" customHeight="1"/>
    <row r="4690" ht="12.75" customHeight="1"/>
    <row r="4691" ht="12.75" customHeight="1"/>
    <row r="4692" ht="12.75" customHeight="1"/>
    <row r="4693" ht="12.75" customHeight="1"/>
    <row r="4694" ht="12.75" customHeight="1"/>
    <row r="4695" ht="12.75" customHeight="1"/>
    <row r="4696" ht="12.75" customHeight="1"/>
    <row r="4697" ht="12.75" customHeight="1"/>
    <row r="4698" ht="12.75" customHeight="1"/>
    <row r="4699" ht="12.75" customHeight="1"/>
    <row r="4700" ht="12.75" customHeight="1"/>
    <row r="4701" ht="12.75" customHeight="1"/>
    <row r="4702" ht="12.75" customHeight="1"/>
    <row r="4703" ht="12.75" customHeight="1"/>
    <row r="4704" ht="12.75" customHeight="1"/>
    <row r="4705" ht="12.75" customHeight="1">
      <c r="AG4705" s="74"/>
    </row>
    <row r="4706" ht="12.75" customHeight="1"/>
    <row r="4707" ht="12.75" customHeight="1"/>
    <row r="4708" ht="12.75" customHeight="1"/>
    <row r="4709" ht="12.75" customHeight="1"/>
    <row r="4710" ht="12.75" customHeight="1"/>
    <row r="4711" ht="12.75" customHeight="1"/>
    <row r="4712" ht="12.75" customHeight="1"/>
    <row r="4713" ht="12.75" customHeight="1"/>
    <row r="4714" ht="12.75" customHeight="1"/>
    <row r="4715" ht="12.75" customHeight="1"/>
    <row r="4716" ht="12.75" customHeight="1"/>
    <row r="4717" ht="12.75" customHeight="1"/>
    <row r="4718" ht="12.75" customHeight="1"/>
    <row r="4719" ht="12.75" customHeight="1"/>
    <row r="4720" ht="12.75" customHeight="1"/>
    <row r="4721" ht="12.75" customHeight="1"/>
    <row r="4722" ht="12.75" customHeight="1"/>
    <row r="4723" ht="12.75" customHeight="1"/>
    <row r="4724" ht="12.75" customHeight="1"/>
    <row r="4725" ht="12.75" customHeight="1"/>
    <row r="4726" ht="12.75" customHeight="1"/>
    <row r="4727" ht="12.75" customHeight="1"/>
    <row r="4728" ht="12.75" customHeight="1"/>
    <row r="4729" ht="12.75" customHeight="1"/>
    <row r="4730" ht="12.75" customHeight="1"/>
    <row r="4731" ht="12.75" customHeight="1"/>
    <row r="4732" ht="12.75" customHeight="1"/>
    <row r="4733" ht="12.75" customHeight="1">
      <c r="F4733" s="74"/>
      <c r="H4733" s="74"/>
    </row>
    <row r="4734" ht="12.75" customHeight="1"/>
    <row r="4735" ht="12.75" customHeight="1"/>
    <row r="4736" ht="12.75" customHeight="1"/>
    <row r="4737" ht="12.75" customHeight="1"/>
    <row r="4738" ht="12.75" customHeight="1"/>
    <row r="4739" ht="12.75" customHeight="1"/>
    <row r="4740" ht="12.75" customHeight="1"/>
    <row r="4741" ht="12.75" customHeight="1"/>
    <row r="4742" ht="12.75" customHeight="1"/>
    <row r="4743" ht="12.75" customHeight="1"/>
    <row r="4744" ht="12.75" customHeight="1"/>
    <row r="4745" ht="12.75" customHeight="1"/>
    <row r="4746" ht="12.75" customHeight="1"/>
    <row r="4747" ht="12.75" customHeight="1"/>
    <row r="4748" ht="12.75" customHeight="1"/>
    <row r="4749" ht="12.75" customHeight="1"/>
    <row r="4750" ht="12.75" customHeight="1"/>
    <row r="4751" ht="12.75" customHeight="1"/>
    <row r="4752" ht="12.75" customHeight="1"/>
    <row r="4753" ht="12.75" customHeight="1"/>
    <row r="4754" ht="12.75" customHeight="1"/>
    <row r="4755" ht="12.75" customHeight="1"/>
    <row r="4756" ht="12.75" customHeight="1"/>
    <row r="4757" ht="12.75" customHeight="1"/>
    <row r="4758" ht="12.75" customHeight="1">
      <c r="F4758" s="74"/>
      <c r="H4758" s="74"/>
    </row>
    <row r="4759" ht="12.75" customHeight="1"/>
    <row r="4760" ht="12.75" customHeight="1"/>
    <row r="4761" ht="12.75" customHeight="1"/>
    <row r="4762" ht="12.75" customHeight="1"/>
    <row r="4763" ht="12.75" customHeight="1"/>
    <row r="4764" ht="12.75" customHeight="1"/>
    <row r="4765" ht="12.75" customHeight="1"/>
    <row r="4766" ht="12.75" customHeight="1"/>
    <row r="4767" ht="12.75" customHeight="1"/>
    <row r="4768" ht="12.75" customHeight="1"/>
    <row r="4769" ht="12.75" customHeight="1"/>
    <row r="4770" ht="12.75" customHeight="1"/>
    <row r="4771" ht="12.75" customHeight="1"/>
    <row r="4772" ht="12.75" customHeight="1"/>
    <row r="4773" ht="12.75" customHeight="1"/>
    <row r="4774" ht="12.75" customHeight="1"/>
    <row r="4775" ht="12.75" customHeight="1"/>
    <row r="4776" ht="12.75" customHeight="1"/>
    <row r="4777" ht="12.75" customHeight="1"/>
    <row r="4778" ht="12.75" customHeight="1"/>
    <row r="4779" ht="12.75" customHeight="1"/>
    <row r="4780" ht="12.75" customHeight="1"/>
    <row r="4781" ht="12.75" customHeight="1"/>
    <row r="4782" ht="12.75" customHeight="1"/>
    <row r="4783" ht="12.75" customHeight="1"/>
    <row r="4784" ht="12.75" customHeight="1"/>
    <row r="4785" ht="12.75" customHeight="1"/>
    <row r="4786" ht="12.75" customHeight="1"/>
    <row r="4787" ht="12.75" customHeight="1"/>
    <row r="4788" ht="12.75" customHeight="1"/>
    <row r="4789" ht="12.75" customHeight="1"/>
    <row r="4790" ht="12.75" customHeight="1"/>
    <row r="4791" ht="12.75" customHeight="1"/>
    <row r="4792" ht="12.75" customHeight="1"/>
    <row r="4793" ht="12.75" customHeight="1"/>
    <row r="4794" ht="12.75" customHeight="1"/>
    <row r="4795" ht="12.75" customHeight="1"/>
    <row r="4796" ht="12.75" customHeight="1"/>
    <row r="4797" ht="12.75" customHeight="1"/>
    <row r="4798" ht="12.75" customHeight="1"/>
    <row r="4799" ht="12.75" customHeight="1"/>
    <row r="4800" ht="12.75" customHeight="1"/>
    <row r="4801" ht="12.75" customHeight="1"/>
    <row r="4802" ht="12.75" customHeight="1"/>
    <row r="4803" ht="12.75" customHeight="1"/>
    <row r="4804" ht="12.75" customHeight="1"/>
    <row r="4805" ht="12.75" customHeight="1"/>
    <row r="4806" ht="12.75" customHeight="1"/>
    <row r="4807" ht="12.75" customHeight="1"/>
    <row r="4808" ht="12.75" customHeight="1"/>
    <row r="4809" ht="12.75" customHeight="1"/>
    <row r="4810" ht="12.75" customHeight="1"/>
    <row r="4811" ht="12.75" customHeight="1"/>
    <row r="4812" ht="12.75" customHeight="1"/>
    <row r="4813" ht="12.75" customHeight="1"/>
    <row r="4814" ht="12.75" customHeight="1"/>
    <row r="4815" ht="12.75" customHeight="1"/>
    <row r="4816" ht="12.75" customHeight="1"/>
    <row r="4817" ht="12.75" customHeight="1"/>
    <row r="4818" ht="12.75" customHeight="1"/>
    <row r="4819" ht="12.75" customHeight="1"/>
    <row r="4820" ht="12.75" customHeight="1"/>
    <row r="4821" ht="12.75" customHeight="1">
      <c r="F4821" s="74"/>
      <c r="H4821" s="74"/>
    </row>
    <row r="4822" ht="12.75" customHeight="1"/>
    <row r="4823" ht="12.75" customHeight="1"/>
    <row r="4824" ht="12.75" customHeight="1"/>
    <row r="4825" ht="12.75" customHeight="1"/>
    <row r="4826" ht="12.75" customHeight="1"/>
    <row r="4827" ht="12.75" customHeight="1"/>
    <row r="4828" ht="12.75" customHeight="1"/>
    <row r="4829" ht="12.75" customHeight="1"/>
    <row r="4830" ht="12.75" customHeight="1"/>
    <row r="4831" ht="12.75" customHeight="1">
      <c r="AG4831" s="74"/>
    </row>
    <row r="4832" ht="12.75" customHeight="1"/>
    <row r="4833" ht="12.75" customHeight="1"/>
    <row r="4834" ht="12.75" customHeight="1"/>
    <row r="4835" ht="12.75" customHeight="1"/>
    <row r="4836" ht="12.75" customHeight="1"/>
    <row r="4837" ht="12.75" customHeight="1"/>
    <row r="4838" ht="12.75" customHeight="1"/>
    <row r="4839" ht="12.75" customHeight="1"/>
    <row r="4840" ht="12.75" customHeight="1"/>
    <row r="4841" ht="12.75" customHeight="1"/>
    <row r="4842" ht="12.75" customHeight="1"/>
    <row r="4843" ht="12.75" customHeight="1"/>
    <row r="4844" ht="12.75" customHeight="1"/>
    <row r="4845" ht="12.75" customHeight="1"/>
    <row r="4846" ht="12.75" customHeight="1">
      <c r="F4846" s="74"/>
      <c r="H4846" s="74"/>
    </row>
    <row r="4847" ht="12.75" customHeight="1"/>
    <row r="4848" ht="12.75" customHeight="1"/>
    <row r="4849" ht="12.75" customHeight="1"/>
    <row r="4850" ht="12.75" customHeight="1"/>
    <row r="4851" ht="12.75" customHeight="1"/>
    <row r="4852" ht="12.75" customHeight="1"/>
    <row r="4853" ht="12.75" customHeight="1">
      <c r="F4853" s="74"/>
      <c r="H4853" s="74"/>
    </row>
    <row r="4854" ht="12.75" customHeight="1"/>
    <row r="4855" ht="12.75" customHeight="1">
      <c r="F4855" s="74"/>
      <c r="H4855" s="74"/>
    </row>
    <row r="4856" ht="12.75" customHeight="1">
      <c r="F4856" s="74"/>
      <c r="H4856" s="74"/>
    </row>
    <row r="4857" ht="12.75" customHeight="1">
      <c r="F4857" s="74"/>
      <c r="H4857" s="74"/>
    </row>
    <row r="4858" ht="12.75" customHeight="1">
      <c r="F4858" s="74"/>
      <c r="H4858" s="74"/>
    </row>
    <row r="4859" ht="12.75" customHeight="1">
      <c r="F4859" s="74"/>
      <c r="H4859" s="74"/>
    </row>
    <row r="4860" ht="12.75" customHeight="1">
      <c r="F4860" s="74"/>
      <c r="H4860" s="74"/>
    </row>
    <row r="4861" ht="12.75" customHeight="1"/>
    <row r="4862" ht="12.75" customHeight="1"/>
    <row r="4863" ht="12.75" customHeight="1"/>
    <row r="4864" ht="12.75" customHeight="1"/>
    <row r="4865" ht="12.75" customHeight="1"/>
    <row r="4866" ht="12.75" customHeight="1"/>
    <row r="4867" ht="12.75" customHeight="1"/>
    <row r="4868" ht="12.75" customHeight="1">
      <c r="F4868" s="74"/>
      <c r="H4868" s="74"/>
    </row>
    <row r="4869" ht="12.75" customHeight="1"/>
    <row r="4870" ht="12.75" customHeight="1"/>
    <row r="4871" ht="12.75" customHeight="1"/>
    <row r="4872" ht="12.75" customHeight="1"/>
    <row r="4873" ht="12.75" customHeight="1">
      <c r="F4873" s="74"/>
      <c r="H4873" s="74"/>
      <c r="AG4873" s="74"/>
    </row>
    <row r="4874" ht="12.75" customHeight="1"/>
    <row r="4875" ht="12.75" customHeight="1">
      <c r="F4875" s="74"/>
      <c r="H4875" s="74"/>
    </row>
    <row r="4876" ht="12.75" customHeight="1">
      <c r="F4876" s="74"/>
      <c r="H4876" s="74"/>
    </row>
    <row r="4877" ht="12.75" customHeight="1"/>
    <row r="4878" ht="12.75" customHeight="1">
      <c r="F4878" s="74"/>
      <c r="H4878" s="74"/>
    </row>
    <row r="4879" ht="12.75" customHeight="1">
      <c r="F4879" s="74"/>
      <c r="H4879" s="74"/>
    </row>
    <row r="4880" ht="12.75" customHeight="1"/>
    <row r="4881" ht="12.75" customHeight="1"/>
    <row r="4882" ht="12.75" customHeight="1"/>
    <row r="4883" ht="12.75" customHeight="1"/>
    <row r="4884" ht="12.75" customHeight="1"/>
    <row r="4885" ht="12.75" customHeight="1"/>
    <row r="4886" ht="12.75" customHeight="1"/>
    <row r="4887" ht="12.75" customHeight="1"/>
    <row r="4888" ht="12.75" customHeight="1"/>
    <row r="4889" ht="12.75" customHeight="1"/>
    <row r="4890" ht="12.75" customHeight="1"/>
    <row r="4891" ht="12.75" customHeight="1"/>
    <row r="4892" ht="12.75" customHeight="1"/>
    <row r="4893" ht="12.75" customHeight="1"/>
    <row r="4894" ht="12.75" customHeight="1"/>
    <row r="4895" ht="12.75" customHeight="1"/>
    <row r="4896" ht="12.75" customHeight="1">
      <c r="F4896" s="74"/>
      <c r="H4896" s="74"/>
    </row>
    <row r="4897" ht="12.75" customHeight="1"/>
    <row r="4898" ht="12.75" customHeight="1"/>
    <row r="4899" ht="12.75" customHeight="1"/>
    <row r="4900" ht="12.75" customHeight="1"/>
    <row r="4901" ht="12.75" customHeight="1"/>
    <row r="4902" ht="12.75" customHeight="1"/>
    <row r="4903" ht="12.75" customHeight="1"/>
    <row r="4904" ht="12.75" customHeight="1"/>
    <row r="4905" ht="12.75" customHeight="1"/>
    <row r="4906" ht="12.75" customHeight="1"/>
    <row r="4907" ht="12.75" customHeight="1"/>
    <row r="4908" ht="12.75" customHeight="1"/>
    <row r="4909" ht="12.75" customHeight="1"/>
    <row r="4910" ht="12.75" customHeight="1"/>
    <row r="4911" ht="12.75" customHeight="1">
      <c r="AG4911" s="74"/>
    </row>
    <row r="4912" ht="12.75" customHeight="1"/>
    <row r="4913" ht="12.75" customHeight="1"/>
    <row r="4914" ht="12.75" customHeight="1"/>
    <row r="4915" ht="12.75" customHeight="1"/>
    <row r="4916" ht="12.75" customHeight="1"/>
    <row r="4917" ht="12.75" customHeight="1"/>
    <row r="4918" ht="12.75" customHeight="1"/>
    <row r="4919" ht="12.75" customHeight="1"/>
    <row r="4920" ht="12.75" customHeight="1"/>
    <row r="4921" ht="12.75" customHeight="1"/>
    <row r="4922" ht="12.75" customHeight="1"/>
    <row r="4923" ht="12.75" customHeight="1"/>
    <row r="4924" ht="12.75" customHeight="1"/>
    <row r="4925" ht="12.75" customHeight="1"/>
    <row r="4926" ht="12.75" customHeight="1"/>
    <row r="4927" ht="12.75" customHeight="1"/>
    <row r="4928" ht="12.75" customHeight="1">
      <c r="AG4928" s="74"/>
    </row>
    <row r="4929" ht="12.75" customHeight="1">
      <c r="AG4929" s="74"/>
    </row>
    <row r="4930" ht="12.75" customHeight="1"/>
    <row r="4931" ht="12.75" customHeight="1"/>
    <row r="4932" ht="12.75" customHeight="1"/>
    <row r="4933" ht="12.75" customHeight="1"/>
    <row r="4934" ht="12.75" customHeight="1"/>
    <row r="4935" ht="12.75" customHeight="1"/>
    <row r="4936" ht="12.75" customHeight="1"/>
    <row r="4937" ht="12.75" customHeight="1"/>
    <row r="4938" ht="12.75" customHeight="1"/>
    <row r="4939" ht="12.75" customHeight="1">
      <c r="F4939" s="74"/>
      <c r="H4939" s="74"/>
    </row>
    <row r="4940" ht="12.75" customHeight="1">
      <c r="F4940" s="74"/>
      <c r="H4940" s="74"/>
    </row>
    <row r="4941" ht="12.75" customHeight="1"/>
    <row r="4942" ht="12.75" customHeight="1">
      <c r="F4942" s="74"/>
      <c r="H4942" s="74"/>
    </row>
    <row r="4943" ht="12.75" customHeight="1"/>
    <row r="4944" ht="12.75" customHeight="1"/>
    <row r="4945" ht="12.75" customHeight="1"/>
    <row r="4946" ht="12.75" customHeight="1"/>
    <row r="4947" ht="12.75" customHeight="1"/>
    <row r="4948" ht="12.75" customHeight="1"/>
    <row r="4949" ht="12.75" customHeight="1"/>
    <row r="4950" ht="12.75" customHeight="1"/>
    <row r="4951" ht="12.75" customHeight="1"/>
    <row r="4952" ht="12.75" customHeight="1"/>
    <row r="4953" ht="12.75" customHeight="1"/>
    <row r="4954" ht="12.75" customHeight="1"/>
    <row r="4955" ht="12.75" customHeight="1"/>
    <row r="4956" ht="12.75" customHeight="1"/>
    <row r="4957" ht="12.75" customHeight="1"/>
    <row r="4958" ht="12.75" customHeight="1"/>
    <row r="4959" ht="12.75" customHeight="1"/>
    <row r="4960" ht="12.75" customHeight="1">
      <c r="F4960" s="74"/>
      <c r="H4960" s="74"/>
    </row>
    <row r="4961" ht="12.75" customHeight="1"/>
    <row r="4962" ht="12.75" customHeight="1"/>
    <row r="4963" ht="12.75" customHeight="1"/>
    <row r="4964" ht="12.75" customHeight="1"/>
    <row r="4965" ht="12.75" customHeight="1"/>
    <row r="4966" ht="12.75" customHeight="1"/>
    <row r="4967" ht="12.75" customHeight="1"/>
    <row r="4968" ht="12.75" customHeight="1"/>
    <row r="4969" ht="12.75" customHeight="1"/>
    <row r="4970" ht="12.75" customHeight="1"/>
    <row r="4971" ht="12.75" customHeight="1"/>
    <row r="4972" ht="12.75" customHeight="1"/>
    <row r="4973" ht="12.75" customHeight="1"/>
    <row r="4974" ht="12.75" customHeight="1"/>
    <row r="4975" ht="12.75" customHeight="1"/>
    <row r="4976" ht="12.75" customHeight="1"/>
    <row r="4977" ht="12.75" customHeight="1"/>
    <row r="4978" ht="12.75" customHeight="1"/>
    <row r="4979" ht="12.75" customHeight="1"/>
    <row r="4980" ht="12.75" customHeight="1">
      <c r="F4980" s="74"/>
      <c r="H4980" s="74"/>
    </row>
    <row r="4981" ht="12.75" customHeight="1">
      <c r="F4981" s="74"/>
      <c r="H4981" s="74"/>
    </row>
    <row r="4982" ht="12.75" customHeight="1"/>
    <row r="4983" ht="12.75" customHeight="1">
      <c r="F4983" s="74"/>
      <c r="H4983" s="74"/>
    </row>
    <row r="4984" ht="12.75" customHeight="1"/>
    <row r="4985" ht="12.75" customHeight="1"/>
    <row r="4986" ht="12.75" customHeight="1"/>
    <row r="4987" ht="12.75" customHeight="1"/>
    <row r="4988" ht="12.75" customHeight="1"/>
    <row r="4989" ht="12.75" customHeight="1"/>
    <row r="4990" ht="12.75" customHeight="1"/>
    <row r="4991" ht="12.75" customHeight="1"/>
    <row r="4992" ht="12.75" customHeight="1"/>
    <row r="4993" ht="12.75" customHeight="1"/>
    <row r="4994" ht="12.75" customHeight="1"/>
    <row r="4995" ht="12.75" customHeight="1"/>
    <row r="4996" ht="12.75" customHeight="1"/>
    <row r="4997" ht="12.75" customHeight="1"/>
    <row r="4998" ht="12.75" customHeight="1">
      <c r="F4998" s="74"/>
      <c r="H4998" s="74"/>
    </row>
    <row r="4999" ht="12.75" customHeight="1"/>
    <row r="5000" ht="12.75" customHeight="1">
      <c r="AG5000" s="74"/>
    </row>
    <row r="5001" ht="12.75" customHeight="1"/>
    <row r="5002" ht="12.75" customHeight="1"/>
    <row r="5003" ht="12.75" customHeight="1">
      <c r="F5003" s="74"/>
      <c r="H5003" s="74"/>
    </row>
    <row r="5004" ht="12.75" customHeight="1">
      <c r="F5004" s="74"/>
      <c r="H5004" s="74"/>
    </row>
    <row r="5005" ht="12.75" customHeight="1">
      <c r="F5005" s="74"/>
      <c r="H5005" s="74"/>
    </row>
    <row r="5006" ht="12.75" customHeight="1"/>
    <row r="5007" ht="12.75" customHeight="1">
      <c r="AG5007" s="74"/>
    </row>
    <row r="5008" ht="12.75" customHeight="1"/>
    <row r="5009" ht="12.75" customHeight="1"/>
    <row r="5010" ht="12.75" customHeight="1"/>
    <row r="5011" ht="12.75" customHeight="1"/>
    <row r="5012" ht="12.75" customHeight="1"/>
    <row r="5013" ht="12.75" customHeight="1"/>
    <row r="5014" ht="12.75" customHeight="1">
      <c r="F5014" s="74"/>
      <c r="H5014" s="74"/>
    </row>
    <row r="5015" ht="12.75" customHeight="1"/>
    <row r="5016" ht="12.75" customHeight="1">
      <c r="F5016" s="74"/>
      <c r="H5016" s="74"/>
    </row>
    <row r="5017" ht="12.75" customHeight="1"/>
    <row r="5018" ht="12.75" customHeight="1">
      <c r="F5018" s="74"/>
      <c r="H5018" s="74"/>
    </row>
    <row r="5019" ht="12.75" customHeight="1"/>
    <row r="5020" ht="12.75" customHeight="1"/>
    <row r="5021" ht="12.75" customHeight="1"/>
    <row r="5022" ht="12.75" customHeight="1"/>
    <row r="5023" ht="12.75" customHeight="1">
      <c r="AG5023" s="74"/>
    </row>
    <row r="5024" ht="12.75" customHeight="1"/>
    <row r="5025" ht="12.75" customHeight="1">
      <c r="F5025" s="74"/>
      <c r="H5025" s="74"/>
    </row>
    <row r="5026" ht="12.75" customHeight="1">
      <c r="F5026" s="74"/>
      <c r="H5026" s="74"/>
    </row>
    <row r="5027" ht="12.75" customHeight="1">
      <c r="F5027" s="74"/>
      <c r="H5027" s="74"/>
    </row>
    <row r="5028" ht="12.75" customHeight="1"/>
    <row r="5029" ht="12.75" customHeight="1"/>
    <row r="5030" ht="12.75" customHeight="1"/>
    <row r="5031" ht="12.75" customHeight="1"/>
    <row r="5032" ht="12.75" customHeight="1"/>
    <row r="5033" ht="12.75" customHeight="1">
      <c r="F5033" s="74"/>
      <c r="H5033" s="74"/>
    </row>
    <row r="5034" ht="12.75" customHeight="1">
      <c r="F5034" s="74"/>
      <c r="H5034" s="74"/>
    </row>
    <row r="5035" ht="12.75" customHeight="1"/>
    <row r="5036" ht="12.75" customHeight="1">
      <c r="F5036" s="74"/>
      <c r="H5036" s="74"/>
    </row>
    <row r="5037" ht="12.75" customHeight="1"/>
    <row r="5038" ht="12.75" customHeight="1"/>
    <row r="5039" ht="12.75" customHeight="1"/>
    <row r="5040" ht="12.75" customHeight="1"/>
    <row r="5041" ht="12.75" customHeight="1"/>
    <row r="5042" ht="12.75" customHeight="1"/>
    <row r="5043" ht="12.75" customHeight="1"/>
    <row r="5044" ht="12.75" customHeight="1"/>
    <row r="5045" ht="12.75" customHeight="1"/>
    <row r="5046" ht="12.75" customHeight="1"/>
    <row r="5047" ht="12.75" customHeight="1"/>
    <row r="5048" ht="12.75" customHeight="1"/>
    <row r="5049" ht="12.75" customHeight="1"/>
    <row r="5050" ht="12.75" customHeight="1"/>
    <row r="5051" ht="12.75" customHeight="1"/>
    <row r="5052" ht="12.75" customHeight="1"/>
    <row r="5053" ht="12.75" customHeight="1"/>
    <row r="5054" ht="12.75" customHeight="1"/>
    <row r="5055" ht="12.75" customHeight="1"/>
    <row r="5056" ht="12.75" customHeight="1"/>
    <row r="5057" ht="12.75" customHeight="1"/>
    <row r="5058" ht="12.75" customHeight="1">
      <c r="F5058" s="74"/>
      <c r="H5058" s="74"/>
    </row>
    <row r="5059" ht="12.75" customHeight="1"/>
    <row r="5060" ht="12.75" customHeight="1"/>
    <row r="5061" ht="12.75" customHeight="1">
      <c r="F5061" s="74"/>
      <c r="H5061" s="74"/>
    </row>
    <row r="5062" ht="12.75" customHeight="1">
      <c r="F5062" s="74"/>
      <c r="H5062" s="74"/>
    </row>
    <row r="5063" ht="12.75" customHeight="1"/>
    <row r="5064" ht="12.75" customHeight="1"/>
    <row r="5065" ht="12.75" customHeight="1">
      <c r="F5065" s="74"/>
      <c r="H5065" s="74"/>
    </row>
    <row r="5066" ht="12.75" customHeight="1">
      <c r="F5066" s="74"/>
      <c r="H5066" s="74"/>
    </row>
    <row r="5067" ht="12.75" customHeight="1"/>
    <row r="5068" ht="12.75" customHeight="1"/>
    <row r="5069" ht="12.75" customHeight="1"/>
    <row r="5070" ht="12.75" customHeight="1">
      <c r="AG5070" s="74"/>
    </row>
    <row r="5071" ht="12.75" customHeight="1"/>
    <row r="5072" ht="12.75" customHeight="1"/>
    <row r="5073" ht="12.75" customHeight="1"/>
    <row r="5074" ht="12.75" customHeight="1">
      <c r="F5074" s="74"/>
      <c r="H5074" s="74"/>
    </row>
    <row r="5075" ht="12.75" customHeight="1"/>
    <row r="5076" ht="12.75" customHeight="1"/>
    <row r="5077" ht="12.75" customHeight="1"/>
    <row r="5078" ht="12.75" customHeight="1"/>
    <row r="5079" ht="12.75" customHeight="1"/>
    <row r="5080" ht="12.75" customHeight="1"/>
    <row r="5081" ht="12.75" customHeight="1"/>
    <row r="5082" ht="12.75" customHeight="1"/>
    <row r="5083" ht="12.75" customHeight="1">
      <c r="F5083" s="74"/>
      <c r="H5083" s="74"/>
    </row>
    <row r="5084" ht="12.75" customHeight="1">
      <c r="F5084" s="74"/>
      <c r="H5084" s="74"/>
    </row>
    <row r="5085" ht="12.75" customHeight="1">
      <c r="AG5085" s="74"/>
    </row>
    <row r="5086" ht="12.75" customHeight="1">
      <c r="F5086" s="74"/>
      <c r="H5086" s="74"/>
    </row>
    <row r="5087" ht="12.75" customHeight="1">
      <c r="F5087" s="74"/>
      <c r="H5087" s="74"/>
    </row>
    <row r="5088" ht="12.75" customHeight="1">
      <c r="F5088" s="74"/>
      <c r="H5088" s="74"/>
    </row>
    <row r="5089" ht="12.75" customHeight="1"/>
    <row r="5090" ht="12.75" customHeight="1">
      <c r="F5090" s="74"/>
      <c r="H5090" s="74"/>
    </row>
    <row r="5091" ht="12.75" customHeight="1"/>
    <row r="5092" ht="12.75" customHeight="1">
      <c r="F5092" s="74"/>
      <c r="H5092" s="74"/>
    </row>
    <row r="5093" ht="12.75" customHeight="1">
      <c r="F5093" s="74"/>
      <c r="H5093" s="74"/>
    </row>
    <row r="5094" ht="12.75" customHeight="1"/>
    <row r="5095" ht="12.75" customHeight="1">
      <c r="F5095" s="74"/>
      <c r="H5095" s="74"/>
    </row>
    <row r="5096" ht="12.75" customHeight="1"/>
    <row r="5097" ht="12.75" customHeight="1">
      <c r="F5097" s="74"/>
      <c r="H5097" s="74"/>
    </row>
    <row r="5098" ht="12.75" customHeight="1"/>
    <row r="5099" ht="12.75" customHeight="1"/>
    <row r="5100" ht="12.75" customHeight="1"/>
    <row r="5101" ht="12.75" customHeight="1"/>
    <row r="5102" ht="12.75" customHeight="1">
      <c r="F5102" s="74"/>
      <c r="H5102" s="74"/>
    </row>
    <row r="5103" ht="12.75" customHeight="1"/>
    <row r="5104" ht="12.75" customHeight="1"/>
    <row r="5105" ht="12.75" customHeight="1">
      <c r="F5105" s="74"/>
      <c r="H5105" s="74"/>
    </row>
    <row r="5106" ht="12.75" customHeight="1"/>
    <row r="5107" ht="12.75" customHeight="1"/>
    <row r="5108" ht="12.75" customHeight="1"/>
    <row r="5109" ht="12.75" customHeight="1"/>
    <row r="5110" ht="12.75" customHeight="1"/>
    <row r="5111" ht="12.75" customHeight="1"/>
    <row r="5112" ht="12.75" customHeight="1"/>
    <row r="5113" ht="12.75" customHeight="1"/>
    <row r="5114" ht="12.75" customHeight="1">
      <c r="F5114" s="74"/>
      <c r="H5114" s="74"/>
    </row>
    <row r="5115" ht="12.75" customHeight="1">
      <c r="F5115" s="74"/>
      <c r="H5115" s="74"/>
    </row>
    <row r="5116" ht="12.75" customHeight="1"/>
    <row r="5117" ht="12.75" customHeight="1">
      <c r="F5117" s="74"/>
      <c r="H5117" s="74"/>
    </row>
    <row r="5118" ht="12.75" customHeight="1"/>
    <row r="5119" ht="12.75" customHeight="1"/>
    <row r="5120" ht="12.75" customHeight="1">
      <c r="F5120" s="74"/>
      <c r="H5120" s="74"/>
    </row>
    <row r="5121" ht="12.75" customHeight="1">
      <c r="F5121" s="74"/>
      <c r="H5121" s="74"/>
    </row>
    <row r="5122" ht="12.75" customHeight="1">
      <c r="F5122" s="74"/>
      <c r="H5122" s="74"/>
    </row>
    <row r="5123" ht="12.75" customHeight="1"/>
    <row r="5124" ht="12.75" customHeight="1"/>
    <row r="5125" ht="12.75" customHeight="1"/>
    <row r="5126" ht="12.75" customHeight="1">
      <c r="AG5126" s="74"/>
    </row>
    <row r="5127" ht="12.75" customHeight="1"/>
    <row r="5128" ht="12.75" customHeight="1"/>
    <row r="5129" ht="12.75" customHeight="1">
      <c r="F5129" s="74"/>
      <c r="H5129" s="74"/>
    </row>
    <row r="5130" ht="12.75" customHeight="1">
      <c r="F5130" s="74"/>
      <c r="H5130" s="74"/>
    </row>
    <row r="5131" ht="12.75" customHeight="1"/>
    <row r="5132" ht="12.75" customHeight="1"/>
    <row r="5133" ht="12.75" customHeight="1"/>
    <row r="5134" ht="12.75" customHeight="1"/>
    <row r="5135" ht="12.75" customHeight="1"/>
    <row r="5136" ht="12.75" customHeight="1"/>
    <row r="5137" ht="12.75" customHeight="1"/>
    <row r="5138" ht="12.75" customHeight="1"/>
    <row r="5139" ht="12.75" customHeight="1"/>
    <row r="5140" ht="12.75" customHeight="1"/>
    <row r="5141" ht="12.75" customHeight="1"/>
    <row r="5142" ht="12.75" customHeight="1"/>
    <row r="5143" ht="12.75" customHeight="1"/>
    <row r="5144" ht="12.75" customHeight="1"/>
    <row r="5145" ht="12.75" customHeight="1"/>
    <row r="5146" ht="12.75" customHeight="1"/>
    <row r="5147" ht="12.75" customHeight="1"/>
    <row r="5148" ht="12.75" customHeight="1"/>
    <row r="5149" ht="12.75" customHeight="1"/>
    <row r="5150" ht="12.75" customHeight="1"/>
    <row r="5151" ht="12.75" customHeight="1"/>
    <row r="5152" ht="12.75" customHeight="1"/>
    <row r="5153" ht="12.75" customHeight="1"/>
    <row r="5154" ht="12.75" customHeight="1"/>
    <row r="5155" ht="12.75" customHeight="1"/>
    <row r="5156" ht="12.75" customHeight="1"/>
    <row r="5157" ht="12.75" customHeight="1"/>
    <row r="5158" ht="12.75" customHeight="1"/>
    <row r="5159" ht="12.75" customHeight="1"/>
    <row r="5160" ht="12.75" customHeight="1"/>
    <row r="5161" ht="12.75" customHeight="1"/>
    <row r="5162" ht="12.75" customHeight="1"/>
    <row r="5163" ht="12.75" customHeight="1"/>
    <row r="5164" ht="12.75" customHeight="1"/>
    <row r="5165" ht="12.75" customHeight="1"/>
    <row r="5166" ht="12.75" customHeight="1"/>
    <row r="5167" ht="12.75" customHeight="1"/>
    <row r="5168" ht="12.75" customHeight="1"/>
    <row r="5169" ht="12.75" customHeight="1"/>
    <row r="5170" ht="12.75" customHeight="1"/>
    <row r="5171" ht="12.75" customHeight="1"/>
    <row r="5172" ht="12.75" customHeight="1"/>
    <row r="5173" ht="12.75" customHeight="1"/>
    <row r="5174" ht="12.75" customHeight="1"/>
    <row r="5175" ht="12.75" customHeight="1"/>
    <row r="5176" ht="12.75" customHeight="1"/>
    <row r="5177" ht="12.75" customHeight="1"/>
    <row r="5178" ht="12.75" customHeight="1"/>
    <row r="5179" ht="12.75" customHeight="1"/>
    <row r="5180" ht="12.75" customHeight="1"/>
    <row r="5181" ht="12.75" customHeight="1"/>
    <row r="5182" ht="12.75" customHeight="1"/>
    <row r="5183" ht="12.75" customHeight="1"/>
    <row r="5184" ht="12.75" customHeight="1"/>
    <row r="5185" ht="12.75" customHeight="1"/>
    <row r="5186" ht="12.75" customHeight="1"/>
    <row r="5187" ht="12.75" customHeight="1"/>
    <row r="5188" ht="12.75" customHeight="1"/>
    <row r="5189" ht="12.75" customHeight="1"/>
    <row r="5190" ht="12.75" customHeight="1"/>
    <row r="5191" ht="12.75" customHeight="1"/>
    <row r="5192" ht="12.75" customHeight="1"/>
    <row r="5193" ht="12.75" customHeight="1"/>
    <row r="5194" ht="12.75" customHeight="1"/>
    <row r="5195" ht="12.75" customHeight="1"/>
    <row r="5196" ht="12.75" customHeight="1"/>
    <row r="5197" ht="12.75" customHeight="1"/>
    <row r="5198" ht="12.75" customHeight="1"/>
    <row r="5199" ht="12.75" customHeight="1"/>
    <row r="5200" ht="12.75" customHeight="1"/>
    <row r="5201" ht="12.75" customHeight="1"/>
    <row r="5202" ht="12.75" customHeight="1"/>
    <row r="5203" ht="12.75" customHeight="1"/>
    <row r="5204" ht="12.75" customHeight="1"/>
    <row r="5205" ht="12.75" customHeight="1"/>
    <row r="5206" ht="12.75" customHeight="1"/>
    <row r="5207" ht="12.75" customHeight="1"/>
    <row r="5208" ht="12.75" customHeight="1"/>
    <row r="5209" ht="12.75" customHeight="1"/>
    <row r="5210" ht="12.75" customHeight="1"/>
    <row r="5211" ht="12.75" customHeight="1"/>
    <row r="5212" ht="12.75" customHeight="1"/>
    <row r="5213" ht="12.75" customHeight="1"/>
    <row r="5214" ht="12.75" customHeight="1"/>
    <row r="5215" ht="12.75" customHeight="1"/>
    <row r="5216" ht="12.75" customHeight="1"/>
    <row r="5217" ht="12.75" customHeight="1"/>
    <row r="5218" ht="12.75" customHeight="1"/>
    <row r="5219" ht="12.75" customHeight="1"/>
    <row r="5220" ht="12.75" customHeight="1"/>
    <row r="5221" ht="12.75" customHeight="1"/>
    <row r="5222" ht="12.75" customHeight="1"/>
    <row r="5223" ht="12.75" customHeight="1"/>
    <row r="5224" ht="12.75" customHeight="1"/>
    <row r="5225" ht="12.75" customHeight="1"/>
    <row r="5226" ht="12.75" customHeight="1"/>
    <row r="5227" ht="12.75" customHeight="1"/>
    <row r="5228" ht="12.75" customHeight="1"/>
    <row r="5229" ht="12.75" customHeight="1"/>
    <row r="5230" ht="12.75" customHeight="1"/>
    <row r="5231" ht="12.75" customHeight="1"/>
    <row r="5232" ht="12.75" customHeight="1"/>
    <row r="5233" ht="12.75" customHeight="1"/>
    <row r="5234" ht="12.75" customHeight="1"/>
    <row r="5235" ht="12.75" customHeight="1"/>
    <row r="5236" ht="12.75" customHeight="1"/>
    <row r="5237" ht="12.75" customHeight="1"/>
    <row r="5238" ht="12.75" customHeight="1"/>
    <row r="5239" ht="12.75" customHeight="1"/>
    <row r="5240" ht="12.75" customHeight="1"/>
    <row r="5241" ht="12.75" customHeight="1"/>
    <row r="5242" ht="12.75" customHeight="1"/>
    <row r="5243" ht="12.75" customHeight="1"/>
    <row r="5244" ht="12.75" customHeight="1"/>
    <row r="5245" ht="12.75" customHeight="1"/>
    <row r="5246" ht="12.75" customHeight="1"/>
    <row r="5247" ht="12.75" customHeight="1"/>
    <row r="5248" ht="12.75" customHeight="1"/>
    <row r="5249" ht="12.75" customHeight="1"/>
    <row r="5250" ht="12.75" customHeight="1"/>
    <row r="5251" ht="12.75" customHeight="1"/>
    <row r="5252" ht="12.75" customHeight="1"/>
    <row r="5253" ht="12.75" customHeight="1"/>
    <row r="5254" ht="12.75" customHeight="1"/>
    <row r="5255" ht="12.75" customHeight="1"/>
    <row r="5256" ht="12.75" customHeight="1"/>
    <row r="5257" ht="12.75" customHeight="1"/>
    <row r="5258" ht="12.75" customHeight="1"/>
    <row r="5259" ht="12.75" customHeight="1"/>
    <row r="5260" ht="12.75" customHeight="1"/>
    <row r="5261" ht="12.75" customHeight="1"/>
    <row r="5262" ht="12.75" customHeight="1"/>
    <row r="5263" ht="12.75" customHeight="1"/>
    <row r="5264" ht="12.75" customHeight="1"/>
    <row r="5265" ht="12.75" customHeight="1"/>
    <row r="5266" ht="12.75" customHeight="1"/>
    <row r="5267" ht="12.75" customHeight="1"/>
    <row r="5268" ht="12.75" customHeight="1"/>
    <row r="5269" ht="12.75" customHeight="1"/>
    <row r="5270" ht="12.75" customHeight="1"/>
    <row r="5271" ht="12.75" customHeight="1"/>
    <row r="5272" ht="12.75" customHeight="1"/>
    <row r="5273" ht="12.75" customHeight="1"/>
    <row r="5274" ht="12.75" customHeight="1"/>
    <row r="5275" ht="12.75" customHeight="1"/>
    <row r="5276" ht="12.75" customHeight="1">
      <c r="F5276" s="74"/>
      <c r="H5276" s="74"/>
    </row>
    <row r="5277" ht="12.75" customHeight="1"/>
    <row r="5278" ht="12.75" customHeight="1"/>
    <row r="5279" ht="12.75" customHeight="1"/>
    <row r="5280" ht="12.75" customHeight="1"/>
    <row r="5281" ht="12.75" customHeight="1"/>
    <row r="5282" ht="12.75" customHeight="1"/>
    <row r="5283" ht="12.75" customHeight="1"/>
    <row r="5284" ht="12.75" customHeight="1"/>
    <row r="5285" ht="12.75" customHeight="1"/>
    <row r="5286" ht="12.75" customHeight="1"/>
    <row r="5287" ht="12.75" customHeight="1"/>
    <row r="5288" ht="12.75" customHeight="1"/>
    <row r="5289" ht="12.75" customHeight="1"/>
    <row r="5290" ht="12.75" customHeight="1"/>
    <row r="5291" ht="12.75" customHeight="1">
      <c r="F5291" s="74"/>
      <c r="H5291" s="74"/>
    </row>
    <row r="5292" ht="12.75" customHeight="1"/>
    <row r="5293" ht="12.75" customHeight="1"/>
    <row r="5294" ht="12.75" customHeight="1"/>
    <row r="5295" ht="12.75" customHeight="1"/>
    <row r="5296" ht="12.75" customHeight="1"/>
    <row r="5297" ht="12.75" customHeight="1"/>
    <row r="5298" ht="12.75" customHeight="1"/>
    <row r="5299" ht="12.75" customHeight="1"/>
    <row r="5300" ht="12.75" customHeight="1"/>
    <row r="5301" ht="12.75" customHeight="1"/>
    <row r="5302" ht="12.75" customHeight="1"/>
    <row r="5303" ht="12.75" customHeight="1"/>
    <row r="5304" ht="12.75" customHeight="1"/>
    <row r="5305" ht="12.75" customHeight="1"/>
    <row r="5306" ht="12.75" customHeight="1"/>
    <row r="5307" ht="12.75" customHeight="1"/>
    <row r="5308" ht="12.75" customHeight="1"/>
    <row r="5309" ht="12.75" customHeight="1"/>
    <row r="5310" ht="12.75" customHeight="1"/>
    <row r="5311" ht="12.75" customHeight="1"/>
    <row r="5312" ht="12.75" customHeight="1"/>
    <row r="5313" ht="12.75" customHeight="1"/>
    <row r="5314" ht="12.75" customHeight="1"/>
    <row r="5315" ht="12.75" customHeight="1"/>
    <row r="5316" ht="12.75" customHeight="1"/>
    <row r="5317" ht="12.75" customHeight="1"/>
    <row r="5318" ht="12.75" customHeight="1"/>
    <row r="5319" ht="12.75" customHeight="1"/>
    <row r="5320" ht="12.75" customHeight="1"/>
    <row r="5321" ht="12.75" customHeight="1"/>
    <row r="5322" ht="12.75" customHeight="1"/>
    <row r="5323" ht="12.75" customHeight="1"/>
    <row r="5324" ht="12.75" customHeight="1"/>
    <row r="5325" ht="12.75" customHeight="1"/>
    <row r="5326" ht="12.75" customHeight="1"/>
    <row r="5327" ht="12.75" customHeight="1"/>
    <row r="5328" ht="12.75" customHeight="1"/>
    <row r="5329" ht="12.75" customHeight="1"/>
    <row r="5330" ht="12.75" customHeight="1"/>
    <row r="5331" ht="12.75" customHeight="1"/>
    <row r="5332" ht="12.75" customHeight="1"/>
    <row r="5333" ht="12.75" customHeight="1"/>
    <row r="5334" ht="12.75" customHeight="1"/>
    <row r="5335" ht="12.75" customHeight="1"/>
    <row r="5336" ht="12.75" customHeight="1"/>
    <row r="5337" ht="12.75" customHeight="1"/>
    <row r="5338" ht="12.75" customHeight="1">
      <c r="AG5338" s="74"/>
    </row>
    <row r="5339" ht="12.75" customHeight="1"/>
    <row r="5340" ht="12.75" customHeight="1"/>
    <row r="5341" ht="12.75" customHeight="1"/>
    <row r="5342" ht="12.75" customHeight="1"/>
    <row r="5343" ht="12.75" customHeight="1"/>
    <row r="5344" ht="12.75" customHeight="1"/>
    <row r="5345" ht="12.75" customHeight="1"/>
    <row r="5346" ht="12.75" customHeight="1"/>
    <row r="5347" ht="12.75" customHeight="1"/>
    <row r="5348" ht="12.75" customHeight="1"/>
    <row r="5349" ht="12.75" customHeight="1"/>
    <row r="5350" ht="12.75" customHeight="1"/>
    <row r="5351" ht="12.75" customHeight="1"/>
    <row r="5352" ht="12.75" customHeight="1"/>
    <row r="5353" ht="12.75" customHeight="1"/>
    <row r="5354" ht="12.75" customHeight="1"/>
    <row r="5355" ht="12.75" customHeight="1"/>
    <row r="5356" ht="12.75" customHeight="1"/>
    <row r="5357" ht="12.75" customHeight="1"/>
    <row r="5358" ht="12.75" customHeight="1"/>
    <row r="5359" ht="12.75" customHeight="1"/>
    <row r="5360" ht="12.75" customHeight="1"/>
    <row r="5361" ht="12.75" customHeight="1"/>
    <row r="5362" ht="12.75" customHeight="1"/>
    <row r="5363" ht="12.75" customHeight="1"/>
    <row r="5364" ht="12.75" customHeight="1"/>
    <row r="5365" ht="12.75" customHeight="1"/>
    <row r="5366" ht="12.75" customHeight="1"/>
    <row r="5367" ht="12.75" customHeight="1"/>
    <row r="5368" ht="12.75" customHeight="1"/>
    <row r="5369" ht="12.75" customHeight="1"/>
    <row r="5370" ht="12.75" customHeight="1"/>
    <row r="5371" ht="12.75" customHeight="1"/>
    <row r="5372" ht="12.75" customHeight="1"/>
    <row r="5373" ht="12.75" customHeight="1"/>
    <row r="5374" ht="12.75" customHeight="1"/>
    <row r="5375" ht="12.75" customHeight="1"/>
    <row r="5376" ht="12.75" customHeight="1"/>
    <row r="5377" ht="12.75" customHeight="1"/>
    <row r="5378" ht="12.75" customHeight="1"/>
    <row r="5379" ht="12.75" customHeight="1"/>
    <row r="5380" ht="12.75" customHeight="1"/>
    <row r="5381" ht="12.75" customHeight="1"/>
    <row r="5382" ht="12.75" customHeight="1"/>
    <row r="5383" ht="12.75" customHeight="1"/>
    <row r="5384" ht="12.75" customHeight="1"/>
    <row r="5385" ht="12.75" customHeight="1"/>
    <row r="5386" ht="12.75" customHeight="1"/>
    <row r="5387" ht="12.75" customHeight="1"/>
    <row r="5388" ht="12.75" customHeight="1"/>
    <row r="5389" ht="12.75" customHeight="1"/>
    <row r="5390" ht="12.75" customHeight="1"/>
    <row r="5391" ht="12.75" customHeight="1"/>
    <row r="5392" ht="12.75" customHeight="1"/>
    <row r="5393" ht="12.75" customHeight="1"/>
    <row r="5394" ht="12.75" customHeight="1"/>
    <row r="5395" ht="12.75" customHeight="1"/>
    <row r="5396" ht="12.75" customHeight="1"/>
    <row r="5397" ht="12.75" customHeight="1"/>
    <row r="5398" ht="12.75" customHeight="1"/>
    <row r="5399" ht="12.75" customHeight="1"/>
    <row r="5400" ht="12.75" customHeight="1"/>
    <row r="5401" ht="12.75" customHeight="1"/>
    <row r="5402" ht="12.75" customHeight="1"/>
    <row r="5403" ht="12.75" customHeight="1"/>
    <row r="5404" ht="12.75" customHeight="1"/>
    <row r="5405" ht="12.75" customHeight="1"/>
    <row r="5406" ht="12.75" customHeight="1"/>
    <row r="5407" ht="12.75" customHeight="1"/>
    <row r="5408" ht="12.75" customHeight="1"/>
    <row r="5409" ht="12.75" customHeight="1"/>
    <row r="5410" ht="12.75" customHeight="1"/>
    <row r="5411" ht="12.75" customHeight="1"/>
    <row r="5412" ht="12.75" customHeight="1"/>
    <row r="5413" ht="12.75" customHeight="1"/>
    <row r="5414" ht="12.75" customHeight="1"/>
    <row r="5415" ht="12.75" customHeight="1"/>
    <row r="5416" ht="12.75" customHeight="1"/>
    <row r="5417" ht="12.75" customHeight="1"/>
    <row r="5418" ht="12.75" customHeight="1"/>
    <row r="5419" ht="12.75" customHeight="1">
      <c r="AG5419" s="74"/>
    </row>
    <row r="5420" ht="12.75" customHeight="1"/>
    <row r="5421" ht="12.75" customHeight="1"/>
    <row r="5422" ht="12.75" customHeight="1"/>
    <row r="5423" ht="12.75" customHeight="1"/>
    <row r="5424" ht="12.75" customHeight="1"/>
    <row r="5425" ht="12.75" customHeight="1"/>
    <row r="5426" ht="12.75" customHeight="1"/>
    <row r="5427" ht="12.75" customHeight="1"/>
    <row r="5428" ht="12.75" customHeight="1"/>
    <row r="5429" ht="12.75" customHeight="1"/>
    <row r="5430" ht="12.75" customHeight="1"/>
    <row r="5431" ht="12.75" customHeight="1"/>
    <row r="5432" ht="12.75" customHeight="1"/>
    <row r="5433" ht="12.75" customHeight="1"/>
    <row r="5434" ht="12.75" customHeight="1"/>
    <row r="5435" ht="12.75" customHeight="1"/>
    <row r="5436" ht="12.75" customHeight="1"/>
    <row r="5437" ht="12.75" customHeight="1"/>
    <row r="5438" ht="12.75" customHeight="1"/>
    <row r="5439" ht="12.75" customHeight="1"/>
    <row r="5440" ht="12.75" customHeight="1"/>
    <row r="5441" ht="12.75" customHeight="1"/>
    <row r="5442" ht="12.75" customHeight="1"/>
    <row r="5443" ht="12.75" customHeight="1"/>
    <row r="5444" ht="12.75" customHeight="1"/>
    <row r="5445" ht="12.75" customHeight="1"/>
    <row r="5446" ht="12.75" customHeight="1"/>
    <row r="5447" ht="12.75" customHeight="1"/>
    <row r="5448" ht="12.75" customHeight="1"/>
    <row r="5449" ht="12.75" customHeight="1"/>
    <row r="5450" ht="12.75" customHeight="1"/>
    <row r="5451" ht="12.75" customHeight="1"/>
    <row r="5452" ht="12.75" customHeight="1"/>
    <row r="5453" ht="12.75" customHeight="1"/>
    <row r="5454" ht="12.75" customHeight="1"/>
    <row r="5455" ht="12.75" customHeight="1"/>
    <row r="5456" ht="12.75" customHeight="1"/>
    <row r="5457" ht="12.75" customHeight="1"/>
    <row r="5458" ht="12.75" customHeight="1"/>
    <row r="5459" ht="12.75" customHeight="1">
      <c r="F5459" s="74"/>
      <c r="H5459" s="74"/>
    </row>
    <row r="5460" ht="12.75" customHeight="1"/>
    <row r="5461" ht="12.75" customHeight="1"/>
    <row r="5462" ht="12.75" customHeight="1">
      <c r="F5462" s="74"/>
      <c r="H5462" s="74"/>
    </row>
    <row r="5463" ht="12.75" customHeight="1"/>
    <row r="5464" ht="12.75" customHeight="1"/>
    <row r="5465" ht="12.75" customHeight="1"/>
    <row r="5466" ht="12.75" customHeight="1"/>
    <row r="5467" ht="12.75" customHeight="1"/>
    <row r="5468" ht="12.75" customHeight="1"/>
    <row r="5469" ht="12.75" customHeight="1"/>
    <row r="5470" ht="12.75" customHeight="1"/>
    <row r="5471" ht="12.75" customHeight="1"/>
    <row r="5472" ht="12.75" customHeight="1"/>
    <row r="5473" ht="12.75" customHeight="1">
      <c r="F5473" s="74"/>
      <c r="H5473" s="74"/>
    </row>
    <row r="5474" ht="12.75" customHeight="1"/>
    <row r="5475" ht="12.75" customHeight="1"/>
    <row r="5476" ht="12.75" customHeight="1"/>
    <row r="5477" ht="12.75" customHeight="1"/>
    <row r="5478" ht="12.75" customHeight="1"/>
    <row r="5479" ht="12.75" customHeight="1"/>
    <row r="5480" ht="12.75" customHeight="1"/>
    <row r="5481" ht="12.75" customHeight="1"/>
    <row r="5482" ht="12.75" customHeight="1"/>
    <row r="5483" ht="12.75" customHeight="1">
      <c r="F5483" s="74"/>
      <c r="H5483" s="74"/>
    </row>
    <row r="5484" ht="12.75" customHeight="1"/>
    <row r="5485" ht="12.75" customHeight="1"/>
    <row r="5486" ht="12.75" customHeight="1"/>
    <row r="5487" ht="12.75" customHeight="1"/>
    <row r="5488" ht="12.75" customHeight="1"/>
    <row r="5489" ht="12.75" customHeight="1"/>
    <row r="5490" ht="12.75" customHeight="1"/>
    <row r="5491" ht="12.75" customHeight="1"/>
    <row r="5492" ht="12.75" customHeight="1"/>
    <row r="5493" ht="12.75" customHeight="1"/>
    <row r="5494" ht="12.75" customHeight="1"/>
    <row r="5495" ht="12.75" customHeight="1">
      <c r="F5495" s="74"/>
      <c r="H5495" s="74"/>
    </row>
    <row r="5496" ht="12.75" customHeight="1"/>
    <row r="5497" ht="12.75" customHeight="1"/>
    <row r="5498" ht="12.75" customHeight="1"/>
    <row r="5499" ht="12.75" customHeight="1"/>
    <row r="5500" ht="12.75" customHeight="1"/>
    <row r="5501" ht="12.75" customHeight="1">
      <c r="F5501" s="74"/>
      <c r="H5501" s="74"/>
    </row>
    <row r="5502" ht="12.75" customHeight="1"/>
    <row r="5503" ht="12.75" customHeight="1"/>
    <row r="5504" ht="12.75" customHeight="1"/>
    <row r="5505" ht="12.75" customHeight="1">
      <c r="F5505" s="74"/>
      <c r="H5505" s="74"/>
    </row>
    <row r="5506" ht="12.75" customHeight="1">
      <c r="F5506" s="74"/>
      <c r="H5506" s="74"/>
    </row>
    <row r="5507" ht="12.75" customHeight="1">
      <c r="F5507" s="74"/>
      <c r="H5507" s="74"/>
    </row>
    <row r="5508" ht="12.75" customHeight="1"/>
    <row r="5509" ht="12.75" customHeight="1"/>
    <row r="5510" ht="12.75" customHeight="1"/>
    <row r="5511" ht="12.75" customHeight="1"/>
    <row r="5512" ht="12.75" customHeight="1"/>
    <row r="5513" ht="12.75" customHeight="1"/>
    <row r="5514" ht="12.75" customHeight="1"/>
    <row r="5515" ht="12.75" customHeight="1"/>
    <row r="5516" ht="12.75" customHeight="1">
      <c r="F5516" s="74"/>
      <c r="H5516" s="74"/>
    </row>
    <row r="5517" ht="12.75" customHeight="1"/>
    <row r="5518" ht="12.75" customHeight="1"/>
    <row r="5519" ht="12.75" customHeight="1"/>
    <row r="5520" ht="12.75" customHeight="1"/>
    <row r="5521" ht="12.75" customHeight="1"/>
    <row r="5522" ht="12.75" customHeight="1"/>
    <row r="5523" ht="12.75" customHeight="1"/>
    <row r="5524" ht="12.75" customHeight="1"/>
    <row r="5525" ht="12.75" customHeight="1"/>
    <row r="5526" ht="12.75" customHeight="1"/>
    <row r="5527" ht="12.75" customHeight="1"/>
    <row r="5528" ht="12.75" customHeight="1"/>
    <row r="5529" ht="12.75" customHeight="1"/>
    <row r="5530" ht="12.75" customHeight="1"/>
    <row r="5531" ht="12.75" customHeight="1"/>
    <row r="5532" ht="12.75" customHeight="1"/>
    <row r="5533" ht="12.75" customHeight="1"/>
    <row r="5534" ht="12.75" customHeight="1"/>
    <row r="5535" ht="12.75" customHeight="1"/>
    <row r="5536" ht="12.75" customHeight="1"/>
    <row r="5537" ht="12.75" customHeight="1"/>
    <row r="5538" ht="12.75" customHeight="1"/>
    <row r="5539" ht="12.75" customHeight="1"/>
    <row r="5540" ht="12.75" customHeight="1"/>
    <row r="5541" ht="12.75" customHeight="1"/>
    <row r="5542" ht="12.75" customHeight="1"/>
    <row r="5543" ht="12.75" customHeight="1"/>
    <row r="5544" ht="12.75" customHeight="1"/>
    <row r="5545" ht="12.75" customHeight="1"/>
    <row r="5546" ht="12.75" customHeight="1"/>
    <row r="5547" ht="12.75" customHeight="1"/>
    <row r="5548" ht="12.75" customHeight="1"/>
    <row r="5549" ht="12.75" customHeight="1"/>
    <row r="5550" ht="12.75" customHeight="1"/>
    <row r="5551" ht="12.75" customHeight="1"/>
    <row r="5552" ht="12.75" customHeight="1"/>
    <row r="5553" ht="12.75" customHeight="1"/>
    <row r="5554" ht="12.75" customHeight="1"/>
    <row r="5555" ht="12.75" customHeight="1"/>
    <row r="5556" ht="12.75" customHeight="1"/>
    <row r="5557" ht="12.75" customHeight="1"/>
    <row r="5558" ht="12.75" customHeight="1"/>
    <row r="5559" ht="12.75" customHeight="1"/>
    <row r="5560" ht="12.75" customHeight="1"/>
    <row r="5561" ht="12.75" customHeight="1"/>
    <row r="5562" ht="12.75" customHeight="1"/>
    <row r="5563" ht="12.75" customHeight="1"/>
    <row r="5564" ht="12.75" customHeight="1"/>
    <row r="5565" ht="12.75" customHeight="1"/>
    <row r="5566" ht="12.75" customHeight="1"/>
    <row r="5567" ht="12.75" customHeight="1"/>
    <row r="5568" ht="12.75" customHeight="1"/>
    <row r="5569" ht="12.75" customHeight="1"/>
    <row r="5570" ht="12.75" customHeight="1"/>
    <row r="5571" ht="12.75" customHeight="1"/>
    <row r="5572" ht="12.75" customHeight="1"/>
    <row r="5573" ht="12.75" customHeight="1"/>
    <row r="5574" ht="12.75" customHeight="1"/>
    <row r="5575" ht="12.75" customHeight="1"/>
    <row r="5576" ht="12.75" customHeight="1"/>
    <row r="5577" ht="12.75" customHeight="1"/>
    <row r="5578" ht="12.75" customHeight="1"/>
    <row r="5579" ht="12.75" customHeight="1"/>
    <row r="5580" ht="12.75" customHeight="1"/>
    <row r="5581" ht="12.75" customHeight="1"/>
    <row r="5582" ht="12.75" customHeight="1"/>
    <row r="5583" ht="12.75" customHeight="1"/>
    <row r="5584" ht="12.75" customHeight="1"/>
    <row r="5585" ht="12.75" customHeight="1"/>
    <row r="5586" ht="12.75" customHeight="1"/>
    <row r="5587" ht="12.75" customHeight="1"/>
    <row r="5588" ht="12.75" customHeight="1"/>
    <row r="5589" ht="12.75" customHeight="1"/>
    <row r="5590" ht="12.75" customHeight="1"/>
    <row r="5591" ht="12.75" customHeight="1"/>
    <row r="5592" ht="12.75" customHeight="1"/>
    <row r="5593" ht="12.75" customHeight="1"/>
    <row r="5594" ht="12.75" customHeight="1"/>
    <row r="5595" ht="12.75" customHeight="1"/>
    <row r="5596" ht="12.75" customHeight="1"/>
    <row r="5597" ht="12.75" customHeight="1"/>
    <row r="5598" ht="12.75" customHeight="1"/>
    <row r="5599" ht="12.75" customHeight="1"/>
    <row r="5600" ht="12.75" customHeight="1"/>
    <row r="5601" ht="12.75" customHeight="1"/>
    <row r="5602" ht="12.75" customHeight="1"/>
    <row r="5603" ht="12.75" customHeight="1"/>
    <row r="5604" ht="12.75" customHeight="1"/>
    <row r="5605" ht="12.75" customHeight="1"/>
    <row r="5606" ht="12.75" customHeight="1"/>
    <row r="5607" ht="12.75" customHeight="1"/>
    <row r="5608" ht="12.75" customHeight="1"/>
    <row r="5609" ht="12.75" customHeight="1"/>
    <row r="5610" ht="12.75" customHeight="1"/>
    <row r="5611" ht="12.75" customHeight="1"/>
    <row r="5612" ht="12.75" customHeight="1"/>
    <row r="5613" ht="12.75" customHeight="1"/>
    <row r="5614" ht="12.75" customHeight="1"/>
    <row r="5615" ht="12.75" customHeight="1"/>
    <row r="5616" ht="12.75" customHeight="1"/>
    <row r="5617" ht="12.75" customHeight="1"/>
    <row r="5618" ht="12.75" customHeight="1"/>
    <row r="5619" ht="12.75" customHeight="1"/>
    <row r="5620" ht="12.75" customHeight="1"/>
    <row r="5621" ht="12.75" customHeight="1"/>
    <row r="5622" ht="12.75" customHeight="1"/>
    <row r="5623" ht="12.75" customHeight="1"/>
    <row r="5624" ht="12.75" customHeight="1">
      <c r="F5624" s="74"/>
      <c r="H5624" s="74"/>
    </row>
    <row r="5625" ht="12.75" customHeight="1">
      <c r="F5625" s="74"/>
      <c r="H5625" s="74"/>
    </row>
    <row r="5626" ht="12.75" customHeight="1"/>
    <row r="5627" ht="12.75" customHeight="1"/>
    <row r="5628" ht="12.75" customHeight="1"/>
    <row r="5629" ht="12.75" customHeight="1"/>
    <row r="5630" ht="12.75" customHeight="1"/>
    <row r="5631" ht="12.75" customHeight="1"/>
    <row r="5632" ht="12.75" customHeight="1"/>
    <row r="5633" ht="12.75" customHeight="1"/>
    <row r="5634" ht="12.75" customHeight="1">
      <c r="R5634" s="74"/>
    </row>
    <row r="5635" ht="12.75" customHeight="1">
      <c r="R5635" s="74"/>
    </row>
    <row r="5636" ht="12.75" customHeight="1">
      <c r="R5636" s="74"/>
    </row>
    <row r="5637" ht="12.75" customHeight="1">
      <c r="R5637" s="74"/>
    </row>
    <row r="5638" ht="12.75" customHeight="1">
      <c r="R5638" s="74"/>
    </row>
    <row r="5639" ht="12.75" customHeight="1">
      <c r="R5639" s="74"/>
    </row>
    <row r="5640" ht="12.75" customHeight="1">
      <c r="R5640" s="74"/>
    </row>
    <row r="5641" ht="12.75" customHeight="1">
      <c r="R5641" s="74"/>
    </row>
    <row r="5642" ht="12.75" customHeight="1">
      <c r="R5642" s="74"/>
    </row>
    <row r="5643" ht="12.75" customHeight="1">
      <c r="R5643" s="74"/>
    </row>
    <row r="5644" ht="12.75" customHeight="1"/>
    <row r="5645" ht="12.75" customHeight="1"/>
    <row r="5646" ht="12.75" customHeight="1"/>
    <row r="5647" ht="12.75" customHeight="1"/>
    <row r="5648" ht="12.75" customHeight="1">
      <c r="R5648" s="74"/>
    </row>
    <row r="5649" ht="12.75" customHeight="1">
      <c r="R5649" s="74"/>
    </row>
    <row r="5650" ht="12.75" customHeight="1">
      <c r="R5650" s="74"/>
    </row>
    <row r="5651" ht="12.75" customHeight="1">
      <c r="R5651" s="74"/>
    </row>
    <row r="5652" ht="12.75" customHeight="1">
      <c r="F5652" s="74"/>
      <c r="H5652" s="74"/>
    </row>
    <row r="5653" ht="12.75" customHeight="1"/>
    <row r="5654" ht="12.75" customHeight="1"/>
    <row r="5655" ht="12.75" customHeight="1">
      <c r="F5655" s="74"/>
      <c r="H5655" s="74"/>
    </row>
    <row r="5656" ht="12.75" customHeight="1"/>
    <row r="5657" ht="12.75" customHeight="1"/>
    <row r="5658" ht="12.75" customHeight="1"/>
    <row r="5659" ht="12.75" customHeight="1"/>
    <row r="5660" ht="12.75" customHeight="1"/>
    <row r="5661" ht="12.75" customHeight="1"/>
    <row r="5662" ht="12.75" customHeight="1"/>
    <row r="5663" ht="12.75" customHeight="1"/>
    <row r="5664" ht="12.75" customHeight="1"/>
    <row r="5665" ht="12.75" customHeight="1"/>
    <row r="5666" ht="12.75" customHeight="1"/>
    <row r="5667" ht="12.75" customHeight="1"/>
    <row r="5668" ht="12.75" customHeight="1"/>
    <row r="5669" ht="12.75" customHeight="1"/>
    <row r="5670" ht="12.75" customHeight="1"/>
    <row r="5671" ht="12.75" customHeight="1"/>
    <row r="5672" ht="12.75" customHeight="1"/>
    <row r="5673" ht="12.75" customHeight="1"/>
    <row r="5674" ht="12.75" customHeight="1"/>
    <row r="5675" ht="12.75" customHeight="1"/>
    <row r="5676" ht="12.75" customHeight="1"/>
    <row r="5677" ht="12.75" customHeight="1"/>
    <row r="5678" ht="12.75" customHeight="1"/>
    <row r="5679" ht="12.75" customHeight="1"/>
    <row r="5680" ht="12.75" customHeight="1"/>
    <row r="5681" ht="12.75" customHeight="1"/>
    <row r="5682" ht="12.75" customHeight="1"/>
    <row r="5683" ht="12.75" customHeight="1"/>
    <row r="5684" ht="12.75" customHeight="1"/>
    <row r="5685" ht="12.75" customHeight="1"/>
    <row r="5686" ht="12.75" customHeight="1"/>
    <row r="5687" ht="12.75" customHeight="1"/>
    <row r="5688" ht="12.75" customHeight="1"/>
    <row r="5689" ht="12.75" customHeight="1"/>
    <row r="5690" ht="12.75" customHeight="1"/>
    <row r="5691" ht="12.75" customHeight="1"/>
    <row r="5692" ht="12.75" customHeight="1"/>
    <row r="5693" ht="12.75" customHeight="1"/>
    <row r="5694" ht="12.75" customHeight="1"/>
    <row r="5695" ht="12.75" customHeight="1"/>
    <row r="5696" ht="12.75" customHeight="1"/>
    <row r="5697" ht="12.75" customHeight="1"/>
    <row r="5698" ht="12.75" customHeight="1"/>
    <row r="5699" ht="12.75" customHeight="1"/>
    <row r="5700" ht="12.75" customHeight="1"/>
    <row r="5701" ht="12.75" customHeight="1"/>
    <row r="5702" ht="12.75" customHeight="1"/>
    <row r="5703" ht="12.75" customHeight="1"/>
    <row r="5704" ht="12.75" customHeight="1"/>
    <row r="5705" ht="12.75" customHeight="1"/>
    <row r="5706" ht="12.75" customHeight="1"/>
    <row r="5707" ht="12.75" customHeight="1"/>
    <row r="5708" ht="12.75" customHeight="1"/>
    <row r="5709" ht="12.75" customHeight="1"/>
    <row r="5710" ht="12.75" customHeight="1"/>
    <row r="5711" ht="12.75" customHeight="1"/>
    <row r="5712" ht="12.75" customHeight="1"/>
    <row r="5713" ht="12.75" customHeight="1"/>
    <row r="5714" ht="12.75" customHeight="1"/>
    <row r="5715" ht="12.75" customHeight="1"/>
    <row r="5716" ht="12.75" customHeight="1"/>
    <row r="5717" ht="12.75" customHeight="1"/>
    <row r="5718" ht="12.75" customHeight="1"/>
    <row r="5719" ht="12.75" customHeight="1"/>
    <row r="5720" ht="12.75" customHeight="1"/>
    <row r="5721" ht="12.75" customHeight="1"/>
    <row r="5722" ht="12.75" customHeight="1"/>
    <row r="5723" ht="12.75" customHeight="1"/>
    <row r="5724" ht="12.75" customHeight="1"/>
    <row r="5725" ht="12.75" customHeight="1"/>
    <row r="5726" ht="12.75" customHeight="1"/>
    <row r="5727" ht="12.75" customHeight="1"/>
    <row r="5728" ht="12.75" customHeight="1"/>
    <row r="5729" ht="12.75" customHeight="1"/>
    <row r="5730" ht="12.75" customHeight="1"/>
    <row r="5731" ht="12.75" customHeight="1"/>
    <row r="5732" ht="12.75" customHeight="1"/>
    <row r="5733" ht="12.75" customHeight="1"/>
    <row r="5734" ht="12.75" customHeight="1"/>
    <row r="5735" ht="12.75" customHeight="1"/>
    <row r="5736" ht="12.75" customHeight="1"/>
    <row r="5737" ht="12.75" customHeight="1"/>
    <row r="5738" ht="12.75" customHeight="1"/>
    <row r="5739" ht="12.75" customHeight="1"/>
    <row r="5740" ht="12.75" customHeight="1">
      <c r="F5740" s="74"/>
      <c r="H5740" s="74"/>
    </row>
    <row r="5741" ht="12.75" customHeight="1">
      <c r="F5741" s="74"/>
      <c r="H5741" s="74"/>
    </row>
    <row r="5742" ht="12.75" customHeight="1"/>
    <row r="5743" ht="12.75" customHeight="1">
      <c r="F5743" s="74"/>
      <c r="H5743" s="74"/>
    </row>
    <row r="5744" ht="12.75" customHeight="1"/>
    <row r="5745" ht="12.75" customHeight="1"/>
    <row r="5746" ht="12.75" customHeight="1"/>
    <row r="5747" ht="12.75" customHeight="1">
      <c r="F5747" s="74"/>
      <c r="H5747" s="74"/>
    </row>
    <row r="5748" ht="12.75" customHeight="1">
      <c r="F5748" s="74"/>
      <c r="H5748" s="74"/>
    </row>
    <row r="5749" ht="12.75" customHeight="1"/>
    <row r="5750" ht="12.75" customHeight="1"/>
    <row r="5751" ht="12.75" customHeight="1">
      <c r="AG5751" s="74"/>
    </row>
    <row r="5752" ht="12.75" customHeight="1"/>
    <row r="5753" ht="12.75" customHeight="1"/>
    <row r="5754" ht="12.75" customHeight="1"/>
    <row r="5755" ht="12.75" customHeight="1"/>
    <row r="5756" ht="12.75" customHeight="1">
      <c r="AG5756" s="74"/>
    </row>
    <row r="5757" ht="12.75" customHeight="1"/>
    <row r="5758" ht="12.75" customHeight="1"/>
    <row r="5759" ht="12.75" customHeight="1"/>
    <row r="5760" ht="12.75" customHeight="1"/>
    <row r="5761" ht="12.75" customHeight="1"/>
    <row r="5762" ht="12.75" customHeight="1"/>
    <row r="5763" ht="12.75" customHeight="1"/>
    <row r="5764" ht="12.75" customHeight="1"/>
    <row r="5765" ht="12.75" customHeight="1"/>
    <row r="5766" ht="12.75" customHeight="1"/>
    <row r="5767" ht="12.75" customHeight="1"/>
    <row r="5768" ht="12.75" customHeight="1"/>
    <row r="5769" ht="12.75" customHeight="1"/>
    <row r="5770" ht="12.75" customHeight="1"/>
    <row r="5771" ht="12.75" customHeight="1"/>
    <row r="5772" ht="12.75" customHeight="1"/>
    <row r="5773" ht="12.75" customHeight="1"/>
    <row r="5774" ht="12.75" customHeight="1"/>
    <row r="5775" ht="12.75" customHeight="1"/>
    <row r="5776" ht="12.75" customHeight="1"/>
    <row r="5777" ht="12.75" customHeight="1">
      <c r="F5777" s="74"/>
      <c r="H5777" s="74"/>
    </row>
    <row r="5778" ht="12.75" customHeight="1"/>
    <row r="5779" ht="12.75" customHeight="1"/>
    <row r="5780" ht="12.75" customHeight="1"/>
    <row r="5781" ht="12.75" customHeight="1"/>
    <row r="5782" ht="12.75" customHeight="1"/>
    <row r="5783" ht="12.75" customHeight="1"/>
    <row r="5784" ht="12.75" customHeight="1"/>
    <row r="5785" ht="12.75" customHeight="1"/>
    <row r="5786" ht="12.75" customHeight="1"/>
    <row r="5787" ht="12.75" customHeight="1"/>
    <row r="5788" ht="12.75" customHeight="1"/>
    <row r="5789" ht="12.75" customHeight="1"/>
    <row r="5790" ht="12.75" customHeight="1"/>
    <row r="5791" ht="12.75" customHeight="1"/>
    <row r="5792" ht="12.75" customHeight="1"/>
    <row r="5793" ht="12.75" customHeight="1"/>
    <row r="5794" ht="12.75" customHeight="1"/>
    <row r="5795" ht="12.75" customHeight="1"/>
    <row r="5796" ht="12.75" customHeight="1"/>
    <row r="5797" ht="12.75" customHeight="1"/>
    <row r="5798" ht="12.75" customHeight="1"/>
    <row r="5799" ht="12.75" customHeight="1"/>
    <row r="5800" ht="12.75" customHeight="1"/>
    <row r="5801" ht="12.75" customHeight="1"/>
    <row r="5802" ht="12.75" customHeight="1"/>
    <row r="5803" ht="12.75" customHeight="1"/>
    <row r="5804" ht="12.75" customHeight="1"/>
    <row r="5805" ht="12.75" customHeight="1"/>
    <row r="5806" ht="12.75" customHeight="1"/>
    <row r="5807" ht="12.75" customHeight="1"/>
    <row r="5808" ht="12.75" customHeight="1"/>
    <row r="5809" ht="12.75" customHeight="1">
      <c r="F5809" s="74"/>
      <c r="H5809" s="74"/>
    </row>
    <row r="5810" ht="12.75" customHeight="1"/>
    <row r="5811" ht="12.75" customHeight="1"/>
    <row r="5812" ht="12.75" customHeight="1"/>
    <row r="5813" ht="12.75" customHeight="1"/>
    <row r="5814" ht="12.75" customHeight="1"/>
    <row r="5815" ht="12.75" customHeight="1"/>
    <row r="5816" ht="12.75" customHeight="1"/>
    <row r="5817" ht="12.75" customHeight="1"/>
    <row r="5818" ht="12.75" customHeight="1"/>
    <row r="5819" ht="12.75" customHeight="1"/>
    <row r="5820" ht="12.75" customHeight="1"/>
    <row r="5821" ht="12.75" customHeight="1"/>
    <row r="5822" ht="12.75" customHeight="1"/>
    <row r="5823" ht="12.75" customHeight="1"/>
    <row r="5824" ht="12.75" customHeight="1">
      <c r="F5824" s="74"/>
      <c r="H5824" s="74"/>
    </row>
    <row r="5825" ht="12.75" customHeight="1"/>
    <row r="5826" ht="12.75" customHeight="1"/>
    <row r="5827" ht="12.75" customHeight="1"/>
    <row r="5828" ht="12.75" customHeight="1"/>
    <row r="5829" ht="12.75" customHeight="1"/>
    <row r="5830" ht="12.75" customHeight="1"/>
    <row r="5831" ht="12.75" customHeight="1"/>
    <row r="5832" ht="12.75" customHeight="1"/>
    <row r="5833" ht="12.75" customHeight="1"/>
    <row r="5834" ht="12.75" customHeight="1"/>
    <row r="5835" ht="12.75" customHeight="1"/>
    <row r="5836" ht="12.75" customHeight="1"/>
    <row r="5837" ht="12.75" customHeight="1"/>
    <row r="5838" ht="12.75" customHeight="1"/>
    <row r="5839" ht="12.75" customHeight="1"/>
    <row r="5840" ht="12.75" customHeight="1"/>
    <row r="5841" ht="12.75" customHeight="1"/>
    <row r="5842" ht="12.75" customHeight="1"/>
    <row r="5843" ht="12.75" customHeight="1"/>
    <row r="5844" ht="12.75" customHeight="1"/>
    <row r="5845" ht="12.75" customHeight="1"/>
    <row r="5846" ht="12.75" customHeight="1"/>
    <row r="5847" ht="12.75" customHeight="1"/>
    <row r="5848" ht="12.75" customHeight="1"/>
    <row r="5849" ht="12.75" customHeight="1"/>
    <row r="5850" ht="12.75" customHeight="1"/>
    <row r="5851" ht="12.75" customHeight="1"/>
    <row r="5852" ht="12.75" customHeight="1"/>
    <row r="5853" ht="12.75" customHeight="1"/>
    <row r="5854" ht="12.75" customHeight="1"/>
    <row r="5855" ht="12.75" customHeight="1"/>
    <row r="5856" ht="12.75" customHeight="1"/>
    <row r="5857" ht="12.75" customHeight="1"/>
    <row r="5858" ht="12.75" customHeight="1"/>
    <row r="5859" ht="12.75" customHeight="1"/>
    <row r="5860" ht="12.75" customHeight="1"/>
    <row r="5861" ht="12.75" customHeight="1"/>
    <row r="5862" ht="12.75" customHeight="1"/>
    <row r="5863" ht="12.75" customHeight="1"/>
    <row r="5864" ht="12.75" customHeight="1"/>
    <row r="5865" ht="12.75" customHeight="1"/>
    <row r="5866" ht="12.75" customHeight="1"/>
    <row r="5867" ht="12.75" customHeight="1"/>
    <row r="5868" ht="12.75" customHeight="1"/>
    <row r="5869" ht="12.75" customHeight="1"/>
    <row r="5870" ht="12.75" customHeight="1"/>
    <row r="5871" ht="12.75" customHeight="1"/>
    <row r="5872" ht="12.75" customHeight="1"/>
    <row r="5873" ht="12.75" customHeight="1"/>
    <row r="5874" ht="12.75" customHeight="1"/>
    <row r="5875" ht="12.75" customHeight="1"/>
    <row r="5876" ht="12.75" customHeight="1"/>
    <row r="5877" ht="12.75" customHeight="1"/>
    <row r="5878" ht="12.75" customHeight="1">
      <c r="F5878" s="74"/>
      <c r="H5878" s="74"/>
    </row>
    <row r="5879" ht="12.75" customHeight="1"/>
    <row r="5880" ht="12.75" customHeight="1"/>
    <row r="5881" ht="12.75" customHeight="1">
      <c r="F5881" s="74"/>
      <c r="H5881" s="74"/>
    </row>
    <row r="5882" ht="12.75" customHeight="1"/>
    <row r="5883" ht="12.75" customHeight="1"/>
    <row r="5884" ht="12.75" customHeight="1"/>
    <row r="5885" ht="12.75" customHeight="1"/>
    <row r="5886" ht="12.75" customHeight="1"/>
    <row r="5887" ht="12.75" customHeight="1"/>
    <row r="5888" ht="12.75" customHeight="1">
      <c r="F5888" s="74"/>
      <c r="H5888" s="74"/>
    </row>
    <row r="5889" ht="12.75" customHeight="1"/>
    <row r="5890" ht="12.75" customHeight="1"/>
    <row r="5891" ht="12.75" customHeight="1"/>
    <row r="5892" ht="12.75" customHeight="1"/>
    <row r="5893" ht="12.75" customHeight="1"/>
    <row r="5894" ht="12.75" customHeight="1"/>
    <row r="5895" ht="12.75" customHeight="1"/>
    <row r="5896" ht="12.75" customHeight="1"/>
    <row r="5897" ht="12.75" customHeight="1"/>
    <row r="5898" ht="12.75" customHeight="1"/>
    <row r="5899" ht="12.75" customHeight="1"/>
    <row r="5900" ht="12.75" customHeight="1"/>
    <row r="5901" ht="12.75" customHeight="1"/>
    <row r="5902" ht="12.75" customHeight="1"/>
    <row r="5903" ht="12.75" customHeight="1"/>
    <row r="5904" ht="12.75" customHeight="1"/>
    <row r="5905" ht="12.75" customHeight="1"/>
    <row r="5906" ht="12.75" customHeight="1"/>
    <row r="5907" ht="12.75" customHeight="1"/>
    <row r="5908" ht="12.75" customHeight="1"/>
    <row r="5909" ht="12.75" customHeight="1"/>
    <row r="5910" ht="12.75" customHeight="1"/>
    <row r="5911" ht="12.75" customHeight="1"/>
    <row r="5912" ht="12.75" customHeight="1"/>
    <row r="5913" ht="12.75" customHeight="1"/>
    <row r="5914" ht="12.75" customHeight="1"/>
    <row r="5915" ht="12.75" customHeight="1"/>
    <row r="5916" ht="12.75" customHeight="1"/>
    <row r="5917" ht="12.75" customHeight="1"/>
    <row r="5918" ht="12.75" customHeight="1"/>
    <row r="5919" ht="12.75" customHeight="1"/>
    <row r="5920" ht="12.75" customHeight="1"/>
    <row r="5921" ht="12.75" customHeight="1"/>
    <row r="5922" ht="12.75" customHeight="1"/>
    <row r="5923" ht="12.75" customHeight="1"/>
    <row r="5924" ht="12.75" customHeight="1"/>
    <row r="5925" ht="12.75" customHeight="1"/>
    <row r="5926" ht="12.75" customHeight="1"/>
    <row r="5927" ht="12.75" customHeight="1"/>
    <row r="5928" ht="12.75" customHeight="1"/>
    <row r="5929" ht="12.75" customHeight="1"/>
    <row r="5930" ht="12.75" customHeight="1"/>
    <row r="5931" ht="12.75" customHeight="1"/>
    <row r="5932" ht="12.75" customHeight="1"/>
    <row r="5933" ht="12.75" customHeight="1"/>
    <row r="5934" ht="12.75" customHeight="1"/>
    <row r="5935" ht="12.75" customHeight="1"/>
    <row r="5936" ht="12.75" customHeight="1"/>
    <row r="5937" ht="12.75" customHeight="1"/>
    <row r="5938" ht="12.75" customHeight="1"/>
    <row r="5939" ht="12.75" customHeight="1"/>
    <row r="5940" ht="12.75" customHeight="1"/>
    <row r="5941" ht="12.75" customHeight="1"/>
    <row r="5942" ht="12.75" customHeight="1"/>
    <row r="5943" ht="12.75" customHeight="1"/>
    <row r="5944" ht="12.75" customHeight="1"/>
    <row r="5945" ht="12.75" customHeight="1"/>
    <row r="5946" ht="12.75" customHeight="1"/>
    <row r="5947" ht="12.75" customHeight="1"/>
    <row r="5948" ht="12.75" customHeight="1"/>
    <row r="5949" ht="12.75" customHeight="1"/>
    <row r="5950" ht="12.75" customHeight="1"/>
    <row r="5951" ht="12.75" customHeight="1"/>
    <row r="5952" ht="12.75" customHeight="1"/>
    <row r="5953" ht="12.75" customHeight="1"/>
    <row r="5954" ht="12.75" customHeight="1"/>
    <row r="5955" ht="12.75" customHeight="1"/>
    <row r="5956" ht="12.75" customHeight="1"/>
    <row r="5957" ht="12.75" customHeight="1">
      <c r="F5957" s="74"/>
      <c r="H5957" s="74"/>
    </row>
    <row r="5958" ht="12.75" customHeight="1"/>
    <row r="5959" ht="12.75" customHeight="1"/>
    <row r="5960" ht="12.75" customHeight="1"/>
    <row r="5961" ht="12.75" customHeight="1"/>
    <row r="5962" ht="12.75" customHeight="1"/>
    <row r="5963" ht="12.75" customHeight="1"/>
    <row r="5964" ht="12.75" customHeight="1"/>
    <row r="5965" ht="12.75" customHeight="1">
      <c r="F5965" s="74"/>
      <c r="H5965" s="74"/>
    </row>
    <row r="5966" ht="12.75" customHeight="1">
      <c r="F5966" s="74"/>
      <c r="H5966" s="74"/>
    </row>
    <row r="5967" ht="12.75" customHeight="1">
      <c r="F5967" s="74"/>
      <c r="H5967" s="74"/>
    </row>
    <row r="5968" ht="12.75" customHeight="1"/>
    <row r="5969" ht="12.75" customHeight="1"/>
    <row r="5970" ht="12.75" customHeight="1"/>
    <row r="5971" ht="12.75" customHeight="1"/>
    <row r="5972" ht="12.75" customHeight="1"/>
    <row r="5973" ht="12.75" customHeight="1">
      <c r="AG5973" s="74"/>
    </row>
    <row r="5974" ht="12.75" customHeight="1"/>
    <row r="5975" ht="12.75" customHeight="1"/>
    <row r="5976" ht="12.75" customHeight="1"/>
    <row r="5977" ht="12.75" customHeight="1"/>
    <row r="5978" ht="12.75" customHeight="1"/>
    <row r="5979" ht="12.75" customHeight="1"/>
    <row r="5980" ht="12.75" customHeight="1"/>
    <row r="5981" ht="12.75" customHeight="1"/>
    <row r="5982" ht="12.75" customHeight="1"/>
    <row r="5983" ht="12.75" customHeight="1"/>
    <row r="5984" ht="12.75" customHeight="1"/>
    <row r="5985" ht="12.75" customHeight="1"/>
    <row r="5986" ht="12.75" customHeight="1"/>
    <row r="5987" ht="12.75" customHeight="1"/>
    <row r="5988" ht="12.75" customHeight="1"/>
    <row r="5989" ht="12.75" customHeight="1"/>
    <row r="5990" ht="12.75" customHeight="1"/>
    <row r="5991" ht="12.75" customHeight="1"/>
    <row r="5992" ht="12.75" customHeight="1"/>
    <row r="5993" ht="12.75" customHeight="1">
      <c r="F5993" s="74"/>
      <c r="H5993" s="74"/>
    </row>
    <row r="5994" ht="12.75" customHeight="1">
      <c r="F5994" s="74"/>
      <c r="H5994" s="74"/>
    </row>
    <row r="5995" ht="12.75" customHeight="1"/>
    <row r="5996" ht="12.75" customHeight="1"/>
    <row r="5997" ht="12.75" customHeight="1"/>
    <row r="5998" ht="12.75" customHeight="1"/>
    <row r="5999" ht="12.75" customHeight="1"/>
    <row r="6000" ht="12.75" customHeight="1"/>
    <row r="6001" ht="12.75" customHeight="1"/>
    <row r="6002" ht="12.75" customHeight="1"/>
    <row r="6003" ht="12.75" customHeight="1"/>
    <row r="6004" ht="12.75" customHeight="1"/>
    <row r="6005" ht="12.75" customHeight="1"/>
    <row r="6006" ht="12.75" customHeight="1"/>
    <row r="6007" ht="12.75" customHeight="1"/>
    <row r="6008" ht="12.75" customHeight="1"/>
    <row r="6009" ht="12.75" customHeight="1"/>
    <row r="6010" ht="12.75" customHeight="1">
      <c r="F6010" s="74"/>
      <c r="H6010" s="74"/>
    </row>
    <row r="6011" ht="12.75" customHeight="1"/>
    <row r="6012" ht="12.75" customHeight="1"/>
    <row r="6013" ht="12.75" customHeight="1"/>
    <row r="6014" ht="12.75" customHeight="1"/>
    <row r="6015" ht="12.75" customHeight="1"/>
    <row r="6016" ht="12.75" customHeight="1"/>
    <row r="6017" ht="12.75" customHeight="1"/>
    <row r="6018" ht="12.75" customHeight="1"/>
    <row r="6019" ht="12.75" customHeight="1"/>
    <row r="6020" ht="12.75" customHeight="1"/>
    <row r="6021" ht="12.75" customHeight="1"/>
    <row r="6022" ht="12.75" customHeight="1"/>
    <row r="6023" ht="12.75" customHeight="1"/>
    <row r="6024" ht="12.75" customHeight="1"/>
    <row r="6025" ht="12.75" customHeight="1"/>
    <row r="6026" ht="12.75" customHeight="1"/>
    <row r="6027" ht="12.75" customHeight="1"/>
    <row r="6028" ht="12.75" customHeight="1"/>
    <row r="6029" ht="12.75" customHeight="1"/>
    <row r="6030" ht="12.75" customHeight="1"/>
    <row r="6031" ht="12.75" customHeight="1"/>
    <row r="6032" ht="12.75" customHeight="1"/>
    <row r="6033" ht="12.75" customHeight="1"/>
    <row r="6034" ht="12.75" customHeight="1"/>
    <row r="6035" ht="12.75" customHeight="1"/>
    <row r="6036" ht="12.75" customHeight="1"/>
    <row r="6037" ht="12.75" customHeight="1">
      <c r="R6037" s="74"/>
    </row>
    <row r="6038" ht="12.75" customHeight="1"/>
    <row r="6039" ht="12.75" customHeight="1"/>
    <row r="6040" ht="12.75" customHeight="1"/>
    <row r="6041" ht="12.75" customHeight="1"/>
    <row r="6042" ht="12.75" customHeight="1"/>
    <row r="6043" ht="12.75" customHeight="1"/>
    <row r="6044" ht="12.75" customHeight="1"/>
    <row r="6045" ht="12.75" customHeight="1"/>
    <row r="6046" ht="12.75" customHeight="1"/>
    <row r="6047" ht="12.75" customHeight="1"/>
    <row r="6048" ht="12.75" customHeight="1"/>
    <row r="6049" ht="12.75" customHeight="1"/>
    <row r="6050" ht="12.75" customHeight="1"/>
    <row r="6051" ht="12.75" customHeight="1"/>
    <row r="6052" ht="12.75" customHeight="1"/>
    <row r="6053" ht="12.75" customHeight="1"/>
    <row r="6054" ht="12.75" customHeight="1">
      <c r="F6054" s="74"/>
      <c r="H6054" s="74"/>
    </row>
    <row r="6055" ht="12.75" customHeight="1"/>
    <row r="6056" ht="12.75" customHeight="1"/>
    <row r="6057" ht="12.75" customHeight="1"/>
    <row r="6058" ht="12.75" customHeight="1"/>
    <row r="6059" ht="12.75" customHeight="1"/>
    <row r="6060" ht="12.75" customHeight="1">
      <c r="F6060" s="74"/>
      <c r="H6060" s="74"/>
    </row>
    <row r="6061" ht="12.75" customHeight="1"/>
    <row r="6062" ht="12.75" customHeight="1"/>
    <row r="6063" ht="12.75" customHeight="1"/>
    <row r="6064" ht="12.75" customHeight="1">
      <c r="F6064" s="74"/>
      <c r="H6064" s="74"/>
    </row>
    <row r="6065" ht="12.75" customHeight="1"/>
    <row r="6066" ht="12.75" customHeight="1"/>
    <row r="6067" ht="12.75" customHeight="1"/>
    <row r="6068" ht="12.75" customHeight="1"/>
    <row r="6069" ht="12.75" customHeight="1"/>
    <row r="6070" ht="12.75" customHeight="1"/>
    <row r="6071" ht="12.75" customHeight="1"/>
    <row r="6072" ht="12.75" customHeight="1"/>
    <row r="6073" ht="12.75" customHeight="1"/>
    <row r="6074" ht="12.75" customHeight="1"/>
    <row r="6075" ht="12.75" customHeight="1"/>
    <row r="6076" ht="12.75" customHeight="1"/>
    <row r="6077" ht="12.75" customHeight="1"/>
    <row r="6078" ht="12.75" customHeight="1"/>
    <row r="6079" ht="12.75" customHeight="1">
      <c r="AG6079" s="74"/>
    </row>
    <row r="6080" ht="12.75" customHeight="1"/>
    <row r="6081" ht="12.75" customHeight="1">
      <c r="AG6081" s="74"/>
    </row>
    <row r="6082" ht="12.75" customHeight="1"/>
    <row r="6083" ht="12.75" customHeight="1"/>
    <row r="6084" ht="12.75" customHeight="1"/>
    <row r="6085" ht="12.75" customHeight="1"/>
    <row r="6086" ht="12.75" customHeight="1"/>
    <row r="6087" ht="12.75" customHeight="1"/>
    <row r="6088" ht="12.75" customHeight="1"/>
    <row r="6089" ht="12.75" customHeight="1"/>
    <row r="6090" ht="12.75" customHeight="1"/>
    <row r="6091" ht="12.75" customHeight="1"/>
    <row r="6092" ht="12.75" customHeight="1"/>
    <row r="6093" ht="12.75" customHeight="1"/>
    <row r="6094" ht="12.75" customHeight="1">
      <c r="AG6094" s="74"/>
    </row>
    <row r="6095" ht="12.75" customHeight="1"/>
    <row r="6096" ht="12.75" customHeight="1"/>
    <row r="6097" ht="12.75" customHeight="1"/>
    <row r="6098" ht="12.75" customHeight="1"/>
    <row r="6099" ht="12.75" customHeight="1"/>
    <row r="6100" ht="12.75" customHeight="1">
      <c r="F6100" s="74"/>
      <c r="H6100" s="74"/>
    </row>
    <row r="6101" ht="12.75" customHeight="1">
      <c r="F6101" s="74"/>
      <c r="H6101" s="74"/>
    </row>
    <row r="6102" ht="12.75" customHeight="1">
      <c r="F6102" s="74"/>
      <c r="H6102" s="74"/>
    </row>
    <row r="6103" ht="12.75" customHeight="1">
      <c r="F6103" s="74"/>
      <c r="H6103" s="74"/>
    </row>
    <row r="6104" ht="12.75" customHeight="1"/>
    <row r="6105" ht="12.75" customHeight="1"/>
    <row r="6106" ht="12.75" customHeight="1"/>
    <row r="6107" ht="12.75" customHeight="1">
      <c r="F6107" s="74"/>
      <c r="H6107" s="74"/>
    </row>
    <row r="6108" ht="12.75" customHeight="1"/>
    <row r="6109" ht="12.75" customHeight="1"/>
    <row r="6110" ht="12.75" customHeight="1"/>
    <row r="6111" ht="12.75" customHeight="1"/>
    <row r="6112" ht="12.75" customHeight="1"/>
    <row r="6113" ht="12.75" customHeight="1"/>
    <row r="6114" ht="12.75" customHeight="1"/>
    <row r="6115" ht="12.75" customHeight="1"/>
    <row r="6116" ht="12.75" customHeight="1"/>
    <row r="6117" ht="12.75" customHeight="1"/>
    <row r="6118" ht="12.75" customHeight="1"/>
    <row r="6119" ht="12.75" customHeight="1"/>
    <row r="6120" ht="12.75" customHeight="1"/>
    <row r="6121" ht="12.75" customHeight="1"/>
    <row r="6122" ht="12.75" customHeight="1">
      <c r="AG6122" s="74"/>
    </row>
    <row r="6123" ht="12.75" customHeight="1">
      <c r="F6123" s="74"/>
      <c r="H6123" s="74"/>
    </row>
    <row r="6124" ht="12.75" customHeight="1"/>
    <row r="6125" ht="12.75" customHeight="1"/>
    <row r="6126" ht="12.75" customHeight="1"/>
    <row r="6127" ht="12.75" customHeight="1"/>
    <row r="6128" ht="12.75" customHeight="1"/>
    <row r="6129" ht="12.75" customHeight="1"/>
    <row r="6130" ht="12.75" customHeight="1">
      <c r="F6130" s="74"/>
      <c r="H6130" s="74"/>
    </row>
    <row r="6131" ht="12.75" customHeight="1"/>
    <row r="6132" ht="12.75" customHeight="1"/>
    <row r="6133" ht="12.75" customHeight="1"/>
    <row r="6134" ht="12.75" customHeight="1"/>
    <row r="6135" ht="12.75" customHeight="1"/>
    <row r="6136" ht="12.75" customHeight="1">
      <c r="F6136" s="74"/>
      <c r="H6136" s="74"/>
    </row>
    <row r="6137" ht="12.75" customHeight="1"/>
    <row r="6138" ht="12.75" customHeight="1"/>
    <row r="6139" ht="12.75" customHeight="1"/>
    <row r="6140" ht="12.75" customHeight="1"/>
    <row r="6141" ht="12.75" customHeight="1"/>
    <row r="6142" ht="12.75" customHeight="1"/>
    <row r="6143" ht="12.75" customHeight="1"/>
    <row r="6144" ht="12.75" customHeight="1"/>
    <row r="6145" ht="12.75" customHeight="1"/>
    <row r="6146" ht="12.75" customHeight="1"/>
    <row r="6147" ht="12.75" customHeight="1"/>
    <row r="6148" ht="12.75" customHeight="1">
      <c r="F6148" s="74"/>
      <c r="H6148" s="74"/>
    </row>
    <row r="6149" ht="12.75" customHeight="1">
      <c r="F6149" s="74"/>
      <c r="H6149" s="74"/>
    </row>
    <row r="6150" ht="12.75" customHeight="1"/>
    <row r="6151" ht="12.75" customHeight="1"/>
    <row r="6152" ht="12.75" customHeight="1"/>
    <row r="6153" ht="12.75" customHeight="1">
      <c r="F6153" s="74"/>
      <c r="H6153" s="74"/>
    </row>
    <row r="6154" ht="12.75" customHeight="1"/>
    <row r="6155" ht="12.75" customHeight="1"/>
    <row r="6156" ht="12.75" customHeight="1"/>
    <row r="6157" ht="12.75" customHeight="1"/>
    <row r="6158" ht="12.75" customHeight="1">
      <c r="F6158" s="74"/>
      <c r="H6158" s="74"/>
    </row>
    <row r="6159" ht="12.75" customHeight="1"/>
    <row r="6160" ht="12.75" customHeight="1"/>
    <row r="6161" ht="12.75" customHeight="1">
      <c r="F6161" s="74"/>
      <c r="H6161" s="74"/>
      <c r="AG6161" s="74"/>
    </row>
    <row r="6162" ht="12.75" customHeight="1">
      <c r="F6162" s="74"/>
      <c r="H6162" s="74"/>
    </row>
    <row r="6163" ht="12.75" customHeight="1"/>
    <row r="6164" ht="12.75" customHeight="1">
      <c r="F6164" s="74"/>
      <c r="H6164" s="74"/>
    </row>
    <row r="6165" ht="12.75" customHeight="1"/>
    <row r="6166" ht="12.75" customHeight="1"/>
    <row r="6167" ht="12.75" customHeight="1">
      <c r="F6167" s="74"/>
      <c r="H6167" s="74"/>
    </row>
    <row r="6168" ht="12.75" customHeight="1">
      <c r="F6168" s="74"/>
      <c r="H6168" s="74"/>
    </row>
    <row r="6169" ht="12.75" customHeight="1"/>
    <row r="6170" ht="12.75" customHeight="1"/>
    <row r="6171" ht="12.75" customHeight="1">
      <c r="F6171" s="74"/>
      <c r="H6171" s="74"/>
    </row>
    <row r="6172" ht="12.75" customHeight="1"/>
    <row r="6173" ht="12.75" customHeight="1"/>
    <row r="6174" ht="12.75" customHeight="1"/>
    <row r="6175" ht="12.75" customHeight="1"/>
    <row r="6176" ht="12.75" customHeight="1">
      <c r="F6176" s="74"/>
      <c r="H6176" s="74"/>
    </row>
    <row r="6177" ht="12.75" customHeight="1">
      <c r="F6177" s="74"/>
      <c r="H6177" s="74"/>
    </row>
    <row r="6178" ht="12.75" customHeight="1"/>
    <row r="6179" ht="12.75" customHeight="1"/>
    <row r="6180" ht="12.75" customHeight="1"/>
    <row r="6181" ht="12.75" customHeight="1">
      <c r="F6181" s="74"/>
      <c r="H6181" s="74"/>
    </row>
    <row r="6182" ht="12.75" customHeight="1">
      <c r="F6182" s="74"/>
      <c r="H6182" s="74"/>
    </row>
    <row r="6183" ht="12.75" customHeight="1"/>
    <row r="6184" ht="12.75" customHeight="1"/>
    <row r="6185" ht="12.75" customHeight="1"/>
    <row r="6186" ht="12.75" customHeight="1"/>
    <row r="6187" ht="12.75" customHeight="1"/>
    <row r="6188" ht="12.75" customHeight="1"/>
    <row r="6189" ht="12.75" customHeight="1"/>
    <row r="6190" ht="12.75" customHeight="1"/>
    <row r="6191" ht="12.75" customHeight="1">
      <c r="F6191" s="74"/>
      <c r="H6191" s="74"/>
    </row>
    <row r="6192" ht="12.75" customHeight="1"/>
    <row r="6193" ht="12.75" customHeight="1"/>
    <row r="6194" ht="12.75" customHeight="1"/>
    <row r="6195" ht="12.75" customHeight="1"/>
    <row r="6196" ht="12.75" customHeight="1"/>
    <row r="6197" ht="12.75" customHeight="1"/>
    <row r="6198" ht="12.75" customHeight="1"/>
    <row r="6199" ht="12.75" customHeight="1"/>
    <row r="6200" ht="12.75" customHeight="1"/>
    <row r="6201" ht="12.75" customHeight="1"/>
    <row r="6202" ht="12.75" customHeight="1"/>
    <row r="6203" ht="12.75" customHeight="1"/>
    <row r="6204" ht="12.75" customHeight="1"/>
    <row r="6205" ht="12.75" customHeight="1"/>
    <row r="6206" ht="12.75" customHeight="1"/>
    <row r="6207" ht="12.75" customHeight="1"/>
    <row r="6208" ht="12.75" customHeight="1"/>
    <row r="6209" ht="12.75" customHeight="1"/>
    <row r="6210" ht="12.75" customHeight="1"/>
    <row r="6211" ht="12.75" customHeight="1"/>
    <row r="6212" ht="12.75" customHeight="1"/>
    <row r="6213" ht="12.75" customHeight="1"/>
    <row r="6214" ht="12.75" customHeight="1"/>
    <row r="6215" ht="12.75" customHeight="1"/>
    <row r="6216" ht="12.75" customHeight="1"/>
    <row r="6217" ht="12.75" customHeight="1"/>
    <row r="6218" ht="12.75" customHeight="1"/>
    <row r="6219" ht="12.75" customHeight="1"/>
    <row r="6220" ht="12.75" customHeight="1"/>
    <row r="6221" ht="12.75" customHeight="1"/>
    <row r="6222" ht="12.75" customHeight="1"/>
    <row r="6223" ht="12.75" customHeight="1"/>
    <row r="6224" ht="12.75" customHeight="1"/>
    <row r="6225" ht="12.75" customHeight="1"/>
    <row r="6226" ht="12.75" customHeight="1"/>
    <row r="6227" ht="12.75" customHeight="1"/>
    <row r="6228" ht="12.75" customHeight="1"/>
    <row r="6229" ht="12.75" customHeight="1"/>
    <row r="6230" ht="12.75" customHeight="1"/>
    <row r="6231" ht="12.75" customHeight="1"/>
    <row r="6232" ht="12.75" customHeight="1"/>
    <row r="6233" ht="12.75" customHeight="1"/>
    <row r="6234" ht="12.75" customHeight="1"/>
    <row r="6235" ht="12.75" customHeight="1"/>
    <row r="6236" ht="12.75" customHeight="1"/>
    <row r="6237" ht="12.75" customHeight="1"/>
    <row r="6238" ht="12.75" customHeight="1"/>
    <row r="6239" ht="12.75" customHeight="1"/>
    <row r="6240" ht="12.75" customHeight="1"/>
    <row r="6241" ht="12.75" customHeight="1"/>
    <row r="6242" ht="12.75" customHeight="1"/>
    <row r="6243" ht="12.75" customHeight="1"/>
    <row r="6244" ht="12.75" customHeight="1"/>
    <row r="6245" ht="12.75" customHeight="1">
      <c r="F6245" s="74"/>
      <c r="H6245" s="74"/>
    </row>
    <row r="6246" ht="12.75" customHeight="1"/>
    <row r="6247" ht="12.75" customHeight="1"/>
    <row r="6248" ht="12.75" customHeight="1"/>
    <row r="6249" ht="12.75" customHeight="1"/>
    <row r="6250" ht="12.75" customHeight="1"/>
    <row r="6251" ht="12.75" customHeight="1">
      <c r="F6251" s="74"/>
      <c r="H6251" s="74"/>
    </row>
    <row r="6252" ht="12.75" customHeight="1"/>
    <row r="6253" ht="12.75" customHeight="1"/>
    <row r="6254" ht="12.75" customHeight="1"/>
    <row r="6255" ht="12.75" customHeight="1"/>
    <row r="6256" ht="12.75" customHeight="1"/>
    <row r="6257" ht="12.75" customHeight="1"/>
    <row r="6258" ht="12.75" customHeight="1"/>
    <row r="6259" ht="12.75" customHeight="1"/>
    <row r="6260" ht="12.75" customHeight="1"/>
    <row r="6261" ht="12.75" customHeight="1"/>
    <row r="6262" ht="12.75" customHeight="1"/>
    <row r="6263" ht="12.75" customHeight="1"/>
    <row r="6264" ht="12.75" customHeight="1"/>
    <row r="6265" ht="12.75" customHeight="1"/>
    <row r="6266" ht="12.75" customHeight="1"/>
    <row r="6267" ht="12.75" customHeight="1"/>
    <row r="6268" ht="12.75" customHeight="1"/>
    <row r="6269" ht="12.75" customHeight="1"/>
    <row r="6270" ht="12.75" customHeight="1"/>
    <row r="6271" ht="12.75" customHeight="1"/>
    <row r="6272" ht="12.75" customHeight="1"/>
    <row r="6273" ht="12.75" customHeight="1"/>
    <row r="6274" ht="12.75" customHeight="1"/>
    <row r="6275" ht="12.75" customHeight="1"/>
    <row r="6276" ht="12.75" customHeight="1"/>
    <row r="6277" ht="12.75" customHeight="1"/>
    <row r="6278" ht="12.75" customHeight="1"/>
    <row r="6279" ht="12.75" customHeight="1"/>
    <row r="6280" ht="12.75" customHeight="1"/>
    <row r="6281" ht="12.75" customHeight="1"/>
    <row r="6282" ht="12.75" customHeight="1"/>
    <row r="6283" ht="12.75" customHeight="1"/>
    <row r="6284" ht="12.75" customHeight="1"/>
    <row r="6285" ht="12.75" customHeight="1"/>
    <row r="6286" ht="12.75" customHeight="1"/>
    <row r="6287" ht="12.75" customHeight="1"/>
    <row r="6288" ht="12.75" customHeight="1"/>
    <row r="6289" ht="12.75" customHeight="1"/>
    <row r="6290" ht="12.75" customHeight="1"/>
    <row r="6291" ht="12.75" customHeight="1"/>
    <row r="6292" ht="12.75" customHeight="1"/>
    <row r="6293" ht="12.75" customHeight="1"/>
    <row r="6294" ht="12.75" customHeight="1"/>
    <row r="6295" ht="12.75" customHeight="1"/>
    <row r="6296" ht="12.75" customHeight="1"/>
    <row r="6297" ht="12.75" customHeight="1"/>
    <row r="6298" ht="12.75" customHeight="1"/>
    <row r="6299" ht="12.75" customHeight="1"/>
    <row r="6300" ht="12.75" customHeight="1"/>
    <row r="6301" ht="12.75" customHeight="1"/>
    <row r="6302" ht="12.75" customHeight="1"/>
    <row r="6303" ht="12.75" customHeight="1"/>
    <row r="6304" ht="12.75" customHeight="1"/>
    <row r="6305" ht="12.75" customHeight="1"/>
    <row r="6306" ht="12.75" customHeight="1"/>
    <row r="6307" ht="12.75" customHeight="1"/>
    <row r="6308" ht="12.75" customHeight="1"/>
    <row r="6309" ht="12.75" customHeight="1"/>
    <row r="6310" ht="12.75" customHeight="1"/>
    <row r="6311" ht="12.75" customHeight="1"/>
    <row r="6312" ht="12.75" customHeight="1"/>
    <row r="6313" ht="12.75" customHeight="1"/>
    <row r="6314" ht="12.75" customHeight="1"/>
    <row r="6315" ht="12.75" customHeight="1"/>
    <row r="6316" ht="12.75" customHeight="1"/>
    <row r="6317" ht="12.75" customHeight="1"/>
    <row r="6318" ht="12.75" customHeight="1"/>
    <row r="6319" ht="12.75" customHeight="1"/>
    <row r="6320" ht="12.75" customHeight="1"/>
    <row r="6321" ht="12.75" customHeight="1"/>
    <row r="6322" ht="12.75" customHeight="1"/>
    <row r="6323" ht="12.75" customHeight="1"/>
    <row r="6324" ht="12.75" customHeight="1"/>
    <row r="6325" ht="12.75" customHeight="1"/>
    <row r="6326" ht="12.75" customHeight="1"/>
    <row r="6327" ht="12.75" customHeight="1"/>
    <row r="6328" ht="12.75" customHeight="1"/>
    <row r="6329" ht="12.75" customHeight="1"/>
    <row r="6330" ht="12.75" customHeight="1"/>
    <row r="6331" ht="12.75" customHeight="1"/>
    <row r="6332" ht="12.75" customHeight="1"/>
    <row r="6333" ht="12.75" customHeight="1"/>
    <row r="6334" ht="12.75" customHeight="1"/>
    <row r="6335" ht="12.75" customHeight="1"/>
    <row r="6336" ht="12.75" customHeight="1"/>
    <row r="6337" ht="12.75" customHeight="1"/>
    <row r="6338" ht="12.75" customHeight="1"/>
    <row r="6339" ht="12.75" customHeight="1"/>
    <row r="6340" ht="12.75" customHeight="1"/>
    <row r="6341" ht="12.75" customHeight="1"/>
    <row r="6342" ht="12.75" customHeight="1"/>
    <row r="6343" ht="12.75" customHeight="1"/>
    <row r="6344" ht="12.75" customHeight="1"/>
    <row r="6345" ht="12.75" customHeight="1"/>
    <row r="6346" ht="12.75" customHeight="1"/>
    <row r="6347" ht="12.75" customHeight="1"/>
    <row r="6348" ht="12.75" customHeight="1"/>
    <row r="6349" ht="12.75" customHeight="1"/>
    <row r="6350" ht="12.75" customHeight="1"/>
    <row r="6351" ht="12.75" customHeight="1"/>
    <row r="6352" ht="12.75" customHeight="1"/>
    <row r="6353" ht="12.75" customHeight="1"/>
    <row r="6354" ht="12.75" customHeight="1"/>
    <row r="6355" ht="12.75" customHeight="1"/>
    <row r="6356" ht="12.75" customHeight="1"/>
    <row r="6357" ht="12.75" customHeight="1"/>
    <row r="6358" ht="12.75" customHeight="1"/>
    <row r="6359" ht="12.75" customHeight="1"/>
    <row r="6360" ht="12.75" customHeight="1"/>
    <row r="6361" ht="12.75" customHeight="1"/>
    <row r="6362" ht="12.75" customHeight="1"/>
    <row r="6363" ht="12.75" customHeight="1"/>
    <row r="6364" ht="12.75" customHeight="1"/>
    <row r="6365" ht="12.75" customHeight="1"/>
    <row r="6366" ht="12.75" customHeight="1"/>
    <row r="6367" ht="12.75" customHeight="1"/>
    <row r="6368" ht="12.75" customHeight="1"/>
    <row r="6369" ht="12.75" customHeight="1"/>
    <row r="6370" ht="12.75" customHeight="1"/>
    <row r="6371" ht="12.75" customHeight="1"/>
    <row r="6372" ht="12.75" customHeight="1"/>
    <row r="6373" ht="12.75" customHeight="1"/>
    <row r="6374" ht="12.75" customHeight="1"/>
    <row r="6375" ht="12.75" customHeight="1"/>
    <row r="6376" ht="12.75" customHeight="1"/>
    <row r="6377" ht="12.75" customHeight="1"/>
    <row r="6378" ht="12.75" customHeight="1"/>
    <row r="6379" ht="12.75" customHeight="1"/>
    <row r="6380" ht="12.75" customHeight="1"/>
    <row r="6381" ht="12.75" customHeight="1"/>
    <row r="6382" ht="12.75" customHeight="1"/>
    <row r="6383" ht="12.75" customHeight="1"/>
    <row r="6384" ht="12.75" customHeight="1"/>
    <row r="6385" ht="12.75" customHeight="1"/>
    <row r="6386" ht="12.75" customHeight="1"/>
    <row r="6387" ht="12.75" customHeight="1"/>
    <row r="6388" ht="12.75" customHeight="1"/>
    <row r="6389" ht="12.75" customHeight="1"/>
    <row r="6390" ht="12.75" customHeight="1"/>
    <row r="6391" ht="12.75" customHeight="1"/>
    <row r="6392" ht="12.75" customHeight="1"/>
    <row r="6393" ht="12.75" customHeight="1"/>
    <row r="6394" ht="12.75" customHeight="1"/>
    <row r="6395" ht="12.75" customHeight="1"/>
    <row r="6396" ht="12.75" customHeight="1"/>
    <row r="6397" ht="12.75" customHeight="1"/>
    <row r="6398" ht="12.75" customHeight="1"/>
    <row r="6399" ht="12.75" customHeight="1"/>
    <row r="6400" ht="12.75" customHeight="1"/>
    <row r="6401" ht="12.75" customHeight="1">
      <c r="AG6401" s="74"/>
    </row>
    <row r="6402" ht="12.75" customHeight="1"/>
    <row r="6403" ht="12.75" customHeight="1"/>
    <row r="6404" ht="12.75" customHeight="1"/>
    <row r="6405" ht="12.75" customHeight="1"/>
    <row r="6406" ht="12.75" customHeight="1"/>
    <row r="6407" ht="12.75" customHeight="1"/>
    <row r="6408" ht="12.75" customHeight="1"/>
    <row r="6409" ht="12.75" customHeight="1"/>
    <row r="6410" ht="12.75" customHeight="1"/>
    <row r="6411" ht="12.75" customHeight="1"/>
    <row r="6412" ht="12.75" customHeight="1"/>
    <row r="6413" ht="12.75" customHeight="1"/>
    <row r="6414" ht="12.75" customHeight="1"/>
    <row r="6415" ht="12.75" customHeight="1"/>
    <row r="6416" ht="12.75" customHeight="1"/>
    <row r="6417" ht="12.75" customHeight="1"/>
    <row r="6418" ht="12.75" customHeight="1"/>
    <row r="6419" ht="12.75" customHeight="1"/>
    <row r="6420" ht="12.75" customHeight="1"/>
    <row r="6421" ht="12.75" customHeight="1"/>
    <row r="6422" ht="12.75" customHeight="1"/>
    <row r="6423" ht="12.75" customHeight="1"/>
    <row r="6424" ht="12.75" customHeight="1"/>
    <row r="6425" ht="12.75" customHeight="1"/>
    <row r="6426" ht="12.75" customHeight="1"/>
    <row r="6427" ht="12.75" customHeight="1"/>
    <row r="6428" ht="12.75" customHeight="1"/>
    <row r="6429" ht="12.75" customHeight="1"/>
    <row r="6430" ht="12.75" customHeight="1"/>
    <row r="6431" ht="12.75" customHeight="1"/>
    <row r="6432" ht="12.75" customHeight="1"/>
    <row r="6433" ht="12.75" customHeight="1"/>
    <row r="6434" ht="12.75" customHeight="1"/>
    <row r="6435" ht="12.75" customHeight="1"/>
    <row r="6436" ht="12.75" customHeight="1"/>
    <row r="6437" ht="12.75" customHeight="1"/>
    <row r="6438" ht="12.75" customHeight="1"/>
    <row r="6439" ht="12.75" customHeight="1"/>
    <row r="6440" ht="12.75" customHeight="1"/>
    <row r="6441" ht="12.75" customHeight="1"/>
    <row r="6442" ht="12.75" customHeight="1"/>
    <row r="6443" ht="12.75" customHeight="1"/>
    <row r="6444" ht="12.75" customHeight="1"/>
    <row r="6445" ht="12.75" customHeight="1"/>
    <row r="6446" ht="12.75" customHeight="1"/>
    <row r="6447" ht="12.75" customHeight="1"/>
    <row r="6448" ht="12.75" customHeight="1"/>
    <row r="6449" ht="12.75" customHeight="1"/>
    <row r="6450" ht="12.75" customHeight="1"/>
    <row r="6451" ht="12.75" customHeight="1"/>
    <row r="6452" ht="12.75" customHeight="1"/>
    <row r="6453" ht="12.75" customHeight="1"/>
    <row r="6454" ht="12.75" customHeight="1"/>
    <row r="6455" ht="12.75" customHeight="1"/>
    <row r="6456" ht="12.75" customHeight="1"/>
    <row r="6457" ht="12.75" customHeight="1"/>
    <row r="6458" ht="12.75" customHeight="1"/>
    <row r="6459" ht="12.75" customHeight="1"/>
    <row r="6460" ht="12.75" customHeight="1"/>
    <row r="6461" ht="12.75" customHeight="1"/>
    <row r="6462" ht="12.75" customHeight="1"/>
    <row r="6463" ht="12.75" customHeight="1"/>
    <row r="6464" ht="12.75" customHeight="1"/>
    <row r="6465" ht="12.75" customHeight="1"/>
    <row r="6466" ht="12.75" customHeight="1"/>
    <row r="6467" ht="12.75" customHeight="1"/>
    <row r="6468" ht="12.75" customHeight="1"/>
    <row r="6469" ht="12.75" customHeight="1"/>
    <row r="6470" ht="12.75" customHeight="1"/>
    <row r="6471" ht="12.75" customHeight="1"/>
    <row r="6472" ht="12.75" customHeight="1"/>
    <row r="6473" ht="12.75" customHeight="1"/>
    <row r="6474" ht="12.75" customHeight="1"/>
    <row r="6475" ht="12.75" customHeight="1"/>
    <row r="6476" ht="12.75" customHeight="1"/>
    <row r="6477" ht="12.75" customHeight="1"/>
    <row r="6478" ht="12.75" customHeight="1"/>
    <row r="6479" ht="12.75" customHeight="1"/>
    <row r="6480" ht="12.75" customHeight="1"/>
    <row r="6481" ht="12.75" customHeight="1"/>
    <row r="6482" ht="12.75" customHeight="1"/>
    <row r="6483" ht="12.75" customHeight="1"/>
    <row r="6484" ht="12.75" customHeight="1"/>
    <row r="6485" ht="12.75" customHeight="1"/>
    <row r="6486" ht="12.75" customHeight="1"/>
    <row r="6487" ht="12.75" customHeight="1"/>
    <row r="6488" ht="12.75" customHeight="1"/>
    <row r="6489" ht="12.75" customHeight="1"/>
    <row r="6490" ht="12.75" customHeight="1"/>
    <row r="6491" ht="12.75" customHeight="1"/>
    <row r="6492" ht="12.75" customHeight="1"/>
    <row r="6493" ht="12.75" customHeight="1"/>
    <row r="6494" ht="12.75" customHeight="1"/>
    <row r="6495" ht="12.75" customHeight="1"/>
    <row r="6496" ht="12.75" customHeight="1"/>
    <row r="6497" ht="12.75" customHeight="1"/>
    <row r="6498" ht="12.75" customHeight="1"/>
    <row r="6499" ht="12.75" customHeight="1"/>
    <row r="6500" ht="12.75" customHeight="1"/>
    <row r="6501" ht="12.75" customHeight="1"/>
    <row r="6502" ht="12.75" customHeight="1"/>
    <row r="6503" ht="12.75" customHeight="1"/>
    <row r="6504" ht="12.75" customHeight="1">
      <c r="F6504" s="74"/>
      <c r="H6504" s="74"/>
    </row>
    <row r="6505" ht="12.75" customHeight="1"/>
    <row r="6506" ht="12.75" customHeight="1"/>
    <row r="6507" ht="12.75" customHeight="1"/>
    <row r="6508" ht="12.75" customHeight="1"/>
    <row r="6509" ht="12.75" customHeight="1"/>
    <row r="6510" ht="12.75" customHeight="1"/>
    <row r="6511" ht="12.75" customHeight="1"/>
    <row r="6512" ht="12.75" customHeight="1"/>
    <row r="6513" ht="12.75" customHeight="1"/>
    <row r="6514" ht="12.75" customHeight="1">
      <c r="F6514" s="74"/>
      <c r="H6514" s="74"/>
    </row>
    <row r="6515" ht="12.75" customHeight="1">
      <c r="F6515" s="74"/>
      <c r="H6515" s="74"/>
    </row>
    <row r="6516" ht="12.75" customHeight="1">
      <c r="F6516" s="74"/>
      <c r="H6516" s="74"/>
    </row>
    <row r="6517" ht="12.75" customHeight="1">
      <c r="F6517" s="74"/>
      <c r="H6517" s="74"/>
    </row>
    <row r="6518" ht="12.75" customHeight="1">
      <c r="F6518" s="74"/>
      <c r="H6518" s="74"/>
    </row>
    <row r="6519" ht="12.75" customHeight="1"/>
    <row r="6520" ht="12.75" customHeight="1"/>
    <row r="6521" ht="12.75" customHeight="1"/>
    <row r="6522" ht="12.75" customHeight="1"/>
    <row r="6523" ht="12.75" customHeight="1"/>
    <row r="6524" ht="12.75" customHeight="1"/>
    <row r="6525" ht="12.75" customHeight="1"/>
    <row r="6526" ht="12.75" customHeight="1">
      <c r="F6526" s="74"/>
      <c r="H6526" s="74"/>
    </row>
    <row r="6527" ht="12.75" customHeight="1"/>
    <row r="6528" ht="12.75" customHeight="1"/>
    <row r="6529" ht="12.75" customHeight="1"/>
    <row r="6530" ht="12.75" customHeight="1"/>
    <row r="6531" ht="12.75" customHeight="1"/>
    <row r="6532" ht="12.75" customHeight="1"/>
    <row r="6533" ht="12.75" customHeight="1"/>
    <row r="6534" ht="12.75" customHeight="1"/>
    <row r="6535" ht="12.75" customHeight="1"/>
    <row r="6536" ht="12.75" customHeight="1"/>
    <row r="6537" ht="12.75" customHeight="1"/>
    <row r="6538" ht="12.75" customHeight="1"/>
    <row r="6539" ht="12.75" customHeight="1"/>
    <row r="6540" ht="12.75" customHeight="1"/>
    <row r="6541" ht="12.75" customHeight="1"/>
    <row r="6542" ht="12.75" customHeight="1"/>
    <row r="6543" ht="12.75" customHeight="1"/>
    <row r="6544" ht="12.75" customHeight="1"/>
    <row r="6545" ht="12.75" customHeight="1"/>
    <row r="6546" ht="12.75" customHeight="1"/>
    <row r="6547" ht="12.75" customHeight="1"/>
    <row r="6548" ht="12.75" customHeight="1"/>
    <row r="6549" ht="12.75" customHeight="1"/>
    <row r="6550" ht="12.75" customHeight="1"/>
    <row r="6551" ht="12.75" customHeight="1"/>
    <row r="6552" ht="12.75" customHeight="1"/>
    <row r="6553" ht="12.75" customHeight="1"/>
    <row r="6554" ht="12.75" customHeight="1"/>
    <row r="6555" ht="12.75" customHeight="1"/>
    <row r="6556" ht="12.75" customHeight="1"/>
    <row r="6557" ht="12.75" customHeight="1"/>
    <row r="6558" ht="12.75" customHeight="1"/>
    <row r="6559" ht="12.75" customHeight="1"/>
    <row r="6560" ht="12.75" customHeight="1"/>
    <row r="6561" ht="12.75" customHeight="1"/>
    <row r="6562" ht="12.75" customHeight="1"/>
    <row r="6563" ht="12.75" customHeight="1"/>
    <row r="6564" ht="12.75" customHeight="1"/>
    <row r="6565" ht="12.75" customHeight="1"/>
    <row r="6566" ht="12.75" customHeight="1"/>
    <row r="6567" ht="12.75" customHeight="1"/>
    <row r="6568" ht="12.75" customHeight="1"/>
    <row r="6569" ht="12.75" customHeight="1"/>
    <row r="6570" ht="12.75" customHeight="1"/>
    <row r="6571" ht="12.75" customHeight="1"/>
    <row r="6572" ht="12.75" customHeight="1"/>
    <row r="6573" ht="12.75" customHeight="1"/>
    <row r="6574" ht="12.75" customHeight="1"/>
    <row r="6575" ht="12.75" customHeight="1"/>
    <row r="6576" ht="12.75" customHeight="1"/>
    <row r="6577" ht="12.75" customHeight="1"/>
    <row r="6578" ht="12.75" customHeight="1"/>
    <row r="6579" ht="12.75" customHeight="1"/>
    <row r="6580" ht="12.75" customHeight="1"/>
    <row r="6581" ht="12.75" customHeight="1"/>
    <row r="6582" ht="12.75" customHeight="1"/>
    <row r="6583" ht="12.75" customHeight="1"/>
    <row r="6584" ht="12.75" customHeight="1"/>
    <row r="6585" ht="12.75" customHeight="1"/>
    <row r="6586" ht="12.75" customHeight="1"/>
    <row r="6587" ht="12.75" customHeight="1"/>
    <row r="6588" ht="12.75" customHeight="1"/>
    <row r="6589" ht="12.75" customHeight="1"/>
    <row r="6590" ht="12.75" customHeight="1"/>
    <row r="6591" ht="12.75" customHeight="1"/>
    <row r="6592" ht="12.75" customHeight="1"/>
    <row r="6593" ht="12.75" customHeight="1"/>
    <row r="6594" ht="12.75" customHeight="1"/>
    <row r="6595" ht="12.75" customHeight="1"/>
    <row r="6596" ht="12.75" customHeight="1"/>
    <row r="6597" ht="12.75" customHeight="1"/>
    <row r="6598" ht="12.75" customHeight="1"/>
    <row r="6599" ht="12.75" customHeight="1"/>
    <row r="6600" ht="12.75" customHeight="1"/>
    <row r="6601" ht="12.75" customHeight="1"/>
    <row r="6602" ht="12.75" customHeight="1"/>
    <row r="6603" ht="12.75" customHeight="1"/>
    <row r="6604" ht="12.75" customHeight="1"/>
    <row r="6605" ht="12.75" customHeight="1"/>
    <row r="6606" ht="12.75" customHeight="1"/>
    <row r="6607" ht="12.75" customHeight="1"/>
    <row r="6608" ht="12.75" customHeight="1"/>
    <row r="6609" ht="12.75" customHeight="1"/>
    <row r="6610" ht="12.75" customHeight="1"/>
    <row r="6611" ht="12.75" customHeight="1"/>
    <row r="6612" ht="12.75" customHeight="1"/>
    <row r="6613" ht="12.75" customHeight="1"/>
    <row r="6614" ht="12.75" customHeight="1"/>
    <row r="6615" ht="12.75" customHeight="1"/>
    <row r="6616" ht="12.75" customHeight="1"/>
    <row r="6617" ht="12.75" customHeight="1"/>
    <row r="6618" ht="12.75" customHeight="1"/>
    <row r="6619" ht="12.75" customHeight="1"/>
    <row r="6620" ht="12.75" customHeight="1"/>
    <row r="6621" ht="12.75" customHeight="1"/>
    <row r="6622" ht="12.75" customHeight="1"/>
    <row r="6623" ht="12.75" customHeight="1"/>
    <row r="6624" ht="12.75" customHeight="1"/>
    <row r="6625" ht="12.75" customHeight="1"/>
    <row r="6626" ht="12.75" customHeight="1"/>
    <row r="6627" ht="12.75" customHeight="1"/>
    <row r="6628" ht="12.75" customHeight="1"/>
    <row r="6629" ht="12.75" customHeight="1"/>
    <row r="6630" ht="12.75" customHeight="1"/>
    <row r="6631" ht="12.75" customHeight="1"/>
    <row r="6632" ht="12.75" customHeight="1"/>
    <row r="6633" ht="12.75" customHeight="1"/>
    <row r="6634" ht="12.75" customHeight="1"/>
    <row r="6635" ht="12.75" customHeight="1"/>
    <row r="6636" ht="12.75" customHeight="1"/>
    <row r="6637" ht="12.75" customHeight="1"/>
    <row r="6638" ht="12.75" customHeight="1"/>
    <row r="6639" ht="12.75" customHeight="1"/>
    <row r="6640" ht="12.75" customHeight="1"/>
    <row r="6641" ht="12.75" customHeight="1"/>
    <row r="6642" ht="12.75" customHeight="1"/>
    <row r="6643" ht="12.75" customHeight="1"/>
    <row r="6644" ht="12.75" customHeight="1"/>
    <row r="6645" ht="12.75" customHeight="1"/>
    <row r="6646" ht="12.75" customHeight="1"/>
    <row r="6647" ht="12.75" customHeight="1"/>
    <row r="6648" ht="12.75" customHeight="1"/>
    <row r="6649" ht="12.75" customHeight="1"/>
    <row r="6650" ht="12.75" customHeight="1"/>
    <row r="6651" ht="12.75" customHeight="1"/>
    <row r="6652" ht="12.75" customHeight="1"/>
    <row r="6653" ht="12.75" customHeight="1"/>
    <row r="6654" ht="12.75" customHeight="1"/>
    <row r="6655" ht="12.75" customHeight="1"/>
    <row r="6656" ht="12.75" customHeight="1"/>
    <row r="6657" ht="12.75" customHeight="1"/>
    <row r="6658" ht="12.75" customHeight="1"/>
    <row r="6659" ht="12.75" customHeight="1"/>
    <row r="6660" ht="12.75" customHeight="1"/>
    <row r="6661" ht="12.75" customHeight="1"/>
    <row r="6662" ht="12.75" customHeight="1"/>
    <row r="6663" ht="12.75" customHeight="1"/>
    <row r="6664" ht="12.75" customHeight="1"/>
    <row r="6665" ht="12.75" customHeight="1"/>
    <row r="6666" ht="12.75" customHeight="1"/>
    <row r="6667" ht="12.75" customHeight="1"/>
    <row r="6668" ht="12.75" customHeight="1"/>
    <row r="6669" ht="12.75" customHeight="1"/>
    <row r="6670" ht="12.75" customHeight="1"/>
    <row r="6671" ht="12.75" customHeight="1"/>
    <row r="6672" ht="12.75" customHeight="1"/>
    <row r="6673" ht="12.75" customHeight="1"/>
    <row r="6674" ht="12.75" customHeight="1"/>
    <row r="6675" ht="12.75" customHeight="1"/>
    <row r="6676" ht="12.75" customHeight="1"/>
    <row r="6677" ht="12.75" customHeight="1"/>
    <row r="6678" ht="12.75" customHeight="1"/>
    <row r="6679" ht="12.75" customHeight="1"/>
    <row r="6680" ht="12.75" customHeight="1"/>
    <row r="6681" ht="12.75" customHeight="1"/>
    <row r="6682" ht="12.75" customHeight="1"/>
    <row r="6683" ht="12.75" customHeight="1"/>
    <row r="6684" ht="12.75" customHeight="1"/>
    <row r="6685" ht="12.75" customHeight="1"/>
    <row r="6686" ht="12.75" customHeight="1"/>
    <row r="6687" ht="12.75" customHeight="1"/>
    <row r="6688" ht="12.75" customHeight="1"/>
    <row r="6689" ht="12.75" customHeight="1"/>
    <row r="6690" ht="12.75" customHeight="1"/>
    <row r="6691" ht="12.75" customHeight="1"/>
    <row r="6692" ht="12.75" customHeight="1"/>
    <row r="6693" ht="12.75" customHeight="1"/>
    <row r="6694" ht="12.75" customHeight="1"/>
    <row r="6695" ht="12.75" customHeight="1"/>
    <row r="6696" ht="12.75" customHeight="1"/>
    <row r="6697" ht="12.75" customHeight="1"/>
    <row r="6698" ht="12.75" customHeight="1"/>
    <row r="6699" ht="12.75" customHeight="1"/>
    <row r="6700" ht="12.75" customHeight="1"/>
    <row r="6701" ht="12.75" customHeight="1"/>
    <row r="6702" ht="12.75" customHeight="1"/>
    <row r="6703" ht="12.75" customHeight="1"/>
    <row r="6704" ht="12.75" customHeight="1"/>
    <row r="6705" ht="12.75" customHeight="1"/>
    <row r="6706" ht="12.75" customHeight="1"/>
    <row r="6707" ht="12.75" customHeight="1"/>
    <row r="6708" ht="12.75" customHeight="1"/>
    <row r="6709" ht="12.75" customHeight="1"/>
    <row r="6710" ht="12.75" customHeight="1"/>
    <row r="6711" ht="12.75" customHeight="1"/>
    <row r="6712" ht="12.75" customHeight="1"/>
    <row r="6713" ht="12.75" customHeight="1"/>
    <row r="6714" ht="12.75" customHeight="1"/>
    <row r="6715" ht="12.75" customHeight="1"/>
    <row r="6716" ht="12.75" customHeight="1"/>
    <row r="6717" ht="12.75" customHeight="1"/>
    <row r="6718" ht="12.75" customHeight="1"/>
    <row r="6719" ht="12.75" customHeight="1"/>
    <row r="6720" ht="12.75" customHeight="1"/>
    <row r="6721" ht="12.75" customHeight="1"/>
    <row r="6722" ht="12.75" customHeight="1"/>
    <row r="6723" ht="12.75" customHeight="1"/>
    <row r="6724" ht="12.75" customHeight="1"/>
    <row r="6725" ht="12.75" customHeight="1"/>
    <row r="6726" ht="12.75" customHeight="1"/>
    <row r="6727" ht="12.75" customHeight="1"/>
    <row r="6728" ht="12.75" customHeight="1"/>
    <row r="6729" ht="12.75" customHeight="1"/>
    <row r="6730" ht="12.75" customHeight="1"/>
    <row r="6731" ht="12.75" customHeight="1"/>
    <row r="6732" ht="12.75" customHeight="1"/>
    <row r="6733" ht="12.75" customHeight="1"/>
    <row r="6734" ht="12.75" customHeight="1"/>
    <row r="6735" ht="12.75" customHeight="1"/>
    <row r="6736" ht="12.75" customHeight="1"/>
    <row r="6737" ht="12.75" customHeight="1"/>
    <row r="6738" ht="12.75" customHeight="1"/>
    <row r="6739" ht="12.75" customHeight="1"/>
    <row r="6740" ht="12.75" customHeight="1"/>
    <row r="6741" ht="12.75" customHeight="1"/>
    <row r="6742" ht="12.75" customHeight="1"/>
    <row r="6743" ht="12.75" customHeight="1"/>
    <row r="6744" ht="12.75" customHeight="1"/>
    <row r="6745" ht="12.75" customHeight="1"/>
    <row r="6746" ht="12.75" customHeight="1"/>
    <row r="6747" ht="12.75" customHeight="1"/>
    <row r="6748" ht="12.75" customHeight="1"/>
    <row r="6749" ht="12.75" customHeight="1"/>
    <row r="6750" ht="12.75" customHeight="1"/>
    <row r="6751" ht="12.75" customHeight="1"/>
    <row r="6752" ht="12.75" customHeight="1"/>
    <row r="6753" ht="12.75" customHeight="1"/>
    <row r="6754" ht="12.75" customHeight="1"/>
    <row r="6755" ht="12.75" customHeight="1"/>
    <row r="6756" ht="12.75" customHeight="1"/>
    <row r="6757" ht="12.75" customHeight="1"/>
    <row r="6758" ht="12.75" customHeight="1"/>
    <row r="6759" ht="12.75" customHeight="1"/>
    <row r="6760" ht="12.75" customHeight="1"/>
    <row r="6761" ht="12.75" customHeight="1"/>
    <row r="6762" ht="12.75" customHeight="1"/>
    <row r="6763" ht="12.75" customHeight="1"/>
    <row r="6764" ht="12.75" customHeight="1"/>
    <row r="6765" ht="12.75" customHeight="1"/>
    <row r="6766" ht="12.75" customHeight="1"/>
    <row r="6767" ht="12.75" customHeight="1"/>
    <row r="6768" ht="12.75" customHeight="1"/>
    <row r="6769" ht="12.75" customHeight="1"/>
    <row r="6770" ht="12.75" customHeight="1"/>
    <row r="6771" ht="12.75" customHeight="1"/>
    <row r="6772" ht="12.75" customHeight="1"/>
    <row r="6773" ht="12.75" customHeight="1"/>
    <row r="6774" ht="12.75" customHeight="1"/>
    <row r="6775" ht="12.75" customHeight="1"/>
    <row r="6776" ht="12.75" customHeight="1"/>
    <row r="6777" ht="12.75" customHeight="1"/>
    <row r="6778" ht="12.75" customHeight="1"/>
    <row r="6779" ht="12.75" customHeight="1"/>
    <row r="6780" ht="12.75" customHeight="1"/>
    <row r="6781" ht="12.75" customHeight="1"/>
    <row r="6782" ht="12.75" customHeight="1"/>
    <row r="6783" ht="12.75" customHeight="1"/>
    <row r="6784" ht="12.75" customHeight="1"/>
    <row r="6785" ht="12.75" customHeight="1"/>
    <row r="6786" ht="12.75" customHeight="1"/>
    <row r="6787" ht="12.75" customHeight="1"/>
    <row r="6788" ht="12.75" customHeight="1"/>
    <row r="6789" ht="12.75" customHeight="1"/>
    <row r="6790" ht="12.75" customHeight="1"/>
    <row r="6791" ht="12.75" customHeight="1"/>
    <row r="6792" ht="12.75" customHeight="1"/>
    <row r="6793" ht="12.75" customHeight="1"/>
    <row r="6794" ht="12.75" customHeight="1"/>
    <row r="6795" ht="12.75" customHeight="1"/>
    <row r="6796" ht="12.75" customHeight="1"/>
    <row r="6797" ht="12.75" customHeight="1"/>
    <row r="6798" ht="12.75" customHeight="1"/>
    <row r="6799" ht="12.75" customHeight="1"/>
    <row r="6800" ht="12.75" customHeight="1"/>
    <row r="6801" ht="12.75" customHeight="1"/>
    <row r="6802" ht="12.75" customHeight="1"/>
    <row r="6803" ht="12.75" customHeight="1"/>
    <row r="6804" ht="12.75" customHeight="1"/>
    <row r="6805" ht="12.75" customHeight="1"/>
    <row r="6806" ht="12.75" customHeight="1"/>
    <row r="6807" ht="12.75" customHeight="1"/>
    <row r="6808" ht="12.75" customHeight="1"/>
    <row r="6809" ht="12.75" customHeight="1"/>
    <row r="6810" ht="12.75" customHeight="1"/>
    <row r="6811" ht="12.75" customHeight="1"/>
    <row r="6812" ht="12.75" customHeight="1"/>
    <row r="6813" ht="12.75" customHeight="1"/>
    <row r="6814" ht="12.75" customHeight="1"/>
    <row r="6815" ht="12.75" customHeight="1"/>
    <row r="6816" ht="12.75" customHeight="1"/>
    <row r="6817" ht="12.75" customHeight="1"/>
    <row r="6818" ht="12.75" customHeight="1"/>
    <row r="6819" ht="12.75" customHeight="1"/>
    <row r="6820" ht="12.75" customHeight="1"/>
    <row r="6821" ht="12.75" customHeight="1"/>
    <row r="6822" ht="12.75" customHeight="1"/>
    <row r="6823" ht="12.75" customHeight="1"/>
    <row r="6824" ht="12.75" customHeight="1"/>
    <row r="6825" ht="12.75" customHeight="1"/>
    <row r="6826" ht="12.75" customHeight="1"/>
    <row r="6827" ht="12.75" customHeight="1"/>
    <row r="6828" ht="12.75" customHeight="1"/>
    <row r="6829" ht="12.75" customHeight="1"/>
    <row r="6830" ht="12.75" customHeight="1"/>
    <row r="6831" ht="12.75" customHeight="1"/>
    <row r="6832" ht="12.75" customHeight="1"/>
    <row r="6833" ht="12.75" customHeight="1"/>
    <row r="6834" ht="12.75" customHeight="1"/>
    <row r="6835" ht="12.75" customHeight="1"/>
    <row r="6836" ht="12.75" customHeight="1"/>
    <row r="6837" ht="12.75" customHeight="1"/>
    <row r="6838" ht="12.75" customHeight="1"/>
    <row r="6839" ht="12.75" customHeight="1"/>
    <row r="6840" ht="12.75" customHeight="1"/>
    <row r="6841" ht="12.75" customHeight="1"/>
    <row r="6842" ht="12.75" customHeight="1"/>
    <row r="6843" ht="12.75" customHeight="1"/>
    <row r="6844" ht="12.75" customHeight="1"/>
    <row r="6845" ht="12.75" customHeight="1"/>
    <row r="6846" ht="12.75" customHeight="1"/>
    <row r="6847" ht="12.75" customHeight="1"/>
    <row r="6848" ht="12.75" customHeight="1"/>
    <row r="6849" ht="12.75" customHeight="1"/>
    <row r="6850" ht="12.75" customHeight="1"/>
    <row r="6851" ht="12.75" customHeight="1"/>
    <row r="6852" ht="12.75" customHeight="1"/>
    <row r="6853" ht="12.75" customHeight="1"/>
    <row r="6854" ht="12.75" customHeight="1"/>
    <row r="6855" ht="12.75" customHeight="1"/>
    <row r="6856" ht="12.75" customHeight="1"/>
    <row r="6857" ht="12.75" customHeight="1"/>
    <row r="6858" ht="12.75" customHeight="1"/>
    <row r="6859" ht="12.75" customHeight="1"/>
    <row r="6860" ht="12.75" customHeight="1"/>
    <row r="6861" ht="12.75" customHeight="1"/>
    <row r="6862" ht="12.75" customHeight="1"/>
    <row r="6863" ht="12.75" customHeight="1"/>
    <row r="6864" ht="12.75" customHeight="1"/>
    <row r="6865" ht="12.75" customHeight="1"/>
    <row r="6866" ht="12.75" customHeight="1"/>
    <row r="6867" ht="12.75" customHeight="1"/>
    <row r="6868" ht="12.75" customHeight="1"/>
    <row r="6869" ht="12.75" customHeight="1"/>
    <row r="6870" ht="12.75" customHeight="1"/>
    <row r="6871" ht="12.75" customHeight="1"/>
    <row r="6872" ht="12.75" customHeight="1"/>
    <row r="6873" ht="12.75" customHeight="1"/>
    <row r="6874" ht="12.75" customHeight="1"/>
    <row r="6875" ht="12.75" customHeight="1"/>
    <row r="6876" ht="12.75" customHeight="1"/>
    <row r="6877" ht="12.75" customHeight="1"/>
    <row r="6878" ht="12.75" customHeight="1"/>
    <row r="6879" ht="12.75" customHeight="1"/>
    <row r="6880" ht="12.75" customHeight="1"/>
    <row r="6881" ht="12.75" customHeight="1"/>
    <row r="6882" ht="12.75" customHeight="1"/>
    <row r="6883" ht="12.75" customHeight="1"/>
    <row r="6884" ht="12.75" customHeight="1"/>
    <row r="6885" ht="12.75" customHeight="1"/>
    <row r="6886" ht="12.75" customHeight="1"/>
    <row r="6887" ht="12.75" customHeight="1"/>
    <row r="6888" ht="12.75" customHeight="1"/>
    <row r="6889" ht="12.75" customHeight="1"/>
    <row r="6890" ht="12.75" customHeight="1"/>
    <row r="6891" ht="12.75" customHeight="1"/>
    <row r="6892" ht="12.75" customHeight="1"/>
    <row r="6893" ht="12.75" customHeight="1"/>
    <row r="6894" ht="12.75" customHeight="1"/>
    <row r="6895" ht="12.75" customHeight="1"/>
    <row r="6896" ht="12.75" customHeight="1"/>
    <row r="6897" ht="12.75" customHeight="1"/>
    <row r="6898" ht="12.75" customHeight="1"/>
    <row r="6899" ht="12.75" customHeight="1"/>
    <row r="6900" ht="12.75" customHeight="1"/>
    <row r="6901" ht="12.75" customHeight="1"/>
    <row r="6902" ht="12.75" customHeight="1"/>
    <row r="6903" ht="12.75" customHeight="1"/>
    <row r="6904" ht="12.75" customHeight="1"/>
    <row r="6905" ht="12.75" customHeight="1"/>
    <row r="6906" ht="12.75" customHeight="1"/>
    <row r="6907" ht="12.75" customHeight="1"/>
    <row r="6908" ht="12.75" customHeight="1"/>
    <row r="6909" ht="12.75" customHeight="1"/>
    <row r="6910" ht="12.75" customHeight="1"/>
    <row r="6911" ht="12.75" customHeight="1"/>
    <row r="6912" ht="12.75" customHeight="1"/>
    <row r="6913" ht="12.75" customHeight="1"/>
    <row r="6914" ht="12.75" customHeight="1"/>
    <row r="6915" ht="12.75" customHeight="1"/>
    <row r="6916" ht="12.75" customHeight="1"/>
    <row r="6917" ht="12.75" customHeight="1"/>
    <row r="6918" ht="12.75" customHeight="1"/>
    <row r="6919" ht="12.75" customHeight="1"/>
    <row r="6920" ht="12.75" customHeight="1"/>
    <row r="6921" ht="12.75" customHeight="1"/>
    <row r="6922" ht="12.75" customHeight="1"/>
    <row r="6923" ht="12.75" customHeight="1"/>
    <row r="6924" ht="12.75" customHeight="1"/>
    <row r="6925" ht="12.75" customHeight="1"/>
    <row r="6926" ht="12.75" customHeight="1"/>
    <row r="6927" ht="12.75" customHeight="1"/>
    <row r="6928" ht="12.75" customHeight="1"/>
    <row r="6929" ht="12.75" customHeight="1"/>
    <row r="6930" ht="12.75" customHeight="1"/>
    <row r="6931" ht="12.75" customHeight="1"/>
    <row r="6932" ht="12.75" customHeight="1"/>
    <row r="6933" ht="12.75" customHeight="1"/>
    <row r="6934" ht="12.75" customHeight="1"/>
    <row r="6935" ht="12.75" customHeight="1"/>
    <row r="6936" ht="12.75" customHeight="1"/>
    <row r="6937" ht="12.75" customHeight="1"/>
    <row r="6938" ht="12.75" customHeight="1"/>
    <row r="6939" ht="12.75" customHeight="1"/>
    <row r="6940" ht="12.75" customHeight="1"/>
    <row r="6941" ht="12.75" customHeight="1"/>
    <row r="6942" ht="12.75" customHeight="1"/>
    <row r="6943" ht="12.75" customHeight="1"/>
    <row r="6944" ht="12.75" customHeight="1"/>
    <row r="6945" ht="12.75" customHeight="1"/>
    <row r="6946" ht="12.75" customHeight="1"/>
    <row r="6947" ht="12.75" customHeight="1"/>
    <row r="6948" ht="12.75" customHeight="1"/>
    <row r="6949" ht="12.75" customHeight="1"/>
    <row r="6950" ht="12.75" customHeight="1"/>
    <row r="6951" ht="12.75" customHeight="1"/>
    <row r="6952" ht="12.75" customHeight="1"/>
    <row r="6953" ht="12.75" customHeight="1"/>
    <row r="6954" ht="12.75" customHeight="1"/>
    <row r="6955" ht="12.75" customHeight="1"/>
    <row r="6956" ht="12.75" customHeight="1"/>
    <row r="6957" ht="12.75" customHeight="1"/>
    <row r="6958" ht="12.75" customHeight="1"/>
    <row r="6959" ht="12.75" customHeight="1"/>
    <row r="6960" ht="12.75" customHeight="1"/>
    <row r="6961" ht="12.75" customHeight="1"/>
    <row r="6962" ht="12.75" customHeight="1"/>
    <row r="6963" ht="12.75" customHeight="1"/>
    <row r="6964" ht="12.75" customHeight="1"/>
    <row r="6965" ht="12.75" customHeight="1"/>
    <row r="6966" ht="12.75" customHeight="1"/>
    <row r="6967" ht="12.75" customHeight="1"/>
    <row r="6968" ht="12.75" customHeight="1"/>
    <row r="6969" ht="12.75" customHeight="1"/>
    <row r="6970" ht="12.75" customHeight="1"/>
    <row r="6971" ht="12.75" customHeight="1"/>
    <row r="6972" ht="12.75" customHeight="1"/>
    <row r="6973" ht="12.75" customHeight="1"/>
    <row r="6974" ht="12.75" customHeight="1"/>
    <row r="6975" ht="12.75" customHeight="1"/>
    <row r="6976" ht="12.75" customHeight="1"/>
    <row r="6977" ht="12.75" customHeight="1"/>
    <row r="6978" ht="12.75" customHeight="1"/>
    <row r="6979" ht="12.75" customHeight="1"/>
    <row r="6980" ht="12.75" customHeight="1"/>
    <row r="6981" ht="12.75" customHeight="1"/>
    <row r="6982" ht="12.75" customHeight="1"/>
    <row r="6983" ht="12.75" customHeight="1"/>
    <row r="6984" ht="12.75" customHeight="1"/>
    <row r="6985" ht="12.75" customHeight="1"/>
    <row r="6986" ht="12.75" customHeight="1"/>
    <row r="6987" ht="12.75" customHeight="1"/>
    <row r="6988" ht="12.75" customHeight="1"/>
    <row r="6989" ht="12.75" customHeight="1"/>
    <row r="6990" ht="12.75" customHeight="1"/>
    <row r="6991" ht="12.75" customHeight="1"/>
    <row r="6992" ht="12.75" customHeight="1"/>
    <row r="6993" ht="12.75" customHeight="1"/>
    <row r="6994" ht="12.75" customHeight="1"/>
    <row r="6995" ht="12.75" customHeight="1"/>
    <row r="6996" ht="12.75" customHeight="1"/>
    <row r="6997" ht="12.75" customHeight="1"/>
    <row r="6998" ht="12.75" customHeight="1"/>
    <row r="6999" ht="12.75" customHeight="1"/>
    <row r="7000" ht="12.75" customHeight="1"/>
    <row r="7001" ht="12.75" customHeight="1"/>
    <row r="7002" ht="12.75" customHeight="1"/>
    <row r="7003" ht="12.75" customHeight="1"/>
    <row r="7004" ht="12.75" customHeight="1"/>
    <row r="7005" ht="12.75" customHeight="1"/>
    <row r="7006" ht="12.75" customHeight="1"/>
    <row r="7007" ht="12.75" customHeight="1"/>
    <row r="7008" ht="12.75" customHeight="1"/>
    <row r="7009" ht="12.75" customHeight="1"/>
    <row r="7010" ht="12.75" customHeight="1"/>
    <row r="7011" ht="12.75" customHeight="1"/>
    <row r="7012" ht="12.75" customHeight="1"/>
    <row r="7013" ht="12.75" customHeight="1"/>
    <row r="7014" ht="12.75" customHeight="1"/>
    <row r="7015" ht="12.75" customHeight="1"/>
    <row r="7016" ht="12.75" customHeight="1"/>
    <row r="7017" ht="12.75" customHeight="1"/>
    <row r="7018" ht="12.75" customHeight="1"/>
    <row r="7019" ht="12.75" customHeight="1"/>
    <row r="7020" ht="12.75" customHeight="1"/>
    <row r="7021" ht="12.75" customHeight="1"/>
    <row r="7022" ht="12.75" customHeight="1"/>
    <row r="7023" ht="12.75" customHeight="1"/>
    <row r="7024" ht="12.75" customHeight="1"/>
    <row r="7025" ht="12.75" customHeight="1"/>
    <row r="7026" ht="12.75" customHeight="1"/>
    <row r="7027" ht="12.75" customHeight="1"/>
    <row r="7028" ht="12.75" customHeight="1"/>
    <row r="7029" ht="12.75" customHeight="1"/>
    <row r="7030" ht="12.75" customHeight="1"/>
    <row r="7031" ht="12.75" customHeight="1"/>
    <row r="7032" ht="12.75" customHeight="1"/>
    <row r="7033" ht="12.75" customHeight="1"/>
    <row r="7034" ht="12.75" customHeight="1"/>
    <row r="7035" ht="12.75" customHeight="1"/>
    <row r="7036" ht="12.75" customHeight="1"/>
    <row r="7037" ht="12.75" customHeight="1"/>
    <row r="7038" ht="12.75" customHeight="1"/>
    <row r="7039" ht="12.75" customHeight="1"/>
    <row r="7040" ht="12.75" customHeight="1"/>
    <row r="7041" ht="12.75" customHeight="1"/>
    <row r="7042" ht="12.75" customHeight="1"/>
    <row r="7043" ht="12.75" customHeight="1"/>
    <row r="7044" ht="12.75" customHeight="1"/>
    <row r="7045" ht="12.75" customHeight="1"/>
    <row r="7046" ht="12.75" customHeight="1"/>
    <row r="7047" ht="12.75" customHeight="1"/>
    <row r="7048" ht="12.75" customHeight="1"/>
    <row r="7049" ht="12.75" customHeight="1"/>
    <row r="7050" ht="12.75" customHeight="1"/>
    <row r="7051" ht="12.75" customHeight="1"/>
    <row r="7052" ht="12.75" customHeight="1"/>
    <row r="7053" ht="12.75" customHeight="1"/>
    <row r="7054" ht="12.75" customHeight="1"/>
    <row r="7055" ht="12.75" customHeight="1"/>
    <row r="7056" ht="12.75" customHeight="1"/>
    <row r="7057" ht="12.75" customHeight="1"/>
    <row r="7058" ht="12.75" customHeight="1"/>
    <row r="7059" ht="12.75" customHeight="1"/>
    <row r="7060" ht="12.75" customHeight="1"/>
    <row r="7061" ht="12.75" customHeight="1"/>
    <row r="7062" ht="12.75" customHeight="1"/>
    <row r="7063" ht="12.75" customHeight="1"/>
    <row r="7064" ht="12.75" customHeight="1"/>
    <row r="7065" ht="12.75" customHeight="1"/>
    <row r="7066" ht="12.75" customHeight="1"/>
    <row r="7067" ht="12.75" customHeight="1"/>
    <row r="7068" ht="12.75" customHeight="1"/>
    <row r="7069" ht="12.75" customHeight="1"/>
    <row r="7070" ht="12.75" customHeight="1"/>
    <row r="7071" ht="12.75" customHeight="1"/>
    <row r="7072" ht="12.75" customHeight="1"/>
    <row r="7073" ht="12.75" customHeight="1"/>
    <row r="7074" ht="12.75" customHeight="1"/>
    <row r="7075" ht="12.75" customHeight="1"/>
    <row r="7076" ht="12.75" customHeight="1"/>
    <row r="7077" ht="12.75" customHeight="1"/>
    <row r="7078" ht="12.75" customHeight="1"/>
    <row r="7079" ht="12.75" customHeight="1"/>
    <row r="7080" ht="12.75" customHeight="1"/>
    <row r="7081" ht="12.75" customHeight="1"/>
    <row r="7082" ht="12.75" customHeight="1"/>
    <row r="7083" ht="12.75" customHeight="1"/>
    <row r="7084" ht="12.75" customHeight="1"/>
    <row r="7085" ht="12.75" customHeight="1"/>
    <row r="7086" ht="12.75" customHeight="1"/>
    <row r="7087" ht="12.75" customHeight="1"/>
    <row r="7088" ht="12.75" customHeight="1"/>
    <row r="7089" ht="12.75" customHeight="1"/>
    <row r="7090" ht="12.75" customHeight="1"/>
    <row r="7091" ht="12.75" customHeight="1"/>
    <row r="7092" ht="12.75" customHeight="1"/>
    <row r="7093" ht="12.75" customHeight="1"/>
    <row r="7094" ht="12.75" customHeight="1"/>
    <row r="7095" ht="12.75" customHeight="1"/>
    <row r="7096" ht="12.75" customHeight="1"/>
    <row r="7097" ht="12.75" customHeight="1"/>
    <row r="7098" ht="12.75" customHeight="1"/>
    <row r="7099" ht="12.75" customHeight="1"/>
    <row r="7100" ht="12.75" customHeight="1"/>
    <row r="7101" ht="12.75" customHeight="1"/>
    <row r="7102" ht="12.75" customHeight="1"/>
    <row r="7103" ht="12.75" customHeight="1"/>
    <row r="7104" ht="12.75" customHeight="1"/>
    <row r="7105" ht="12.75" customHeight="1"/>
    <row r="7106" ht="12.75" customHeight="1">
      <c r="AG7106" s="74"/>
    </row>
    <row r="7107" ht="12.75" customHeight="1"/>
    <row r="7108" ht="12.75" customHeight="1">
      <c r="AG7108" s="74"/>
    </row>
    <row r="7109" ht="12.75" customHeight="1"/>
    <row r="7110" ht="12.75" customHeight="1"/>
    <row r="7111" ht="12.75" customHeight="1"/>
    <row r="7112" ht="12.75" customHeight="1"/>
    <row r="7113" ht="12.75" customHeight="1"/>
    <row r="7114" ht="12.75" customHeight="1"/>
    <row r="7115" ht="12.75" customHeight="1"/>
    <row r="7116" ht="12.75" customHeight="1"/>
    <row r="7117" ht="12.75" customHeight="1"/>
    <row r="7118" ht="12.75" customHeight="1"/>
    <row r="7119" ht="12.75" customHeight="1">
      <c r="AG7119" s="74"/>
    </row>
    <row r="7120" ht="12.75" customHeight="1"/>
    <row r="7121" ht="12.75" customHeight="1"/>
    <row r="7122" ht="12.75" customHeight="1"/>
    <row r="7123" ht="12.75" customHeight="1"/>
    <row r="7124" ht="12.75" customHeight="1"/>
    <row r="7125" ht="12.75" customHeight="1"/>
    <row r="7126" ht="12.75" customHeight="1"/>
    <row r="7127" ht="12.75" customHeight="1"/>
    <row r="7128" ht="12.75" customHeight="1"/>
    <row r="7129" ht="12.75" customHeight="1"/>
    <row r="7130" ht="12.75" customHeight="1"/>
    <row r="7131" ht="12.75" customHeight="1"/>
    <row r="7132" ht="12.75" customHeight="1"/>
    <row r="7133" ht="12.75" customHeight="1"/>
    <row r="7134" ht="12.75" customHeight="1"/>
    <row r="7135" ht="12.75" customHeight="1">
      <c r="AG7135" s="74"/>
    </row>
    <row r="7136" ht="12.75" customHeight="1"/>
    <row r="7137" ht="12.75" customHeight="1"/>
    <row r="7138" ht="12.75" customHeight="1"/>
    <row r="7139" ht="12.75" customHeight="1"/>
    <row r="7140" ht="12.75" customHeight="1"/>
    <row r="7141" ht="12.75" customHeight="1"/>
    <row r="7142" ht="12.75" customHeight="1"/>
    <row r="7143" ht="12.75" customHeight="1"/>
    <row r="7144" ht="12.75" customHeight="1"/>
    <row r="7145" ht="12.75" customHeight="1"/>
    <row r="7146" ht="12.75" customHeight="1"/>
    <row r="7147" ht="12.75" customHeight="1"/>
    <row r="7148" ht="12.75" customHeight="1"/>
    <row r="7149" ht="12.75" customHeight="1"/>
    <row r="7150" ht="12.75" customHeight="1"/>
    <row r="7151" ht="12.75" customHeight="1"/>
    <row r="7152" ht="12.75" customHeight="1"/>
    <row r="7153" ht="12.75" customHeight="1"/>
    <row r="7154" ht="12.75" customHeight="1"/>
    <row r="7155" ht="12.75" customHeight="1"/>
    <row r="7156" ht="12.75" customHeight="1"/>
    <row r="7157" ht="12.75" customHeight="1"/>
    <row r="7158" ht="12.75" customHeight="1"/>
    <row r="7159" ht="12.75" customHeight="1"/>
    <row r="7160" ht="12.75" customHeight="1"/>
    <row r="7161" ht="12.75" customHeight="1"/>
    <row r="7162" ht="12.75" customHeight="1"/>
    <row r="7163" ht="12.75" customHeight="1"/>
    <row r="7164" ht="12.75" customHeight="1"/>
    <row r="7165" ht="12.75" customHeight="1"/>
    <row r="7166" ht="12.75" customHeight="1"/>
    <row r="7167" ht="12.75" customHeight="1"/>
    <row r="7168" ht="12.75" customHeight="1"/>
    <row r="7169" ht="12.75" customHeight="1"/>
    <row r="7170" ht="12.75" customHeight="1"/>
    <row r="7171" ht="12.75" customHeight="1"/>
    <row r="7172" ht="12.75" customHeight="1"/>
    <row r="7173" ht="12.75" customHeight="1"/>
    <row r="7174" ht="12.75" customHeight="1"/>
    <row r="7175" ht="12.75" customHeight="1"/>
    <row r="7176" ht="12.75" customHeight="1"/>
    <row r="7177" ht="12.75" customHeight="1"/>
    <row r="7178" ht="12.75" customHeight="1"/>
    <row r="7179" ht="12.75" customHeight="1"/>
    <row r="7180" ht="12.75" customHeight="1"/>
    <row r="7181" ht="12.75" customHeight="1"/>
    <row r="7182" ht="12.75" customHeight="1"/>
    <row r="7183" ht="12.75" customHeight="1"/>
    <row r="7184" ht="12.75" customHeight="1"/>
    <row r="7185" ht="12.75" customHeight="1"/>
    <row r="7186" ht="12.75" customHeight="1"/>
    <row r="7187" ht="12.75" customHeight="1"/>
    <row r="7188" ht="12.75" customHeight="1"/>
    <row r="7189" ht="12.75" customHeight="1"/>
    <row r="7190" ht="12.75" customHeight="1"/>
    <row r="7191" ht="12.75" customHeight="1"/>
    <row r="7192" ht="12.75" customHeight="1"/>
    <row r="7193" ht="12.75" customHeight="1"/>
    <row r="7194" ht="12.75" customHeight="1"/>
    <row r="7195" ht="12.75" customHeight="1"/>
    <row r="7196" ht="12.75" customHeight="1"/>
    <row r="7197" ht="12.75" customHeight="1"/>
    <row r="7198" ht="12.75" customHeight="1"/>
    <row r="7199" ht="12.75" customHeight="1"/>
    <row r="7200" ht="12.75" customHeight="1"/>
    <row r="7201" ht="12.75" customHeight="1"/>
    <row r="7202" ht="12.75" customHeight="1"/>
    <row r="7203" ht="12.75" customHeight="1"/>
    <row r="7204" ht="12.75" customHeight="1"/>
    <row r="7205" ht="12.75" customHeight="1"/>
    <row r="7206" ht="12.75" customHeight="1"/>
    <row r="7207" ht="12.75" customHeight="1"/>
    <row r="7208" ht="12.75" customHeight="1"/>
    <row r="7209" ht="12.75" customHeight="1"/>
    <row r="7210" ht="12.75" customHeight="1"/>
    <row r="7211" ht="12.75" customHeight="1"/>
    <row r="7212" ht="12.75" customHeight="1"/>
    <row r="7213" ht="12.75" customHeight="1"/>
    <row r="7214" ht="12.75" customHeight="1"/>
    <row r="7215" ht="12.75" customHeight="1"/>
    <row r="7216" ht="12.75" customHeight="1"/>
    <row r="7217" ht="12.75" customHeight="1"/>
    <row r="7218" ht="12.75" customHeight="1"/>
    <row r="7219" ht="12.75" customHeight="1"/>
    <row r="7220" ht="12.75" customHeight="1"/>
    <row r="7221" ht="12.75" customHeight="1"/>
    <row r="7222" ht="12.75" customHeight="1"/>
    <row r="7223" ht="12.75" customHeight="1"/>
    <row r="7224" ht="12.75" customHeight="1"/>
    <row r="7225" ht="12.75" customHeight="1"/>
    <row r="7226" ht="12.75" customHeight="1"/>
    <row r="7227" ht="12.75" customHeight="1"/>
    <row r="7228" ht="12.75" customHeight="1"/>
    <row r="7229" ht="12.75" customHeight="1"/>
    <row r="7230" ht="12.75" customHeight="1"/>
    <row r="7231" ht="12.75" customHeight="1"/>
    <row r="7232" ht="12.75" customHeight="1"/>
    <row r="7233" ht="12.75" customHeight="1"/>
    <row r="7234" ht="12.75" customHeight="1"/>
    <row r="7235" ht="12.75" customHeight="1"/>
    <row r="7236" ht="12.75" customHeight="1"/>
    <row r="7237" ht="12.75" customHeight="1"/>
    <row r="7238" ht="12.75" customHeight="1"/>
    <row r="7239" ht="12.75" customHeight="1"/>
    <row r="7240" ht="12.75" customHeight="1"/>
    <row r="7241" ht="12.75" customHeight="1"/>
    <row r="7242" ht="12.75" customHeight="1"/>
    <row r="7243" ht="12.75" customHeight="1"/>
    <row r="7244" ht="12.75" customHeight="1"/>
    <row r="7245" ht="12.75" customHeight="1"/>
    <row r="7246" ht="12.75" customHeight="1"/>
    <row r="7247" ht="12.75" customHeight="1"/>
    <row r="7248" ht="12.75" customHeight="1"/>
    <row r="7249" ht="12.75" customHeight="1"/>
    <row r="7250" ht="12.75" customHeight="1"/>
    <row r="7251" ht="12.75" customHeight="1"/>
    <row r="7252" ht="12.75" customHeight="1"/>
    <row r="7253" ht="12.75" customHeight="1"/>
    <row r="7254" ht="12.75" customHeight="1"/>
    <row r="7255" ht="12.75" customHeight="1"/>
    <row r="7256" ht="12.75" customHeight="1"/>
    <row r="7257" ht="12.75" customHeight="1"/>
    <row r="7258" ht="12.75" customHeight="1"/>
    <row r="7259" ht="12.75" customHeight="1"/>
    <row r="7260" ht="12.75" customHeight="1"/>
    <row r="7261" ht="12.75" customHeight="1"/>
    <row r="7262" ht="12.75" customHeight="1"/>
    <row r="7263" ht="12.75" customHeight="1"/>
    <row r="7264" ht="12.75" customHeight="1"/>
    <row r="7265" ht="12.75" customHeight="1"/>
    <row r="7266" ht="12.75" customHeight="1"/>
    <row r="7267" ht="12.75" customHeight="1"/>
    <row r="7268" ht="12.75" customHeight="1"/>
    <row r="7269" ht="12.75" customHeight="1"/>
    <row r="7270" ht="12.75" customHeight="1"/>
    <row r="7271" ht="12.75" customHeight="1"/>
    <row r="7272" ht="12.75" customHeight="1"/>
    <row r="7273" ht="12.75" customHeight="1"/>
    <row r="7274" ht="12.75" customHeight="1"/>
    <row r="7275" ht="12.75" customHeight="1"/>
    <row r="7276" ht="12.75" customHeight="1"/>
    <row r="7277" ht="12.75" customHeight="1"/>
    <row r="7278" ht="12.75" customHeight="1"/>
    <row r="7279" ht="12.75" customHeight="1"/>
    <row r="7280" ht="12.75" customHeight="1"/>
    <row r="7281" ht="12.75" customHeight="1"/>
    <row r="7282" ht="12.75" customHeight="1"/>
    <row r="7283" ht="12.75" customHeight="1"/>
    <row r="7284" ht="12.75" customHeight="1"/>
    <row r="7285" ht="12.75" customHeight="1"/>
    <row r="7286" ht="12.75" customHeight="1"/>
    <row r="7287" ht="12.75" customHeight="1"/>
    <row r="7288" ht="12.75" customHeight="1"/>
    <row r="7289" ht="12.75" customHeight="1"/>
    <row r="7290" ht="12.75" customHeight="1"/>
    <row r="7291" ht="12.75" customHeight="1"/>
    <row r="7292" ht="12.75" customHeight="1"/>
    <row r="7293" ht="12.75" customHeight="1"/>
    <row r="7294" ht="12.75" customHeight="1"/>
    <row r="7295" ht="12.75" customHeight="1"/>
    <row r="7296" ht="12.75" customHeight="1"/>
    <row r="7297" ht="12.75" customHeight="1"/>
    <row r="7298" ht="12.75" customHeight="1"/>
    <row r="7299" ht="12.75" customHeight="1"/>
    <row r="7300" ht="12.75" customHeight="1"/>
    <row r="7301" ht="12.75" customHeight="1"/>
    <row r="7302" ht="12.75" customHeight="1"/>
    <row r="7303" ht="12.75" customHeight="1"/>
    <row r="7304" ht="12.75" customHeight="1"/>
    <row r="7305" ht="12.75" customHeight="1"/>
    <row r="7306" ht="12.75" customHeight="1"/>
    <row r="7307" ht="12.75" customHeight="1"/>
    <row r="7308" ht="12.75" customHeight="1"/>
    <row r="7309" ht="12.75" customHeight="1"/>
    <row r="7310" ht="12.75" customHeight="1"/>
    <row r="7311" ht="12.75" customHeight="1"/>
    <row r="7312" ht="12.75" customHeight="1"/>
    <row r="7313" ht="12.75" customHeight="1"/>
    <row r="7314" ht="12.75" customHeight="1"/>
    <row r="7315" ht="12.75" customHeight="1"/>
    <row r="7316" ht="12.75" customHeight="1"/>
    <row r="7317" ht="12.75" customHeight="1"/>
    <row r="7318" ht="12.75" customHeight="1"/>
    <row r="7319" ht="12.75" customHeight="1"/>
    <row r="7320" ht="12.75" customHeight="1"/>
    <row r="7321" ht="12.75" customHeight="1"/>
    <row r="7322" ht="12.75" customHeight="1"/>
    <row r="7323" ht="12.75" customHeight="1"/>
    <row r="7324" ht="12.75" customHeight="1"/>
    <row r="7325" ht="12.75" customHeight="1"/>
    <row r="7326" ht="12.75" customHeight="1"/>
    <row r="7327" ht="12.75" customHeight="1"/>
    <row r="7328" ht="12.75" customHeight="1"/>
    <row r="7329" ht="12.75" customHeight="1"/>
    <row r="7330" ht="12.75" customHeight="1"/>
    <row r="7331" ht="12.75" customHeight="1"/>
    <row r="7332" ht="12.75" customHeight="1"/>
    <row r="7333" ht="12.75" customHeight="1"/>
    <row r="7334" ht="12.75" customHeight="1"/>
    <row r="7335" ht="12.75" customHeight="1"/>
    <row r="7336" ht="12.75" customHeight="1"/>
    <row r="7337" ht="12.75" customHeight="1"/>
    <row r="7338" ht="12.75" customHeight="1"/>
    <row r="7339" ht="12.75" customHeight="1"/>
    <row r="7340" ht="12.75" customHeight="1"/>
    <row r="7341" ht="12.75" customHeight="1"/>
    <row r="7342" ht="12.75" customHeight="1"/>
    <row r="7343" ht="12.75" customHeight="1"/>
    <row r="7344" ht="12.75" customHeight="1"/>
    <row r="7345" ht="12.75" customHeight="1"/>
    <row r="7346" ht="12.75" customHeight="1"/>
    <row r="7347" ht="12.75" customHeight="1"/>
    <row r="7348" ht="12.75" customHeight="1"/>
    <row r="7349" ht="12.75" customHeight="1"/>
    <row r="7350" ht="12.75" customHeight="1"/>
    <row r="7351" ht="12.75" customHeight="1"/>
    <row r="7352" ht="12.75" customHeight="1"/>
    <row r="7353" ht="12.75" customHeight="1"/>
    <row r="7354" ht="12.75" customHeight="1"/>
    <row r="7355" ht="12.75" customHeight="1"/>
    <row r="7356" ht="12.75" customHeight="1"/>
    <row r="7357" ht="12.75" customHeight="1"/>
    <row r="7358" ht="12.75" customHeight="1"/>
    <row r="7359" ht="12.75" customHeight="1"/>
    <row r="7360" ht="12.75" customHeight="1"/>
    <row r="7361" ht="12.75" customHeight="1"/>
    <row r="7362" ht="12.75" customHeight="1"/>
    <row r="7363" ht="12.75" customHeight="1"/>
    <row r="7364" ht="12.75" customHeight="1"/>
    <row r="7365" ht="12.75" customHeight="1"/>
    <row r="7366" ht="12.75" customHeight="1"/>
    <row r="7367" ht="12.75" customHeight="1"/>
    <row r="7368" ht="12.75" customHeight="1"/>
    <row r="7369" ht="12.75" customHeight="1"/>
    <row r="7370" ht="12.75" customHeight="1"/>
    <row r="7371" ht="12.75" customHeight="1"/>
    <row r="7372" ht="12.75" customHeight="1"/>
    <row r="7373" ht="12.75" customHeight="1"/>
    <row r="7374" ht="12.75" customHeight="1"/>
    <row r="7375" ht="12.75" customHeight="1"/>
    <row r="7376" ht="12.75" customHeight="1"/>
    <row r="7377" ht="12.75" customHeight="1"/>
    <row r="7378" ht="12.75" customHeight="1"/>
    <row r="7379" ht="12.75" customHeight="1"/>
    <row r="7380" ht="12.75" customHeight="1"/>
    <row r="7381" ht="12.75" customHeight="1"/>
    <row r="7382" ht="12.75" customHeight="1"/>
    <row r="7383" ht="12.75" customHeight="1"/>
    <row r="7384" ht="12.75" customHeight="1"/>
    <row r="7385" ht="12.75" customHeight="1"/>
    <row r="7386" ht="12.75" customHeight="1"/>
    <row r="7387" ht="12.75" customHeight="1"/>
    <row r="7388" ht="12.75" customHeight="1"/>
    <row r="7389" ht="12.75" customHeight="1"/>
    <row r="7390" ht="12.75" customHeight="1"/>
    <row r="7391" ht="12.75" customHeight="1"/>
    <row r="7392" ht="12.75" customHeight="1"/>
    <row r="7393" ht="12.75" customHeight="1"/>
    <row r="7394" ht="12.75" customHeight="1"/>
    <row r="7395" ht="12.75" customHeight="1"/>
    <row r="7396" ht="12.75" customHeight="1"/>
    <row r="7397" ht="12.75" customHeight="1"/>
    <row r="7398" ht="12.75" customHeight="1"/>
    <row r="7399" ht="12.75" customHeight="1"/>
    <row r="7400" ht="12.75" customHeight="1"/>
    <row r="7401" ht="12.75" customHeight="1"/>
    <row r="7402" ht="12.75" customHeight="1"/>
    <row r="7403" ht="12.75" customHeight="1"/>
    <row r="7404" ht="12.75" customHeight="1"/>
    <row r="7405" ht="12.75" customHeight="1"/>
    <row r="7406" ht="12.75" customHeight="1"/>
    <row r="7407" ht="12.75" customHeight="1"/>
    <row r="7408" ht="12.75" customHeight="1"/>
    <row r="7409" ht="12.75" customHeight="1"/>
    <row r="7410" ht="12.75" customHeight="1"/>
    <row r="7411" ht="12.75" customHeight="1"/>
    <row r="7412" ht="12.75" customHeight="1"/>
    <row r="7413" ht="12.75" customHeight="1"/>
    <row r="7414" ht="12.75" customHeight="1"/>
    <row r="7415" ht="12.75" customHeight="1"/>
    <row r="7416" ht="12.75" customHeight="1"/>
    <row r="7417" ht="12.75" customHeight="1"/>
    <row r="7418" ht="12.75" customHeight="1">
      <c r="F7418" s="74"/>
      <c r="H7418" s="74"/>
    </row>
    <row r="7419" ht="12.75" customHeight="1">
      <c r="F7419" s="74"/>
      <c r="H7419" s="74"/>
    </row>
    <row r="7420" ht="12.75" customHeight="1"/>
    <row r="7421" ht="12.75" customHeight="1"/>
    <row r="7422" ht="12.75" customHeight="1"/>
    <row r="7423" ht="12.75" customHeight="1"/>
    <row r="7424" ht="12.75" customHeight="1"/>
    <row r="7425" ht="12.75" customHeight="1"/>
    <row r="7426" ht="12.75" customHeight="1"/>
    <row r="7427" ht="12.75" customHeight="1"/>
    <row r="7428" ht="12.75" customHeight="1"/>
    <row r="7429" ht="12.75" customHeight="1"/>
    <row r="7430" ht="12.75" customHeight="1"/>
    <row r="7431" ht="12.75" customHeight="1"/>
    <row r="7432" ht="12.75" customHeight="1"/>
    <row r="7433" ht="12.75" customHeight="1"/>
    <row r="7434" ht="12.75" customHeight="1"/>
    <row r="7435" ht="12.75" customHeight="1"/>
    <row r="7436" ht="12.75" customHeight="1"/>
    <row r="7437" ht="12.75" customHeight="1"/>
    <row r="7438" ht="12.75" customHeight="1"/>
    <row r="7439" ht="12.75" customHeight="1"/>
    <row r="7440" ht="12.75" customHeight="1"/>
    <row r="7441" ht="12.75" customHeight="1"/>
    <row r="7442" ht="12.75" customHeight="1"/>
    <row r="7443" ht="12.75" customHeight="1"/>
    <row r="7444" ht="12.75" customHeight="1"/>
    <row r="7445" ht="12.75" customHeight="1"/>
    <row r="7446" ht="12.75" customHeight="1"/>
    <row r="7447" ht="12.75" customHeight="1"/>
    <row r="7448" ht="12.75" customHeight="1"/>
    <row r="7449" ht="12.75" customHeight="1"/>
    <row r="7450" ht="12.75" customHeight="1"/>
    <row r="7451" ht="12.75" customHeight="1"/>
    <row r="7452" ht="12.75" customHeight="1"/>
    <row r="7453" ht="12.75" customHeight="1"/>
    <row r="7454" ht="12.75" customHeight="1"/>
    <row r="7455" ht="12.75" customHeight="1"/>
    <row r="7456" ht="12.75" customHeight="1"/>
    <row r="7457" ht="12.75" customHeight="1"/>
    <row r="7458" ht="12.75" customHeight="1"/>
    <row r="7459" ht="12.75" customHeight="1"/>
    <row r="7460" ht="12.75" customHeight="1"/>
    <row r="7461" ht="12.75" customHeight="1"/>
    <row r="7462" ht="12.75" customHeight="1"/>
    <row r="7463" ht="12.75" customHeight="1"/>
    <row r="7464" ht="12.75" customHeight="1"/>
    <row r="7465" ht="12.75" customHeight="1"/>
    <row r="7466" ht="12.75" customHeight="1"/>
    <row r="7467" ht="12.75" customHeight="1"/>
    <row r="7468" ht="12.75" customHeight="1"/>
    <row r="7469" ht="12.75" customHeight="1"/>
    <row r="7470" ht="12.75" customHeight="1"/>
    <row r="7471" ht="12.75" customHeight="1"/>
    <row r="7472" ht="12.75" customHeight="1"/>
    <row r="7473" ht="12.75" customHeight="1"/>
    <row r="7474" ht="12.75" customHeight="1"/>
    <row r="7475" ht="12.75" customHeight="1"/>
    <row r="7476" ht="12.75" customHeight="1"/>
    <row r="7477" ht="12.75" customHeight="1"/>
    <row r="7478" ht="12.75" customHeight="1"/>
    <row r="7479" ht="12.75" customHeight="1"/>
    <row r="7480" ht="12.75" customHeight="1"/>
    <row r="7481" ht="12.75" customHeight="1"/>
    <row r="7482" ht="12.75" customHeight="1"/>
    <row r="7483" ht="12.75" customHeight="1"/>
    <row r="7484" ht="12.75" customHeight="1">
      <c r="AG7484" s="74"/>
    </row>
    <row r="7485" ht="12.75" customHeight="1"/>
    <row r="7486" ht="12.75" customHeight="1"/>
    <row r="7487" ht="12.75" customHeight="1">
      <c r="AG7487" s="74"/>
    </row>
    <row r="7488" ht="12.75" customHeight="1">
      <c r="AG7488" s="74"/>
    </row>
    <row r="7489" ht="12.75" customHeight="1">
      <c r="AG7489" s="74"/>
    </row>
    <row r="7490" ht="12.75" customHeight="1"/>
    <row r="7491" ht="12.75" customHeight="1">
      <c r="AG7491" s="74"/>
    </row>
    <row r="7492" ht="12.75" customHeight="1">
      <c r="AG7492" s="74"/>
    </row>
    <row r="7493" ht="12.75" customHeight="1"/>
    <row r="7494" ht="12.75" customHeight="1">
      <c r="AG7494" s="74"/>
    </row>
    <row r="7495" ht="12.75" customHeight="1"/>
    <row r="7496" ht="12.75" customHeight="1"/>
    <row r="7497" ht="12.75" customHeight="1">
      <c r="AG7497" s="74"/>
    </row>
    <row r="7498" ht="12.75" customHeight="1"/>
    <row r="7499" ht="12.75" customHeight="1"/>
    <row r="7500" ht="12.75" customHeight="1"/>
    <row r="7501" ht="12.75" customHeight="1">
      <c r="F7501" s="74"/>
      <c r="H7501" s="74"/>
    </row>
    <row r="7502" ht="12.75" customHeight="1"/>
    <row r="7503" ht="12.75" customHeight="1"/>
    <row r="7504" ht="12.75" customHeight="1"/>
    <row r="7505" ht="12.75" customHeight="1"/>
    <row r="7506" ht="12.75" customHeight="1"/>
    <row r="7507" ht="12.75" customHeight="1"/>
    <row r="7508" ht="12.75" customHeight="1"/>
    <row r="7509" ht="12.75" customHeight="1"/>
    <row r="7510" ht="12.75" customHeight="1"/>
    <row r="7511" ht="12.75" customHeight="1"/>
    <row r="7512" ht="12.75" customHeight="1"/>
    <row r="7513" ht="12.75" customHeight="1"/>
    <row r="7514" ht="12.75" customHeight="1"/>
    <row r="7515" ht="12.75" customHeight="1"/>
    <row r="7516" ht="12.75" customHeight="1"/>
    <row r="7517" ht="12.75" customHeight="1"/>
    <row r="7518" ht="12.75" customHeight="1"/>
    <row r="7519" ht="12.75" customHeight="1"/>
    <row r="7520" ht="12.75" customHeight="1"/>
    <row r="7521" ht="12.75" customHeight="1"/>
    <row r="7522" ht="12.75" customHeight="1"/>
    <row r="7523" ht="12.75" customHeight="1"/>
    <row r="7524" ht="12.75" customHeight="1"/>
    <row r="7525" ht="12.75" customHeight="1"/>
    <row r="7526" ht="12.75" customHeight="1"/>
    <row r="7527" ht="12.75" customHeight="1"/>
    <row r="7528" ht="12.75" customHeight="1"/>
    <row r="7529" ht="12.75" customHeight="1"/>
    <row r="7530" ht="12.75" customHeight="1"/>
    <row r="7531" ht="12.75" customHeight="1"/>
    <row r="7532" ht="12.75" customHeight="1"/>
    <row r="7533" ht="12.75" customHeight="1"/>
    <row r="7534" ht="12.75" customHeight="1"/>
    <row r="7535" ht="12.75" customHeight="1"/>
    <row r="7536" ht="12.75" customHeight="1"/>
    <row r="7537" ht="12.75" customHeight="1"/>
    <row r="7538" ht="12.75" customHeight="1"/>
    <row r="7539" ht="12.75" customHeight="1"/>
    <row r="7540" ht="12.75" customHeight="1"/>
    <row r="7541" ht="12.75" customHeight="1"/>
    <row r="7542" ht="12.75" customHeight="1"/>
    <row r="7543" ht="12.75" customHeight="1"/>
    <row r="7544" ht="12.75" customHeight="1"/>
    <row r="7545" ht="12.75" customHeight="1"/>
    <row r="7546" ht="12.75" customHeight="1"/>
    <row r="7547" ht="12.75" customHeight="1"/>
    <row r="7548" ht="12.75" customHeight="1"/>
    <row r="7549" ht="12.75" customHeight="1"/>
    <row r="7550" ht="12.75" customHeight="1"/>
    <row r="7551" ht="12.75" customHeight="1"/>
    <row r="7552" ht="12.75" customHeight="1"/>
    <row r="7553" ht="12.75" customHeight="1"/>
    <row r="7554" ht="12.75" customHeight="1"/>
    <row r="7555" ht="12.75" customHeight="1"/>
    <row r="7556" ht="12.75" customHeight="1"/>
    <row r="7557" ht="12.75" customHeight="1"/>
    <row r="7558" ht="12.75" customHeight="1"/>
    <row r="7559" ht="12.75" customHeight="1"/>
    <row r="7560" ht="12.75" customHeight="1"/>
    <row r="7561" ht="12.75" customHeight="1"/>
    <row r="7562" ht="12.75" customHeight="1"/>
    <row r="7563" ht="12.75" customHeight="1"/>
    <row r="7564" ht="12.75" customHeight="1"/>
    <row r="7565" ht="12.75" customHeight="1"/>
    <row r="7566" ht="12.75" customHeight="1"/>
    <row r="7567" ht="12.75" customHeight="1"/>
    <row r="7568" ht="12.75" customHeight="1"/>
    <row r="7569" ht="12.75" customHeight="1"/>
    <row r="7570" ht="12.75" customHeight="1"/>
    <row r="7571" ht="12.75" customHeight="1"/>
    <row r="7572" ht="12.75" customHeight="1"/>
    <row r="7573" ht="12.75" customHeight="1"/>
    <row r="7574" ht="12.75" customHeight="1"/>
    <row r="7575" ht="12.75" customHeight="1"/>
    <row r="7576" ht="12.75" customHeight="1"/>
    <row r="7577" ht="12.75" customHeight="1"/>
    <row r="7578" ht="12.75" customHeight="1"/>
    <row r="7579" ht="12.75" customHeight="1"/>
    <row r="7580" ht="12.75" customHeight="1"/>
    <row r="7581" ht="12.75" customHeight="1"/>
    <row r="7582" ht="12.75" customHeight="1"/>
    <row r="7583" ht="12.75" customHeight="1"/>
    <row r="7584" ht="12.75" customHeight="1"/>
    <row r="7585" ht="12.75" customHeight="1"/>
    <row r="7586" ht="12.75" customHeight="1"/>
    <row r="7587" ht="12.75" customHeight="1"/>
    <row r="7588" ht="12.75" customHeight="1"/>
    <row r="7589" ht="12.75" customHeight="1"/>
    <row r="7590" ht="12.75" customHeight="1"/>
    <row r="7591" ht="12.75" customHeight="1"/>
    <row r="7592" ht="12.75" customHeight="1"/>
    <row r="7593" ht="12.75" customHeight="1"/>
    <row r="7594" ht="12.75" customHeight="1"/>
    <row r="7595" ht="12.75" customHeight="1"/>
    <row r="7596" ht="12.75" customHeight="1"/>
    <row r="7597" ht="12.75" customHeight="1"/>
    <row r="7598" ht="12.75" customHeight="1"/>
    <row r="7599" ht="12.75" customHeight="1"/>
    <row r="7600" ht="12.75" customHeight="1"/>
    <row r="7601" ht="12.75" customHeight="1"/>
    <row r="7602" ht="12.75" customHeight="1"/>
    <row r="7603" ht="12.75" customHeight="1"/>
    <row r="7604" ht="12.75" customHeight="1"/>
    <row r="7605" ht="12.75" customHeight="1"/>
    <row r="7606" ht="12.75" customHeight="1"/>
    <row r="7607" ht="12.75" customHeight="1"/>
    <row r="7608" ht="12.75" customHeight="1"/>
    <row r="7609" ht="12.75" customHeight="1"/>
    <row r="7610" ht="12.75" customHeight="1"/>
    <row r="7611" ht="12.75" customHeight="1"/>
    <row r="7612" ht="12.75" customHeight="1"/>
    <row r="7613" ht="12.75" customHeight="1"/>
    <row r="7614" ht="12.75" customHeight="1"/>
    <row r="7615" ht="12.75" customHeight="1"/>
    <row r="7616" ht="12.75" customHeight="1">
      <c r="AG7616" s="74"/>
    </row>
    <row r="7617" ht="12.75" customHeight="1">
      <c r="AG7617" s="74"/>
    </row>
    <row r="7618" ht="12.75" customHeight="1">
      <c r="AG7618" s="74"/>
    </row>
    <row r="7619" ht="12.75" customHeight="1"/>
    <row r="7620" ht="12.75" customHeight="1"/>
    <row r="7621" ht="12.75" customHeight="1"/>
    <row r="7622" ht="12.75" customHeight="1"/>
    <row r="7623" ht="12.75" customHeight="1"/>
    <row r="7624" ht="12.75" customHeight="1"/>
    <row r="7625" ht="12.75" customHeight="1"/>
    <row r="7626" ht="12.75" customHeight="1"/>
    <row r="7627" ht="12.75" customHeight="1"/>
    <row r="7628" ht="12.75" customHeight="1"/>
    <row r="7629" ht="12.75" customHeight="1"/>
    <row r="7630" ht="12.75" customHeight="1"/>
    <row r="7631" ht="12.75" customHeight="1"/>
    <row r="7632" ht="12.75" customHeight="1"/>
    <row r="7633" ht="12.75" customHeight="1"/>
    <row r="7634" ht="12.75" customHeight="1">
      <c r="AG7634" s="74"/>
    </row>
    <row r="7635" ht="12.75" customHeight="1"/>
    <row r="7636" ht="12.75" customHeight="1"/>
    <row r="7637" ht="12.75" customHeight="1"/>
    <row r="7638" ht="12.75" customHeight="1"/>
    <row r="7639" ht="12.75" customHeight="1"/>
    <row r="7640" ht="12.75" customHeight="1"/>
    <row r="7641" ht="12.75" customHeight="1"/>
    <row r="7642" ht="12.75" customHeight="1"/>
    <row r="7643" ht="12.75" customHeight="1"/>
    <row r="7644" ht="12.75" customHeight="1"/>
    <row r="7645" ht="12.75" customHeight="1"/>
    <row r="7646" ht="12.75" customHeight="1"/>
    <row r="7647" ht="12.75" customHeight="1"/>
    <row r="7648" ht="12.75" customHeight="1"/>
    <row r="7649" ht="12.75" customHeight="1"/>
    <row r="7650" ht="12.75" customHeight="1"/>
    <row r="7651" ht="12.75" customHeight="1"/>
    <row r="7652" ht="12.75" customHeight="1"/>
    <row r="7653" ht="12.75" customHeight="1"/>
    <row r="7654" ht="12.75" customHeight="1"/>
    <row r="7655" ht="12.75" customHeight="1"/>
    <row r="7656" ht="12.75" customHeight="1"/>
    <row r="7657" ht="12.75" customHeight="1"/>
    <row r="7658" ht="12.75" customHeight="1"/>
    <row r="7659" ht="12.75" customHeight="1"/>
    <row r="7660" ht="12.75" customHeight="1"/>
    <row r="7661" ht="12.75" customHeight="1"/>
    <row r="7662" ht="12.75" customHeight="1"/>
    <row r="7663" ht="12.75" customHeight="1"/>
    <row r="7664" ht="12.75" customHeight="1"/>
    <row r="7665" ht="12.75" customHeight="1"/>
    <row r="7666" ht="12.75" customHeight="1"/>
    <row r="7667" ht="12.75" customHeight="1"/>
    <row r="7668" ht="12.75" customHeight="1"/>
    <row r="7669" ht="12.75" customHeight="1">
      <c r="AG7669" s="74"/>
    </row>
    <row r="7670" ht="12.75" customHeight="1"/>
    <row r="7671" ht="12.75" customHeight="1"/>
    <row r="7672" ht="12.75" customHeight="1"/>
    <row r="7673" ht="12.75" customHeight="1"/>
    <row r="7674" ht="12.75" customHeight="1"/>
    <row r="7675" ht="12.75" customHeight="1"/>
    <row r="7676" ht="12.75" customHeight="1"/>
    <row r="7677" ht="12.75" customHeight="1"/>
    <row r="7678" ht="12.75" customHeight="1"/>
    <row r="7679" ht="12.75" customHeight="1"/>
    <row r="7680" ht="12.75" customHeight="1"/>
    <row r="7681" ht="12.75" customHeight="1"/>
    <row r="7682" ht="12.75" customHeight="1"/>
    <row r="7683" ht="12.75" customHeight="1"/>
    <row r="7684" ht="12.75" customHeight="1"/>
    <row r="7685" ht="12.75" customHeight="1"/>
    <row r="7686" ht="12.75" customHeight="1"/>
    <row r="7687" ht="12.75" customHeight="1"/>
    <row r="7688" ht="12.75" customHeight="1"/>
    <row r="7689" ht="12.75" customHeight="1"/>
    <row r="7690" ht="12.75" customHeight="1"/>
    <row r="7691" ht="12.75" customHeight="1"/>
    <row r="7692" ht="12.75" customHeight="1"/>
    <row r="7693" ht="12.75" customHeight="1"/>
    <row r="7694" ht="12.75" customHeight="1"/>
    <row r="7695" ht="12.75" customHeight="1"/>
    <row r="7696" ht="12.75" customHeight="1"/>
    <row r="7697" ht="12.75" customHeight="1">
      <c r="F7697" s="74"/>
      <c r="H7697" s="74"/>
    </row>
    <row r="7698" ht="12.75" customHeight="1"/>
    <row r="7699" ht="12.75" customHeight="1">
      <c r="F7699" s="74"/>
      <c r="H7699" s="74"/>
    </row>
    <row r="7700" ht="12.75" customHeight="1"/>
    <row r="7701" ht="12.75" customHeight="1"/>
    <row r="7702" ht="12.75" customHeight="1"/>
    <row r="7703" ht="12.75" customHeight="1"/>
    <row r="7704" ht="12.75" customHeight="1"/>
    <row r="7705" ht="12.75" customHeight="1"/>
    <row r="7706" ht="12.75" customHeight="1"/>
    <row r="7707" ht="12.75" customHeight="1"/>
    <row r="7708" ht="12.75" customHeight="1"/>
    <row r="7709" ht="12.75" customHeight="1"/>
    <row r="7710" ht="12.75" customHeight="1"/>
    <row r="7711" ht="12.75" customHeight="1"/>
    <row r="7712" ht="12.75" customHeight="1"/>
    <row r="7713" ht="12.75" customHeight="1"/>
    <row r="7714" ht="12.75" customHeight="1"/>
    <row r="7715" ht="12.75" customHeight="1"/>
    <row r="7716" ht="12.75" customHeight="1"/>
    <row r="7717" ht="12.75" customHeight="1"/>
    <row r="7718" ht="12.75" customHeight="1"/>
    <row r="7719" ht="12.75" customHeight="1"/>
    <row r="7720" ht="12.75" customHeight="1"/>
    <row r="7721" ht="12.75" customHeight="1"/>
    <row r="7722" ht="12.75" customHeight="1"/>
    <row r="7723" ht="12.75" customHeight="1"/>
    <row r="7724" ht="12.75" customHeight="1"/>
    <row r="7725" ht="12.75" customHeight="1"/>
    <row r="7726" ht="12.75" customHeight="1"/>
    <row r="7727" ht="12.75" customHeight="1"/>
    <row r="7728" ht="12.75" customHeight="1"/>
    <row r="7729" ht="12.75" customHeight="1"/>
    <row r="7730" ht="12.75" customHeight="1"/>
    <row r="7731" ht="12.75" customHeight="1"/>
    <row r="7732" ht="12.75" customHeight="1"/>
    <row r="7733" ht="12.75" customHeight="1"/>
    <row r="7734" ht="12.75" customHeight="1"/>
    <row r="7735" ht="12.75" customHeight="1"/>
    <row r="7736" ht="12.75" customHeight="1"/>
    <row r="7737" ht="12.75" customHeight="1"/>
    <row r="7738" ht="12.75" customHeight="1"/>
    <row r="7739" ht="12.75" customHeight="1"/>
    <row r="7740" ht="12.75" customHeight="1"/>
    <row r="7741" ht="12.75" customHeight="1"/>
    <row r="7742" ht="12.75" customHeight="1"/>
    <row r="7743" ht="12.75" customHeight="1"/>
    <row r="7744" ht="12.75" customHeight="1"/>
    <row r="7745" ht="12.75" customHeight="1"/>
    <row r="7746" ht="12.75" customHeight="1"/>
    <row r="7747" ht="12.75" customHeight="1">
      <c r="AG7747" s="74"/>
    </row>
    <row r="7748" ht="12.75" customHeight="1"/>
    <row r="7749" ht="12.75" customHeight="1"/>
    <row r="7750" ht="12.75" customHeight="1"/>
    <row r="7751" ht="12.75" customHeight="1">
      <c r="F7751" s="74"/>
      <c r="H7751" s="74"/>
    </row>
    <row r="7752" ht="12.75" customHeight="1"/>
    <row r="7753" ht="12.75" customHeight="1"/>
    <row r="7754" ht="12.75" customHeight="1"/>
    <row r="7755" ht="12.75" customHeight="1">
      <c r="F7755" s="74"/>
      <c r="H7755" s="74"/>
    </row>
    <row r="7756" ht="12.75" customHeight="1"/>
    <row r="7757" ht="12.75" customHeight="1"/>
    <row r="7758" ht="12.75" customHeight="1"/>
    <row r="7759" ht="12.75" customHeight="1"/>
    <row r="7760" ht="12.75" customHeight="1"/>
    <row r="7761" ht="12.75" customHeight="1"/>
    <row r="7762" ht="12.75" customHeight="1"/>
    <row r="7763" ht="12.75" customHeight="1"/>
    <row r="7764" ht="12.75" customHeight="1"/>
    <row r="7765" ht="12.75" customHeight="1"/>
    <row r="7766" ht="12.75" customHeight="1"/>
    <row r="7767" ht="12.75" customHeight="1"/>
    <row r="7768" ht="12.75" customHeight="1"/>
    <row r="7769" ht="12.75" customHeight="1"/>
    <row r="7770" ht="12.75" customHeight="1"/>
    <row r="7771" ht="12.75" customHeight="1"/>
    <row r="7772" ht="12.75" customHeight="1"/>
    <row r="7773" ht="12.75" customHeight="1"/>
    <row r="7774" ht="12.75" customHeight="1"/>
    <row r="7775" ht="12.75" customHeight="1"/>
    <row r="7776" ht="12.75" customHeight="1"/>
    <row r="7777" ht="12.75" customHeight="1"/>
    <row r="7778" ht="12.75" customHeight="1"/>
    <row r="7779" ht="12.75" customHeight="1"/>
    <row r="7780" ht="12.75" customHeight="1"/>
    <row r="7781" ht="12.75" customHeight="1"/>
    <row r="7782" ht="12.75" customHeight="1"/>
    <row r="7783" ht="12.75" customHeight="1"/>
    <row r="7784" ht="12.75" customHeight="1"/>
    <row r="7785" ht="12.75" customHeight="1"/>
    <row r="7786" ht="12.75" customHeight="1"/>
    <row r="7787" ht="12.75" customHeight="1"/>
    <row r="7788" ht="12.75" customHeight="1"/>
    <row r="7789" ht="12.75" customHeight="1"/>
    <row r="7790" ht="12.75" customHeight="1"/>
    <row r="7791" ht="12.75" customHeight="1"/>
    <row r="7792" ht="12.75" customHeight="1"/>
    <row r="7793" ht="12.75" customHeight="1"/>
    <row r="7794" ht="12.75" customHeight="1"/>
    <row r="7795" ht="12.75" customHeight="1"/>
    <row r="7796" ht="12.75" customHeight="1"/>
    <row r="7797" ht="12.75" customHeight="1"/>
    <row r="7798" ht="12.75" customHeight="1"/>
    <row r="7799" ht="12.75" customHeight="1"/>
    <row r="7800" ht="12.75" customHeight="1"/>
    <row r="7801" ht="12.75" customHeight="1"/>
    <row r="7802" ht="12.75" customHeight="1"/>
    <row r="7803" ht="12.75" customHeight="1"/>
    <row r="7804" ht="12.75" customHeight="1"/>
    <row r="7805" ht="12.75" customHeight="1"/>
    <row r="7806" ht="12.75" customHeight="1"/>
    <row r="7807" ht="12.75" customHeight="1"/>
    <row r="7808" ht="12.75" customHeight="1"/>
    <row r="7809" ht="12.75" customHeight="1"/>
    <row r="7810" ht="12.75" customHeight="1"/>
    <row r="7811" ht="12.75" customHeight="1"/>
    <row r="7812" ht="12.75" customHeight="1"/>
    <row r="7813" ht="12.75" customHeight="1"/>
    <row r="7814" ht="12.75" customHeight="1"/>
    <row r="7815" ht="12.75" customHeight="1"/>
    <row r="7816" ht="12.75" customHeight="1"/>
    <row r="7817" ht="12.75" customHeight="1"/>
    <row r="7818" ht="12.75" customHeight="1"/>
    <row r="7819" ht="12.75" customHeight="1"/>
    <row r="7820" ht="12.75" customHeight="1"/>
    <row r="7821" ht="12.75" customHeight="1"/>
    <row r="7822" ht="12.75" customHeight="1"/>
    <row r="7823" ht="12.75" customHeight="1"/>
    <row r="7824" ht="12.75" customHeight="1"/>
    <row r="7825" ht="12.75" customHeight="1"/>
    <row r="7826" ht="12.75" customHeight="1"/>
    <row r="7827" ht="12.75" customHeight="1"/>
    <row r="7828" ht="12.75" customHeight="1"/>
    <row r="7829" ht="12.75" customHeight="1"/>
    <row r="7830" ht="12.75" customHeight="1"/>
    <row r="7831" ht="12.75" customHeight="1"/>
    <row r="7832" ht="12.75" customHeight="1"/>
    <row r="7833" ht="12.75" customHeight="1"/>
    <row r="7834" ht="12.75" customHeight="1"/>
    <row r="7835" ht="12.75" customHeight="1"/>
    <row r="7836" ht="12.75" customHeight="1"/>
    <row r="7837" ht="12.75" customHeight="1"/>
    <row r="7838" ht="12.75" customHeight="1"/>
    <row r="7839" ht="12.75" customHeight="1"/>
    <row r="7840" ht="12.75" customHeight="1"/>
    <row r="7841" ht="12.75" customHeight="1"/>
    <row r="7842" ht="12.75" customHeight="1">
      <c r="AG7842" s="74"/>
    </row>
    <row r="7843" ht="12.75" customHeight="1"/>
    <row r="7844" ht="12.75" customHeight="1"/>
    <row r="7845" ht="12.75" customHeight="1"/>
    <row r="7846" ht="12.75" customHeight="1"/>
    <row r="7847" ht="12.75" customHeight="1"/>
    <row r="7848" ht="12.75" customHeight="1"/>
    <row r="7849" ht="12.75" customHeight="1"/>
    <row r="7850" ht="12.75" customHeight="1"/>
    <row r="7851" ht="12.75" customHeight="1"/>
    <row r="7852" ht="12.75" customHeight="1"/>
    <row r="7853" ht="12.75" customHeight="1"/>
    <row r="7854" ht="12.75" customHeight="1"/>
    <row r="7855" ht="12.75" customHeight="1"/>
    <row r="7856" ht="12.75" customHeight="1"/>
    <row r="7857" ht="12.75" customHeight="1"/>
    <row r="7858" ht="12.75" customHeight="1"/>
    <row r="7859" ht="12.75" customHeight="1"/>
    <row r="7860" ht="12.75" customHeight="1"/>
    <row r="7861" ht="12.75" customHeight="1"/>
    <row r="7862" ht="12.75" customHeight="1"/>
    <row r="7863" ht="12.75" customHeight="1"/>
    <row r="7864" ht="12.75" customHeight="1"/>
    <row r="7865" ht="12.75" customHeight="1"/>
    <row r="7866" ht="12.75" customHeight="1"/>
    <row r="7867" ht="12.75" customHeight="1"/>
    <row r="7868" ht="12.75" customHeight="1"/>
    <row r="7869" ht="12.75" customHeight="1"/>
    <row r="7870" ht="12.75" customHeight="1"/>
    <row r="7871" ht="12.75" customHeight="1"/>
    <row r="7872" ht="12.75" customHeight="1"/>
    <row r="7873" ht="12.75" customHeight="1"/>
    <row r="7874" ht="12.75" customHeight="1"/>
    <row r="7875" ht="12.75" customHeight="1"/>
    <row r="7876" ht="12.75" customHeight="1"/>
    <row r="7877" ht="12.75" customHeight="1"/>
    <row r="7878" ht="12.75" customHeight="1"/>
    <row r="7879" ht="12.75" customHeight="1"/>
    <row r="7880" ht="12.75" customHeight="1"/>
    <row r="7881" ht="12.75" customHeight="1"/>
    <row r="7882" ht="12.75" customHeight="1"/>
    <row r="7883" ht="12.75" customHeight="1"/>
    <row r="7884" ht="12.75" customHeight="1"/>
    <row r="7885" ht="12.75" customHeight="1"/>
    <row r="7886" ht="12.75" customHeight="1"/>
    <row r="7887" ht="12.75" customHeight="1"/>
    <row r="7888" ht="12.75" customHeight="1"/>
    <row r="7889" ht="12.75" customHeight="1"/>
    <row r="7890" ht="12.75" customHeight="1">
      <c r="AG7890" s="74"/>
    </row>
    <row r="7891" ht="12.75" customHeight="1"/>
    <row r="7892" ht="12.75" customHeight="1"/>
    <row r="7893" ht="12.75" customHeight="1"/>
    <row r="7894" ht="12.75" customHeight="1"/>
    <row r="7895" ht="12.75" customHeight="1"/>
    <row r="7896" ht="12.75" customHeight="1"/>
    <row r="7897" ht="12.75" customHeight="1"/>
    <row r="7898" ht="12.75" customHeight="1"/>
    <row r="7899" ht="12.75" customHeight="1"/>
    <row r="7900" ht="12.75" customHeight="1"/>
    <row r="7901" ht="12.75" customHeight="1"/>
    <row r="7902" ht="12.75" customHeight="1"/>
    <row r="7903" ht="12.75" customHeight="1"/>
    <row r="7904" ht="12.75" customHeight="1"/>
    <row r="7905" ht="12.75" customHeight="1"/>
    <row r="7906" ht="12.75" customHeight="1"/>
    <row r="7907" ht="12.75" customHeight="1"/>
    <row r="7908" ht="12.75" customHeight="1"/>
    <row r="7909" ht="12.75" customHeight="1"/>
    <row r="7910" ht="12.75" customHeight="1"/>
    <row r="7911" ht="12.75" customHeight="1"/>
    <row r="7912" ht="12.75" customHeight="1"/>
    <row r="7913" ht="12.75" customHeight="1"/>
    <row r="7914" ht="12.75" customHeight="1"/>
    <row r="7915" ht="12.75" customHeight="1"/>
    <row r="7916" ht="12.75" customHeight="1"/>
    <row r="7917" ht="12.75" customHeight="1"/>
    <row r="7918" ht="12.75" customHeight="1"/>
    <row r="7919" ht="12.75" customHeight="1"/>
    <row r="7920" ht="12.75" customHeight="1"/>
    <row r="7921" ht="12.75" customHeight="1"/>
    <row r="7922" ht="12.75" customHeight="1"/>
    <row r="7923" ht="12.75" customHeight="1"/>
    <row r="7924" ht="12.75" customHeight="1"/>
    <row r="7925" ht="12.75" customHeight="1"/>
    <row r="7926" ht="12.75" customHeight="1"/>
    <row r="7927" ht="12.75" customHeight="1"/>
    <row r="7928" ht="12.75" customHeight="1">
      <c r="AG7928" s="74"/>
    </row>
    <row r="7929" ht="12.75" customHeight="1">
      <c r="AG7929" s="74"/>
    </row>
    <row r="7930" ht="12.75" customHeight="1"/>
    <row r="7931" ht="12.75" customHeight="1">
      <c r="AG7931" s="74"/>
    </row>
    <row r="7932" ht="12.75" customHeight="1"/>
    <row r="7933" ht="12.75" customHeight="1"/>
    <row r="7934" ht="12.75" customHeight="1"/>
    <row r="7935" ht="12.75" customHeight="1"/>
    <row r="7936" ht="12.75" customHeight="1"/>
    <row r="7937" ht="12.75" customHeight="1"/>
    <row r="7938" ht="12.75" customHeight="1"/>
    <row r="7939" ht="12.75" customHeight="1"/>
    <row r="7940" ht="12.75" customHeight="1"/>
    <row r="7941" ht="12.75" customHeight="1"/>
    <row r="7942" ht="12.75" customHeight="1"/>
    <row r="7943" ht="12.75" customHeight="1"/>
    <row r="7944" ht="12.75" customHeight="1"/>
    <row r="7945" ht="12.75" customHeight="1"/>
    <row r="7946" ht="12.75" customHeight="1"/>
    <row r="7947" ht="12.75" customHeight="1"/>
    <row r="7948" ht="12.75" customHeight="1"/>
    <row r="7949" ht="12.75" customHeight="1"/>
    <row r="7950" ht="12.75" customHeight="1"/>
    <row r="7951" ht="12.75" customHeight="1"/>
    <row r="7952" ht="12.75" customHeight="1"/>
    <row r="7953" ht="12.75" customHeight="1"/>
    <row r="7954" ht="12.75" customHeight="1"/>
    <row r="7955" ht="12.75" customHeight="1"/>
    <row r="7956" ht="12.75" customHeight="1"/>
    <row r="7957" ht="12.75" customHeight="1"/>
    <row r="7958" ht="12.75" customHeight="1"/>
    <row r="7959" ht="12.75" customHeight="1"/>
    <row r="7960" ht="12.75" customHeight="1"/>
    <row r="7961" ht="12.75" customHeight="1"/>
    <row r="7962" ht="12.75" customHeight="1"/>
    <row r="7963" ht="12.75" customHeight="1"/>
    <row r="7964" ht="12.75" customHeight="1"/>
    <row r="7965" ht="12.75" customHeight="1"/>
    <row r="7966" ht="12.75" customHeight="1"/>
    <row r="7967" ht="12.75" customHeight="1"/>
    <row r="7968" ht="12.75" customHeight="1"/>
    <row r="7969" ht="12.75" customHeight="1"/>
    <row r="7970" ht="12.75" customHeight="1"/>
    <row r="7971" ht="12.75" customHeight="1"/>
    <row r="7972" ht="12.75" customHeight="1"/>
    <row r="7973" ht="12.75" customHeight="1"/>
    <row r="7974" ht="12.75" customHeight="1"/>
    <row r="7975" ht="12.75" customHeight="1"/>
    <row r="7976" ht="12.75" customHeight="1"/>
    <row r="7977" ht="12.75" customHeight="1"/>
    <row r="7978" ht="12.75" customHeight="1"/>
    <row r="7979" ht="12.75" customHeight="1"/>
    <row r="7980" ht="12.75" customHeight="1"/>
    <row r="7981" ht="12.75" customHeight="1"/>
    <row r="7982" ht="12.75" customHeight="1"/>
    <row r="7983" ht="12.75" customHeight="1"/>
    <row r="7984" ht="12.75" customHeight="1"/>
    <row r="7985" ht="12.75" customHeight="1"/>
    <row r="7986" ht="12.75" customHeight="1"/>
    <row r="7987" ht="12.75" customHeight="1"/>
    <row r="7988" ht="12.75" customHeight="1"/>
    <row r="7989" ht="12.75" customHeight="1"/>
    <row r="7990" ht="12.75" customHeight="1"/>
    <row r="7991" ht="12.75" customHeight="1"/>
    <row r="7992" ht="12.75" customHeight="1"/>
    <row r="7993" ht="12.75" customHeight="1"/>
    <row r="7994" ht="12.75" customHeight="1"/>
    <row r="7995" ht="12.75" customHeight="1"/>
    <row r="7996" ht="12.75" customHeight="1">
      <c r="F7996" s="74"/>
      <c r="H7996" s="74"/>
    </row>
    <row r="7997" ht="12.75" customHeight="1"/>
    <row r="7998" ht="12.75" customHeight="1"/>
    <row r="7999" ht="12.75" customHeight="1"/>
    <row r="8000" ht="12.75" customHeight="1"/>
    <row r="8001" ht="12.75" customHeight="1"/>
    <row r="8002" ht="12.75" customHeight="1"/>
    <row r="8003" ht="12.75" customHeight="1"/>
    <row r="8004" ht="12.75" customHeight="1"/>
    <row r="8005" ht="12.75" customHeight="1"/>
    <row r="8006" ht="12.75" customHeight="1"/>
    <row r="8007" ht="12.75" customHeight="1"/>
    <row r="8008" ht="12.75" customHeight="1"/>
    <row r="8009" ht="12.75" customHeight="1"/>
    <row r="8010" ht="12.75" customHeight="1"/>
    <row r="8011" ht="12.75" customHeight="1"/>
    <row r="8012" ht="12.75" customHeight="1"/>
    <row r="8013" ht="12.75" customHeight="1"/>
    <row r="8014" ht="12.75" customHeight="1"/>
    <row r="8015" ht="12.75" customHeight="1"/>
    <row r="8016" ht="12.75" customHeight="1"/>
    <row r="8017" ht="12.75" customHeight="1"/>
    <row r="8018" ht="12.75" customHeight="1"/>
    <row r="8019" ht="12.75" customHeight="1"/>
    <row r="8020" ht="12.75" customHeight="1"/>
    <row r="8021" ht="12.75" customHeight="1"/>
    <row r="8022" ht="12.75" customHeight="1"/>
    <row r="8023" ht="12.75" customHeight="1"/>
    <row r="8024" ht="12.75" customHeight="1"/>
    <row r="8025" ht="12.75" customHeight="1"/>
    <row r="8026" ht="12.75" customHeight="1"/>
    <row r="8027" ht="12.75" customHeight="1"/>
    <row r="8028" ht="12.75" customHeight="1"/>
    <row r="8029" ht="12.75" customHeight="1"/>
    <row r="8030" ht="12.75" customHeight="1"/>
    <row r="8031" ht="12.75" customHeight="1"/>
    <row r="8032" ht="12.75" customHeight="1"/>
    <row r="8033" ht="12.75" customHeight="1"/>
    <row r="8034" ht="12.75" customHeight="1"/>
    <row r="8035" ht="12.75" customHeight="1"/>
    <row r="8036" ht="12.75" customHeight="1"/>
    <row r="8037" ht="12.75" customHeight="1"/>
    <row r="8038" ht="12.75" customHeight="1"/>
    <row r="8039" ht="12.75" customHeight="1"/>
    <row r="8040" ht="12.75" customHeight="1"/>
    <row r="8041" ht="12.75" customHeight="1"/>
    <row r="8042" ht="12.75" customHeight="1"/>
    <row r="8043" ht="12.75" customHeight="1"/>
    <row r="8044" ht="12.75" customHeight="1"/>
    <row r="8045" ht="12.75" customHeight="1"/>
    <row r="8046" ht="12.75" customHeight="1"/>
    <row r="8047" ht="12.75" customHeight="1"/>
    <row r="8048" ht="12.75" customHeight="1"/>
    <row r="8049" ht="12.75" customHeight="1"/>
    <row r="8050" ht="12.75" customHeight="1"/>
    <row r="8051" ht="12.75" customHeight="1"/>
    <row r="8052" ht="12.75" customHeight="1"/>
    <row r="8053" ht="12.75" customHeight="1"/>
    <row r="8054" ht="12.75" customHeight="1"/>
    <row r="8055" ht="12.75" customHeight="1"/>
    <row r="8056" ht="12.75" customHeight="1"/>
    <row r="8057" ht="12.75" customHeight="1"/>
    <row r="8058" ht="12.75" customHeight="1"/>
    <row r="8059" ht="12.75" customHeight="1"/>
    <row r="8060" ht="12.75" customHeight="1"/>
    <row r="8061" ht="12.75" customHeight="1"/>
    <row r="8062" ht="12.75" customHeight="1"/>
    <row r="8063" ht="12.75" customHeight="1"/>
    <row r="8064" ht="12.75" customHeight="1"/>
    <row r="8065" ht="12.75" customHeight="1"/>
    <row r="8066" ht="12.75" customHeight="1"/>
    <row r="8067" ht="12.75" customHeight="1"/>
    <row r="8068" ht="12.75" customHeight="1"/>
    <row r="8069" ht="12.75" customHeight="1"/>
    <row r="8070" ht="12.75" customHeight="1"/>
    <row r="8071" ht="12.75" customHeight="1"/>
    <row r="8072" ht="12.75" customHeight="1"/>
    <row r="8073" ht="12.75" customHeight="1"/>
    <row r="8074" ht="12.75" customHeight="1"/>
    <row r="8075" ht="12.75" customHeight="1"/>
    <row r="8076" ht="12.75" customHeight="1"/>
    <row r="8077" ht="12.75" customHeight="1">
      <c r="AG8077" s="74"/>
    </row>
    <row r="8078" ht="12.75" customHeight="1"/>
    <row r="8079" ht="12.75" customHeight="1"/>
    <row r="8080" ht="12.75" customHeight="1">
      <c r="AG8080" s="74"/>
    </row>
    <row r="8081" ht="12.75" customHeight="1"/>
    <row r="8082" ht="12.75" customHeight="1"/>
    <row r="8083" ht="12.75" customHeight="1"/>
    <row r="8084" ht="12.75" customHeight="1"/>
    <row r="8085" ht="12.75" customHeight="1"/>
    <row r="8086" ht="12.75" customHeight="1"/>
    <row r="8087" ht="12.75" customHeight="1"/>
    <row r="8088" ht="12.75" customHeight="1"/>
    <row r="8089" ht="12.75" customHeight="1"/>
    <row r="8090" ht="12.75" customHeight="1"/>
    <row r="8091" ht="12.75" customHeight="1"/>
    <row r="8092" ht="12.75" customHeight="1"/>
    <row r="8093" ht="12.75" customHeight="1"/>
    <row r="8094" ht="12.75" customHeight="1"/>
    <row r="8095" ht="12.75" customHeight="1"/>
    <row r="8096" ht="12.75" customHeight="1"/>
    <row r="8097" ht="12.75" customHeight="1"/>
    <row r="8098" ht="12.75" customHeight="1"/>
    <row r="8099" ht="12.75" customHeight="1"/>
    <row r="8100" ht="12.75" customHeight="1"/>
    <row r="8101" ht="12.75" customHeight="1"/>
    <row r="8102" ht="12.75" customHeight="1"/>
    <row r="8103" ht="12.75" customHeight="1"/>
    <row r="8104" ht="12.75" customHeight="1"/>
    <row r="8105" ht="12.75" customHeight="1"/>
    <row r="8106" ht="12.75" customHeight="1"/>
    <row r="8107" ht="12.75" customHeight="1"/>
    <row r="8108" ht="12.75" customHeight="1"/>
    <row r="8109" ht="12.75" customHeight="1"/>
    <row r="8110" ht="12.75" customHeight="1"/>
    <row r="8111" ht="12.75" customHeight="1"/>
    <row r="8112" ht="12.75" customHeight="1"/>
    <row r="8113" ht="12.75" customHeight="1"/>
    <row r="8114" ht="12.75" customHeight="1"/>
    <row r="8115" ht="12.75" customHeight="1"/>
    <row r="8116" ht="12.75" customHeight="1"/>
    <row r="8117" ht="12.75" customHeight="1"/>
    <row r="8118" ht="12.75" customHeight="1"/>
    <row r="8119" ht="12.75" customHeight="1"/>
    <row r="8120" ht="12.75" customHeight="1"/>
    <row r="8121" ht="12.75" customHeight="1"/>
    <row r="8122" ht="12.75" customHeight="1"/>
    <row r="8123" ht="12.75" customHeight="1"/>
    <row r="8124" ht="12.75" customHeight="1"/>
    <row r="8125" ht="12.75" customHeight="1"/>
    <row r="8126" ht="12.75" customHeight="1"/>
    <row r="8127" ht="12.75" customHeight="1"/>
    <row r="8128" ht="12.75" customHeight="1"/>
    <row r="8129" ht="12.75" customHeight="1"/>
    <row r="8130" ht="12.75" customHeight="1"/>
    <row r="8131" ht="12.75" customHeight="1"/>
    <row r="8132" ht="12.75" customHeight="1"/>
    <row r="8133" ht="12.75" customHeight="1"/>
    <row r="8134" ht="12.75" customHeight="1"/>
    <row r="8135" ht="12.75" customHeight="1"/>
    <row r="8136" ht="12.75" customHeight="1"/>
    <row r="8137" ht="12.75" customHeight="1"/>
    <row r="8138" ht="12.75" customHeight="1"/>
    <row r="8139" ht="12.75" customHeight="1"/>
    <row r="8140" ht="12.75" customHeight="1"/>
    <row r="8141" ht="12.75" customHeight="1"/>
    <row r="8142" ht="12.75" customHeight="1"/>
    <row r="8143" ht="12.75" customHeight="1"/>
    <row r="8144" ht="12.75" customHeight="1"/>
    <row r="8145" ht="12.75" customHeight="1"/>
    <row r="8146" ht="12.75" customHeight="1"/>
    <row r="8147" ht="12.75" customHeight="1"/>
    <row r="8148" ht="12.75" customHeight="1"/>
    <row r="8149" ht="12.75" customHeight="1"/>
    <row r="8150" ht="12.75" customHeight="1"/>
    <row r="8151" ht="12.75" customHeight="1"/>
    <row r="8152" ht="12.75" customHeight="1"/>
    <row r="8153" ht="12.75" customHeight="1"/>
    <row r="8154" ht="12.75" customHeight="1">
      <c r="F8154" s="74"/>
      <c r="H8154" s="74"/>
    </row>
    <row r="8155" ht="12.75" customHeight="1"/>
    <row r="8156" ht="12.75" customHeight="1"/>
    <row r="8157" ht="12.75" customHeight="1"/>
    <row r="8158" ht="12.75" customHeight="1"/>
    <row r="8159" ht="12.75" customHeight="1"/>
    <row r="8160" ht="12.75" customHeight="1"/>
    <row r="8161" ht="12.75" customHeight="1"/>
    <row r="8162" ht="12.75" customHeight="1"/>
    <row r="8163" ht="12.75" customHeight="1"/>
    <row r="8164" ht="12.75" customHeight="1"/>
    <row r="8165" ht="12.75" customHeight="1"/>
    <row r="8166" ht="12.75" customHeight="1"/>
    <row r="8167" ht="12.75" customHeight="1"/>
    <row r="8168" ht="12.75" customHeight="1"/>
    <row r="8169" ht="12.75" customHeight="1"/>
    <row r="8170" ht="12.75" customHeight="1"/>
    <row r="8171" ht="12.75" customHeight="1"/>
    <row r="8172" ht="12.75" customHeight="1"/>
    <row r="8173" ht="12.75" customHeight="1"/>
    <row r="8174" ht="12.75" customHeight="1"/>
    <row r="8175" ht="12.75" customHeight="1"/>
    <row r="8176" ht="12.75" customHeight="1"/>
    <row r="8177" ht="12.75" customHeight="1"/>
    <row r="8178" ht="12.75" customHeight="1"/>
    <row r="8179" ht="12.75" customHeight="1"/>
    <row r="8180" ht="12.75" customHeight="1"/>
    <row r="8181" ht="12.75" customHeight="1"/>
    <row r="8182" ht="12.75" customHeight="1"/>
    <row r="8183" ht="12.75" customHeight="1"/>
    <row r="8184" ht="12.75" customHeight="1"/>
    <row r="8185" ht="12.75" customHeight="1"/>
    <row r="8186" ht="12.75" customHeight="1"/>
    <row r="8187" ht="12.75" customHeight="1"/>
    <row r="8188" ht="12.75" customHeight="1"/>
    <row r="8189" ht="12.75" customHeight="1"/>
    <row r="8190" ht="12.75" customHeight="1"/>
    <row r="8191" ht="12.75" customHeight="1"/>
    <row r="8192" ht="12.75" customHeight="1"/>
    <row r="8193" ht="12.75" customHeight="1"/>
    <row r="8194" ht="12.75" customHeight="1"/>
    <row r="8195" ht="12.75" customHeight="1"/>
    <row r="8196" ht="12.75" customHeight="1"/>
    <row r="8197" ht="12.75" customHeight="1"/>
    <row r="8198" ht="12.75" customHeight="1"/>
    <row r="8199" ht="12.75" customHeight="1"/>
    <row r="8200" ht="12.75" customHeight="1"/>
    <row r="8201" ht="12.75" customHeight="1"/>
    <row r="8202" ht="12.75" customHeight="1">
      <c r="AG8202" s="74"/>
    </row>
    <row r="8203" ht="12.75" customHeight="1"/>
    <row r="8204" ht="12.75" customHeight="1"/>
    <row r="8205" ht="12.75" customHeight="1"/>
    <row r="8206" ht="12.75" customHeight="1"/>
    <row r="8207" ht="12.75" customHeight="1"/>
    <row r="8208" ht="12.75" customHeight="1"/>
    <row r="8209" ht="12.75" customHeight="1"/>
    <row r="8210" ht="12.75" customHeight="1"/>
    <row r="8211" ht="12.75" customHeight="1"/>
    <row r="8212" ht="12.75" customHeight="1"/>
    <row r="8213" ht="12.75" customHeight="1"/>
    <row r="8214" ht="12.75" customHeight="1"/>
    <row r="8215" ht="12.75" customHeight="1"/>
    <row r="8216" ht="12.75" customHeight="1"/>
    <row r="8217" ht="12.75" customHeight="1"/>
    <row r="8218" ht="12.75" customHeight="1"/>
    <row r="8219" ht="12.75" customHeight="1"/>
    <row r="8220" ht="12.75" customHeight="1"/>
    <row r="8221" ht="12.75" customHeight="1"/>
    <row r="8222" ht="12.75" customHeight="1"/>
    <row r="8223" ht="12.75" customHeight="1"/>
    <row r="8224" ht="12.75" customHeight="1"/>
    <row r="8225" ht="12.75" customHeight="1"/>
    <row r="8226" ht="12.75" customHeight="1"/>
    <row r="8227" ht="12.75" customHeight="1"/>
    <row r="8228" ht="12.75" customHeight="1"/>
    <row r="8229" ht="12.75" customHeight="1"/>
    <row r="8230" ht="12.75" customHeight="1"/>
    <row r="8231" ht="12.75" customHeight="1"/>
    <row r="8232" ht="12.75" customHeight="1"/>
    <row r="8233" ht="12.75" customHeight="1"/>
    <row r="8234" ht="12.75" customHeight="1"/>
    <row r="8235" ht="12.75" customHeight="1"/>
    <row r="8236" ht="12.75" customHeight="1"/>
    <row r="8237" ht="12.75" customHeight="1"/>
    <row r="8238" ht="12.75" customHeight="1"/>
    <row r="8239" ht="12.75" customHeight="1"/>
    <row r="8240" ht="12.75" customHeight="1"/>
    <row r="8241" ht="12.75" customHeight="1"/>
    <row r="8242" ht="12.75" customHeight="1"/>
    <row r="8243" ht="12.75" customHeight="1"/>
    <row r="8244" ht="12.75" customHeight="1"/>
    <row r="8245" ht="12.75" customHeight="1"/>
    <row r="8246" ht="12.75" customHeight="1"/>
    <row r="8247" ht="12.75" customHeight="1"/>
    <row r="8248" ht="12.75" customHeight="1"/>
    <row r="8249" ht="12.75" customHeight="1"/>
    <row r="8250" ht="12.75" customHeight="1"/>
    <row r="8251" ht="12.75" customHeight="1"/>
    <row r="8252" ht="12.75" customHeight="1"/>
    <row r="8253" ht="12.75" customHeight="1"/>
    <row r="8254" ht="12.75" customHeight="1"/>
    <row r="8255" ht="12.75" customHeight="1"/>
    <row r="8256" ht="12.75" customHeight="1"/>
    <row r="8257" ht="12.75" customHeight="1"/>
    <row r="8258" ht="12.75" customHeight="1"/>
    <row r="8259" ht="12.75" customHeight="1"/>
    <row r="8260" ht="12.75" customHeight="1"/>
    <row r="8261" ht="12.75" customHeight="1"/>
    <row r="8262" ht="12.75" customHeight="1"/>
    <row r="8263" ht="12.75" customHeight="1"/>
    <row r="8264" ht="12.75" customHeight="1"/>
    <row r="8265" ht="12.75" customHeight="1"/>
    <row r="8266" ht="12.75" customHeight="1"/>
    <row r="8267" ht="12.75" customHeight="1"/>
    <row r="8268" ht="12.75" customHeight="1"/>
    <row r="8269" ht="12.75" customHeight="1"/>
    <row r="8270" ht="12.75" customHeight="1"/>
    <row r="8271" ht="12.75" customHeight="1"/>
    <row r="8272" ht="12.75" customHeight="1"/>
    <row r="8273" ht="12.75" customHeight="1"/>
    <row r="8274" ht="12.75" customHeight="1"/>
    <row r="8275" ht="12.75" customHeight="1"/>
    <row r="8276" ht="12.75" customHeight="1"/>
    <row r="8277" ht="12.75" customHeight="1"/>
    <row r="8278" ht="12.75" customHeight="1"/>
    <row r="8279" ht="12.75" customHeight="1"/>
    <row r="8280" ht="12.75" customHeight="1"/>
    <row r="8281" ht="12.75" customHeight="1"/>
    <row r="8282" ht="12.75" customHeight="1"/>
    <row r="8283" ht="12.75" customHeight="1"/>
    <row r="8284" ht="12.75" customHeight="1"/>
    <row r="8285" ht="12.75" customHeight="1"/>
    <row r="8286" ht="12.75" customHeight="1"/>
    <row r="8287" ht="12.75" customHeight="1"/>
    <row r="8288" ht="12.75" customHeight="1"/>
    <row r="8289" ht="12.75" customHeight="1"/>
    <row r="8290" ht="12.75" customHeight="1"/>
    <row r="8291" ht="12.75" customHeight="1"/>
    <row r="8292" ht="12.75" customHeight="1"/>
    <row r="8293" ht="12.75" customHeight="1"/>
    <row r="8294" ht="12.75" customHeight="1"/>
    <row r="8295" ht="12.75" customHeight="1"/>
    <row r="8296" ht="12.75" customHeight="1"/>
    <row r="8297" ht="12.75" customHeight="1"/>
    <row r="8298" ht="12.75" customHeight="1"/>
    <row r="8299" ht="12.75" customHeight="1"/>
    <row r="8300" ht="12.75" customHeight="1"/>
    <row r="8301" ht="12.75" customHeight="1"/>
    <row r="8302" ht="12.75" customHeight="1"/>
    <row r="8303" ht="12.75" customHeight="1"/>
    <row r="8304" ht="12.75" customHeight="1"/>
    <row r="8305" ht="12.75" customHeight="1"/>
    <row r="8306" ht="12.75" customHeight="1"/>
    <row r="8307" ht="12.75" customHeight="1"/>
    <row r="8308" ht="12.75" customHeight="1"/>
    <row r="8309" ht="12.75" customHeight="1"/>
    <row r="8310" ht="12.75" customHeight="1"/>
    <row r="8311" ht="12.75" customHeight="1"/>
    <row r="8312" ht="12.75" customHeight="1"/>
    <row r="8313" ht="12.75" customHeight="1"/>
    <row r="8314" ht="12.75" customHeight="1"/>
    <row r="8315" ht="12.75" customHeight="1"/>
    <row r="8316" ht="12.75" customHeight="1"/>
    <row r="8317" ht="12.75" customHeight="1"/>
    <row r="8318" ht="12.75" customHeight="1"/>
    <row r="8319" ht="12.75" customHeight="1"/>
    <row r="8320" ht="12.75" customHeight="1"/>
    <row r="8321" ht="12.75" customHeight="1"/>
    <row r="8322" ht="12.75" customHeight="1"/>
    <row r="8323" ht="12.75" customHeight="1"/>
    <row r="8324" ht="12.75" customHeight="1"/>
    <row r="8325" ht="12.75" customHeight="1"/>
    <row r="8326" ht="12.75" customHeight="1"/>
    <row r="8327" ht="12.75" customHeight="1"/>
    <row r="8328" ht="12.75" customHeight="1"/>
    <row r="8329" ht="12.75" customHeight="1"/>
    <row r="8330" ht="12.75" customHeight="1"/>
    <row r="8331" ht="12.75" customHeight="1"/>
    <row r="8332" ht="12.75" customHeight="1"/>
    <row r="8333" ht="12.75" customHeight="1"/>
    <row r="8334" ht="12.75" customHeight="1"/>
    <row r="8335" ht="12.75" customHeight="1"/>
    <row r="8336" ht="12.75" customHeight="1"/>
    <row r="8337" ht="12.75" customHeight="1"/>
    <row r="8338" ht="12.75" customHeight="1"/>
    <row r="8339" ht="12.75" customHeight="1"/>
    <row r="8340" ht="12.75" customHeight="1"/>
    <row r="8341" ht="12.75" customHeight="1"/>
    <row r="8342" ht="12.75" customHeight="1"/>
    <row r="8343" ht="12.75" customHeight="1"/>
    <row r="8344" ht="12.75" customHeight="1"/>
    <row r="8345" ht="12.75" customHeight="1"/>
    <row r="8346" ht="12.75" customHeight="1"/>
    <row r="8347" ht="12.75" customHeight="1"/>
    <row r="8348" ht="12.75" customHeight="1"/>
    <row r="8349" ht="12.75" customHeight="1"/>
    <row r="8350" ht="12.75" customHeight="1"/>
    <row r="8351" ht="12.75" customHeight="1"/>
    <row r="8352" ht="12.75" customHeight="1"/>
    <row r="8353" ht="12.75" customHeight="1"/>
    <row r="8354" ht="12.75" customHeight="1"/>
    <row r="8355" ht="12.75" customHeight="1"/>
    <row r="8356" ht="12.75" customHeight="1"/>
    <row r="8357" ht="12.75" customHeight="1"/>
    <row r="8358" ht="12.75" customHeight="1"/>
    <row r="8359" ht="12.75" customHeight="1"/>
    <row r="8360" ht="12.75" customHeight="1"/>
    <row r="8361" ht="12.75" customHeight="1"/>
    <row r="8362" ht="12.75" customHeight="1"/>
    <row r="8363" ht="12.75" customHeight="1"/>
    <row r="8364" ht="12.75" customHeight="1"/>
    <row r="8365" ht="12.75" customHeight="1"/>
    <row r="8366" ht="12.75" customHeight="1"/>
    <row r="8367" ht="12.75" customHeight="1"/>
    <row r="8368" ht="12.75" customHeight="1"/>
    <row r="8369" ht="12.75" customHeight="1"/>
    <row r="8370" ht="12.75" customHeight="1"/>
    <row r="8371" ht="12.75" customHeight="1"/>
    <row r="8372" ht="12.75" customHeight="1"/>
    <row r="8373" ht="12.75" customHeight="1"/>
    <row r="8374" ht="12.75" customHeight="1"/>
    <row r="8375" ht="12.75" customHeight="1"/>
    <row r="8376" ht="12.75" customHeight="1"/>
    <row r="8377" ht="12.75" customHeight="1"/>
    <row r="8378" ht="12.75" customHeight="1"/>
    <row r="8379" ht="12.75" customHeight="1"/>
    <row r="8380" ht="12.75" customHeight="1"/>
    <row r="8381" ht="12.75" customHeight="1"/>
    <row r="8382" ht="12.75" customHeight="1"/>
    <row r="8383" ht="12.75" customHeight="1"/>
    <row r="8384" ht="12.75" customHeight="1"/>
    <row r="8385" ht="12.75" customHeight="1"/>
    <row r="8386" ht="12.75" customHeight="1"/>
    <row r="8387" ht="12.75" customHeight="1"/>
    <row r="8388" ht="12.75" customHeight="1"/>
    <row r="8389" ht="12.75" customHeight="1"/>
    <row r="8390" ht="12.75" customHeight="1"/>
    <row r="8391" ht="12.75" customHeight="1"/>
    <row r="8392" ht="12.75" customHeight="1"/>
    <row r="8393" ht="12.75" customHeight="1"/>
    <row r="8394" ht="12.75" customHeight="1"/>
    <row r="8395" ht="12.75" customHeight="1"/>
    <row r="8396" ht="12.75" customHeight="1"/>
    <row r="8397" ht="12.75" customHeight="1"/>
    <row r="8398" ht="12.75" customHeight="1"/>
    <row r="8399" ht="12.75" customHeight="1"/>
    <row r="8400" ht="12.75" customHeight="1"/>
    <row r="8401" ht="12.75" customHeight="1"/>
    <row r="8402" ht="12.75" customHeight="1"/>
    <row r="8403" ht="12.75" customHeight="1"/>
    <row r="8404" ht="12.75" customHeight="1"/>
    <row r="8405" ht="12.75" customHeight="1"/>
    <row r="8406" ht="12.75" customHeight="1"/>
    <row r="8407" ht="12.75" customHeight="1"/>
    <row r="8408" ht="12.75" customHeight="1"/>
    <row r="8409" ht="12.75" customHeight="1"/>
    <row r="8410" ht="12.75" customHeight="1"/>
    <row r="8411" ht="12.75" customHeight="1"/>
    <row r="8412" ht="12.75" customHeight="1"/>
    <row r="8413" ht="12.75" customHeight="1"/>
    <row r="8414" ht="12.75" customHeight="1"/>
    <row r="8415" ht="12.75" customHeight="1"/>
    <row r="8416" ht="12.75" customHeight="1"/>
    <row r="8417" ht="12.75" customHeight="1"/>
    <row r="8418" ht="12.75" customHeight="1"/>
    <row r="8419" ht="12.75" customHeight="1"/>
    <row r="8420" ht="12.75" customHeight="1"/>
    <row r="8421" ht="12.75" customHeight="1"/>
    <row r="8422" ht="12.75" customHeight="1"/>
    <row r="8423" ht="12.75" customHeight="1"/>
    <row r="8424" ht="12.75" customHeight="1"/>
    <row r="8425" ht="12.75" customHeight="1"/>
    <row r="8426" ht="12.75" customHeight="1"/>
    <row r="8427" ht="12.75" customHeight="1"/>
    <row r="8428" ht="12.75" customHeight="1"/>
    <row r="8429" ht="12.75" customHeight="1"/>
    <row r="8430" ht="12.75" customHeight="1"/>
    <row r="8431" ht="12.75" customHeight="1"/>
    <row r="8432" ht="12.75" customHeight="1"/>
    <row r="8433" ht="12.75" customHeight="1"/>
    <row r="8434" ht="12.75" customHeight="1"/>
    <row r="8435" ht="12.75" customHeight="1"/>
    <row r="8436" ht="12.75" customHeight="1"/>
    <row r="8437" ht="12.75" customHeight="1"/>
    <row r="8438" ht="12.75" customHeight="1"/>
    <row r="8439" ht="12.75" customHeight="1"/>
    <row r="8440" ht="12.75" customHeight="1"/>
    <row r="8441" ht="12.75" customHeight="1"/>
    <row r="8442" ht="12.75" customHeight="1"/>
    <row r="8443" ht="12.75" customHeight="1"/>
    <row r="8444" ht="12.75" customHeight="1"/>
    <row r="8445" ht="12.75" customHeight="1"/>
    <row r="8446" ht="12.75" customHeight="1"/>
    <row r="8447" ht="12.75" customHeight="1"/>
    <row r="8448" ht="12.75" customHeight="1"/>
    <row r="8449" ht="12.75" customHeight="1"/>
    <row r="8450" ht="12.75" customHeight="1"/>
    <row r="8451" ht="12.75" customHeight="1"/>
    <row r="8452" ht="12.75" customHeight="1"/>
    <row r="8453" ht="12.75" customHeight="1"/>
    <row r="8454" ht="12.75" customHeight="1"/>
    <row r="8455" ht="12.75" customHeight="1"/>
    <row r="8456" ht="12.75" customHeight="1"/>
    <row r="8457" ht="12.75" customHeight="1"/>
    <row r="8458" ht="12.75" customHeight="1"/>
    <row r="8459" ht="12.75" customHeight="1"/>
    <row r="8460" ht="12.75" customHeight="1"/>
    <row r="8461" ht="12.75" customHeight="1"/>
    <row r="8462" ht="12.75" customHeight="1"/>
    <row r="8463" ht="12.75" customHeight="1"/>
    <row r="8464" ht="12.75" customHeight="1"/>
    <row r="8465" ht="12.75" customHeight="1"/>
    <row r="8466" ht="12.75" customHeight="1"/>
    <row r="8467" ht="12.75" customHeight="1"/>
    <row r="8468" ht="12.75" customHeight="1"/>
    <row r="8469" ht="12.75" customHeight="1"/>
    <row r="8470" ht="12.75" customHeight="1"/>
    <row r="8471" ht="12.75" customHeight="1"/>
    <row r="8472" ht="12.75" customHeight="1"/>
    <row r="8473" ht="12.75" customHeight="1"/>
    <row r="8474" ht="12.75" customHeight="1"/>
    <row r="8475" ht="12.75" customHeight="1"/>
    <row r="8476" ht="12.75" customHeight="1"/>
    <row r="8477" ht="12.75" customHeight="1"/>
    <row r="8478" ht="12.75" customHeight="1"/>
    <row r="8479" ht="12.75" customHeight="1"/>
    <row r="8480" ht="12.75" customHeight="1"/>
    <row r="8481" ht="12.75" customHeight="1"/>
    <row r="8482" ht="12.75" customHeight="1"/>
    <row r="8483" ht="12.75" customHeight="1"/>
    <row r="8484" ht="12.75" customHeight="1"/>
    <row r="8485" ht="12.75" customHeight="1"/>
    <row r="8486" ht="12.75" customHeight="1"/>
    <row r="8487" ht="12.75" customHeight="1"/>
    <row r="8488" ht="12.75" customHeight="1"/>
    <row r="8489" ht="12.75" customHeight="1"/>
    <row r="8490" ht="12.75" customHeight="1"/>
    <row r="8491" ht="12.75" customHeight="1"/>
    <row r="8492" ht="12.75" customHeight="1"/>
    <row r="8493" ht="12.75" customHeight="1"/>
    <row r="8494" ht="12.75" customHeight="1"/>
    <row r="8495" ht="12.75" customHeight="1"/>
    <row r="8496" ht="12.75" customHeight="1"/>
    <row r="8497" ht="12.75" customHeight="1"/>
    <row r="8498" ht="12.75" customHeight="1"/>
    <row r="8499" ht="12.75" customHeight="1"/>
    <row r="8500" ht="12.75" customHeight="1"/>
    <row r="8501" ht="12.75" customHeight="1"/>
    <row r="8502" ht="12.75" customHeight="1"/>
    <row r="8503" ht="12.75" customHeight="1"/>
    <row r="8504" ht="12.75" customHeight="1"/>
    <row r="8505" ht="12.75" customHeight="1"/>
    <row r="8506" ht="12.75" customHeight="1"/>
    <row r="8507" ht="12.75" customHeight="1">
      <c r="AG8507" s="74"/>
    </row>
    <row r="8508" ht="12.75" customHeight="1">
      <c r="AG8508" s="74"/>
    </row>
    <row r="8509" ht="12.75" customHeight="1">
      <c r="AG8509" s="74"/>
    </row>
    <row r="8510" ht="12.75" customHeight="1">
      <c r="AG8510" s="74"/>
    </row>
    <row r="8511" ht="12.75" customHeight="1">
      <c r="AG8511" s="74"/>
    </row>
    <row r="8512" ht="12.75" customHeight="1">
      <c r="AG8512" s="74"/>
    </row>
    <row r="8513" ht="12.75" customHeight="1">
      <c r="AG8513" s="74"/>
    </row>
    <row r="8514" ht="12.75" customHeight="1"/>
    <row r="8515" ht="12.75" customHeight="1"/>
    <row r="8516" ht="12.75" customHeight="1"/>
    <row r="8517" ht="12.75" customHeight="1">
      <c r="AG8517" s="74"/>
    </row>
    <row r="8518" ht="12.75" customHeight="1">
      <c r="AG8518" s="74"/>
    </row>
    <row r="8519" ht="12.75" customHeight="1">
      <c r="AG8519" s="74"/>
    </row>
    <row r="8520" ht="12.75" customHeight="1">
      <c r="AG8520" s="74"/>
    </row>
    <row r="8521" ht="12.75" customHeight="1">
      <c r="AG8521" s="74"/>
    </row>
    <row r="8522" ht="12.75" customHeight="1"/>
    <row r="8523" ht="12.75" customHeight="1"/>
    <row r="8524" ht="12.75" customHeight="1"/>
    <row r="8525" ht="12.75" customHeight="1"/>
    <row r="8526" ht="12.75" customHeight="1"/>
    <row r="8527" ht="12.75" customHeight="1"/>
    <row r="8528" ht="12.75" customHeight="1"/>
    <row r="8529" ht="12.75" customHeight="1"/>
    <row r="8530" ht="12.75" customHeight="1"/>
    <row r="8531" ht="12.75" customHeight="1"/>
    <row r="8532" ht="12.75" customHeight="1"/>
    <row r="8533" ht="12.75" customHeight="1"/>
    <row r="8534" ht="12.75" customHeight="1"/>
    <row r="8535" ht="12.75" customHeight="1">
      <c r="AG8535" s="74"/>
    </row>
    <row r="8536" ht="12.75" customHeight="1">
      <c r="AG8536" s="74"/>
    </row>
    <row r="8537" ht="12.75" customHeight="1">
      <c r="AG8537" s="74"/>
    </row>
    <row r="8538" ht="12.75" customHeight="1">
      <c r="AG8538" s="74"/>
    </row>
    <row r="8539" ht="12.75" customHeight="1">
      <c r="AG8539" s="74"/>
    </row>
    <row r="8540" ht="12.75" customHeight="1">
      <c r="AG8540" s="74"/>
    </row>
    <row r="8541" ht="12.75" customHeight="1">
      <c r="AG8541" s="74"/>
    </row>
    <row r="8542" ht="12.75" customHeight="1"/>
    <row r="8543" ht="12.75" customHeight="1"/>
    <row r="8544" ht="12.75" customHeight="1"/>
    <row r="8545" ht="12.75" customHeight="1"/>
    <row r="8546" ht="12.75" customHeight="1"/>
    <row r="8547" ht="12.75" customHeight="1"/>
    <row r="8548" ht="12.75" customHeight="1"/>
    <row r="8549" ht="12.75" customHeight="1"/>
    <row r="8550" ht="12.75" customHeight="1"/>
    <row r="8551" ht="12.75" customHeight="1"/>
    <row r="8552" ht="12.75" customHeight="1"/>
    <row r="8553" ht="12.75" customHeight="1"/>
    <row r="8554" ht="12.75" customHeight="1"/>
    <row r="8555" ht="12.75" customHeight="1"/>
    <row r="8556" ht="12.75" customHeight="1"/>
    <row r="8557" ht="12.75" customHeight="1"/>
    <row r="8558" ht="12.75" customHeight="1"/>
    <row r="8559" ht="12.75" customHeight="1"/>
    <row r="8560" ht="12.75" customHeight="1"/>
    <row r="8561" ht="12.75" customHeight="1"/>
    <row r="8562" ht="12.75" customHeight="1"/>
    <row r="8563" ht="12.75" customHeight="1"/>
    <row r="8564" ht="12.75" customHeight="1"/>
    <row r="8565" ht="12.75" customHeight="1"/>
    <row r="8566" ht="12.75" customHeight="1"/>
    <row r="8567" ht="12.75" customHeight="1"/>
    <row r="8568" ht="12.75" customHeight="1"/>
    <row r="8569" ht="12.75" customHeight="1"/>
    <row r="8570" ht="12.75" customHeight="1"/>
    <row r="8571" ht="12.75" customHeight="1"/>
    <row r="8572" ht="12.75" customHeight="1"/>
    <row r="8573" ht="12.75" customHeight="1"/>
    <row r="8574" ht="12.75" customHeight="1"/>
    <row r="8575" ht="12.75" customHeight="1"/>
    <row r="8576" ht="12.75" customHeight="1"/>
    <row r="8577" ht="12.75" customHeight="1"/>
    <row r="8578" ht="12.75" customHeight="1"/>
    <row r="8579" ht="12.75" customHeight="1"/>
    <row r="8580" ht="12.75" customHeight="1"/>
    <row r="8581" ht="12.75" customHeight="1"/>
    <row r="8582" ht="12.75" customHeight="1"/>
    <row r="8583" ht="12.75" customHeight="1"/>
    <row r="8584" ht="12.75" customHeight="1"/>
    <row r="8585" ht="12.75" customHeight="1"/>
    <row r="8586" ht="12.75" customHeight="1"/>
    <row r="8587" ht="12.75" customHeight="1"/>
    <row r="8588" ht="12.75" customHeight="1"/>
    <row r="8589" ht="12.75" customHeight="1"/>
    <row r="8590" ht="12.75" customHeight="1"/>
    <row r="8591" ht="12.75" customHeight="1"/>
    <row r="8592" ht="12.75" customHeight="1"/>
    <row r="8593" ht="12.75" customHeight="1"/>
    <row r="8594" ht="12.75" customHeight="1"/>
    <row r="8595" ht="12.75" customHeight="1"/>
    <row r="8596" ht="12.75" customHeight="1"/>
    <row r="8597" ht="12.75" customHeight="1"/>
    <row r="8598" ht="12.75" customHeight="1"/>
    <row r="8599" ht="12.75" customHeight="1"/>
    <row r="8600" ht="12.75" customHeight="1"/>
    <row r="8601" ht="12.75" customHeight="1"/>
    <row r="8602" ht="12.75" customHeight="1"/>
    <row r="8603" ht="12.75" customHeight="1"/>
    <row r="8604" ht="12.75" customHeight="1"/>
    <row r="8605" ht="12.75" customHeight="1"/>
    <row r="8606" ht="12.75" customHeight="1"/>
    <row r="8607" ht="12.75" customHeight="1"/>
    <row r="8608" ht="12.75" customHeight="1"/>
    <row r="8609" ht="12.75" customHeight="1"/>
    <row r="8610" ht="12.75" customHeight="1"/>
    <row r="8611" ht="12.75" customHeight="1"/>
    <row r="8612" ht="12.75" customHeight="1"/>
    <row r="8613" ht="12.75" customHeight="1"/>
    <row r="8614" ht="12.75" customHeight="1"/>
    <row r="8615" ht="12.75" customHeight="1"/>
    <row r="8616" ht="12.75" customHeight="1"/>
    <row r="8617" ht="12.75" customHeight="1"/>
    <row r="8618" ht="12.75" customHeight="1"/>
    <row r="8619" ht="12.75" customHeight="1"/>
    <row r="8620" ht="12.75" customHeight="1"/>
    <row r="8621" ht="12.75" customHeight="1"/>
    <row r="8622" ht="12.75" customHeight="1"/>
    <row r="8623" ht="12.75" customHeight="1"/>
    <row r="8624" ht="12.75" customHeight="1"/>
    <row r="8625" ht="12.75" customHeight="1"/>
    <row r="8626" ht="12.75" customHeight="1"/>
    <row r="8627" ht="12.75" customHeight="1"/>
    <row r="8628" ht="12.75" customHeight="1"/>
    <row r="8629" ht="12.75" customHeight="1"/>
    <row r="8630" ht="12.75" customHeight="1"/>
    <row r="8631" ht="12.75" customHeight="1"/>
    <row r="8632" ht="12.75" customHeight="1"/>
    <row r="8633" ht="12.75" customHeight="1"/>
    <row r="8634" ht="12.75" customHeight="1"/>
    <row r="8635" ht="12.75" customHeight="1"/>
    <row r="8636" ht="12.75" customHeight="1"/>
    <row r="8637" ht="12.75" customHeight="1"/>
    <row r="8638" ht="12.75" customHeight="1"/>
    <row r="8639" ht="12.75" customHeight="1"/>
    <row r="8640" ht="12.75" customHeight="1"/>
    <row r="8641" ht="12.75" customHeight="1"/>
    <row r="8642" ht="12.75" customHeight="1"/>
    <row r="8643" ht="12.75" customHeight="1"/>
    <row r="8644" ht="12.75" customHeight="1"/>
    <row r="8645" ht="12.75" customHeight="1"/>
    <row r="8646" ht="12.75" customHeight="1"/>
    <row r="8647" ht="12.75" customHeight="1"/>
    <row r="8648" ht="12.75" customHeight="1"/>
    <row r="8649" ht="12.75" customHeight="1"/>
    <row r="8650" ht="12.75" customHeight="1"/>
    <row r="8651" ht="12.75" customHeight="1"/>
    <row r="8652" ht="12.75" customHeight="1"/>
    <row r="8653" ht="12.75" customHeight="1"/>
    <row r="8654" ht="12.75" customHeight="1"/>
    <row r="8655" ht="12.75" customHeight="1"/>
    <row r="8656" ht="12.75" customHeight="1"/>
    <row r="8657" ht="12.75" customHeight="1"/>
    <row r="8658" ht="12.75" customHeight="1"/>
    <row r="8659" ht="12.75" customHeight="1"/>
    <row r="8660" ht="12.75" customHeight="1"/>
    <row r="8661" ht="12.75" customHeight="1"/>
    <row r="8662" ht="12.75" customHeight="1"/>
    <row r="8663" ht="12.75" customHeight="1"/>
    <row r="8664" ht="12.75" customHeight="1"/>
    <row r="8665" ht="12.75" customHeight="1"/>
    <row r="8666" ht="12.75" customHeight="1"/>
    <row r="8667" ht="12.75" customHeight="1"/>
    <row r="8668" ht="12.75" customHeight="1"/>
    <row r="8669" ht="12.75" customHeight="1"/>
    <row r="8670" ht="12.75" customHeight="1"/>
    <row r="8671" ht="12.75" customHeight="1"/>
    <row r="8672" ht="12.75" customHeight="1"/>
    <row r="8673" ht="12.75" customHeight="1"/>
    <row r="8674" ht="12.75" customHeight="1"/>
    <row r="8675" ht="12.75" customHeight="1"/>
    <row r="8676" ht="12.75" customHeight="1"/>
    <row r="8677" ht="12.75" customHeight="1"/>
    <row r="8678" ht="12.75" customHeight="1"/>
    <row r="8679" ht="12.75" customHeight="1"/>
    <row r="8680" ht="12.75" customHeight="1"/>
    <row r="8681" ht="12.75" customHeight="1"/>
    <row r="8682" ht="12.75" customHeight="1"/>
    <row r="8683" ht="12.75" customHeight="1"/>
    <row r="8684" ht="12.75" customHeight="1"/>
    <row r="8685" ht="12.75" customHeight="1"/>
    <row r="8686" ht="12.75" customHeight="1">
      <c r="F8686" s="74"/>
      <c r="H8686" s="74"/>
    </row>
    <row r="8687" ht="12.75" customHeight="1"/>
    <row r="8688" ht="12.75" customHeight="1"/>
    <row r="8689" ht="12.75" customHeight="1"/>
    <row r="8690" ht="12.75" customHeight="1"/>
    <row r="8691" ht="12.75" customHeight="1"/>
    <row r="8692" ht="12.75" customHeight="1"/>
    <row r="8693" ht="12.75" customHeight="1"/>
    <row r="8694" ht="12.75" customHeight="1"/>
    <row r="8695" ht="12.75" customHeight="1"/>
    <row r="8696" ht="12.75" customHeight="1"/>
    <row r="8697" ht="12.75" customHeight="1"/>
    <row r="8698" ht="12.75" customHeight="1"/>
    <row r="8699" ht="12.75" customHeight="1">
      <c r="F8699" s="74"/>
      <c r="H8699" s="74"/>
    </row>
    <row r="8700" ht="12.75" customHeight="1"/>
    <row r="8701" ht="12.75" customHeight="1"/>
    <row r="8702" ht="12.75" customHeight="1"/>
    <row r="8703" ht="12.75" customHeight="1"/>
    <row r="8704" ht="12.75" customHeight="1"/>
    <row r="8705" ht="12.75" customHeight="1"/>
    <row r="8706" ht="12.75" customHeight="1"/>
    <row r="8707" ht="12.75" customHeight="1"/>
    <row r="8708" ht="12.75" customHeight="1"/>
    <row r="8709" ht="12.75" customHeight="1"/>
    <row r="8710" ht="12.75" customHeight="1"/>
    <row r="8711" ht="12.75" customHeight="1"/>
    <row r="8712" ht="12.75" customHeight="1"/>
    <row r="8713" ht="12.75" customHeight="1"/>
    <row r="8714" ht="12.75" customHeight="1"/>
    <row r="8715" ht="12.75" customHeight="1">
      <c r="F8715" s="74"/>
      <c r="H8715" s="74"/>
      <c r="AG8715" s="74"/>
    </row>
    <row r="8716" ht="12.75" customHeight="1"/>
    <row r="8717" ht="12.75" customHeight="1"/>
    <row r="8718" ht="12.75" customHeight="1"/>
    <row r="8719" ht="12.75" customHeight="1"/>
    <row r="8720" ht="12.75" customHeight="1"/>
    <row r="8721" ht="12.75" customHeight="1"/>
    <row r="8722" ht="12.75" customHeight="1"/>
    <row r="8723" ht="12.75" customHeight="1"/>
    <row r="8724" ht="12.75" customHeight="1"/>
    <row r="8725" ht="12.75" customHeight="1"/>
    <row r="8726" ht="12.75" customHeight="1"/>
    <row r="8727" ht="12.75" customHeight="1"/>
    <row r="8728" ht="12.75" customHeight="1"/>
    <row r="8729" ht="12.75" customHeight="1"/>
    <row r="8730" ht="12.75" customHeight="1"/>
    <row r="8731" ht="12.75" customHeight="1"/>
    <row r="8732" ht="12.75" customHeight="1"/>
    <row r="8733" ht="12.75" customHeight="1"/>
    <row r="8734" ht="12.75" customHeight="1"/>
    <row r="8735" ht="12.75" customHeight="1"/>
    <row r="8736" ht="12.75" customHeight="1"/>
    <row r="8737" ht="12.75" customHeight="1"/>
    <row r="8738" ht="12.75" customHeight="1"/>
    <row r="8739" ht="12.75" customHeight="1"/>
    <row r="8740" ht="12.75" customHeight="1"/>
    <row r="8741" ht="12.75" customHeight="1"/>
    <row r="8742" ht="12.75" customHeight="1"/>
    <row r="8743" ht="12.75" customHeight="1"/>
    <row r="8744" ht="12.75" customHeight="1"/>
    <row r="8745" ht="12.75" customHeight="1"/>
    <row r="8746" ht="12.75" customHeight="1"/>
    <row r="8747" ht="12.75" customHeight="1"/>
    <row r="8748" ht="12.75" customHeight="1"/>
    <row r="8749" ht="12.75" customHeight="1"/>
    <row r="8750" ht="12.75" customHeight="1"/>
    <row r="8751" ht="12.75" customHeight="1"/>
    <row r="8752" ht="12.75" customHeight="1"/>
    <row r="8753" ht="12.75" customHeight="1"/>
    <row r="8754" ht="12.75" customHeight="1"/>
    <row r="8755" ht="12.75" customHeight="1"/>
    <row r="8756" ht="12.75" customHeight="1"/>
    <row r="8757" ht="12.75" customHeight="1"/>
    <row r="8758" ht="12.75" customHeight="1"/>
    <row r="8759" ht="12.75" customHeight="1"/>
    <row r="8760" ht="12.75" customHeight="1"/>
    <row r="8761" ht="12.75" customHeight="1"/>
    <row r="8762" ht="12.75" customHeight="1"/>
    <row r="8763" ht="12.75" customHeight="1"/>
    <row r="8764" ht="12.75" customHeight="1"/>
    <row r="8765" ht="12.75" customHeight="1"/>
    <row r="8766" ht="12.75" customHeight="1"/>
    <row r="8767" ht="12.75" customHeight="1"/>
    <row r="8768" ht="12.75" customHeight="1"/>
    <row r="8769" ht="12.75" customHeight="1"/>
    <row r="8770" ht="12.75" customHeight="1"/>
    <row r="8771" ht="12.75" customHeight="1"/>
    <row r="8772" ht="12.75" customHeight="1"/>
    <row r="8773" ht="12.75" customHeight="1"/>
    <row r="8774" ht="12.75" customHeight="1"/>
    <row r="8775" ht="12.75" customHeight="1"/>
    <row r="8776" ht="12.75" customHeight="1"/>
    <row r="8777" ht="12.75" customHeight="1"/>
    <row r="8778" ht="12.75" customHeight="1"/>
    <row r="8779" ht="12.75" customHeight="1"/>
    <row r="8780" ht="12.75" customHeight="1"/>
    <row r="8781" ht="12.75" customHeight="1"/>
    <row r="8782" ht="12.75" customHeight="1"/>
    <row r="8783" ht="12.75" customHeight="1"/>
    <row r="8784" ht="12.75" customHeight="1"/>
    <row r="8785" ht="12.75" customHeight="1"/>
    <row r="8786" ht="12.75" customHeight="1">
      <c r="AG8786" s="74"/>
    </row>
    <row r="8787" ht="12.75" customHeight="1"/>
    <row r="8788" ht="12.75" customHeight="1"/>
    <row r="8789" ht="12.75" customHeight="1"/>
    <row r="8790" ht="12.75" customHeight="1"/>
    <row r="8791" ht="12.75" customHeight="1"/>
    <row r="8792" ht="12.75" customHeight="1"/>
    <row r="8793" ht="12.75" customHeight="1"/>
    <row r="8794" ht="12.75" customHeight="1">
      <c r="AG8794" s="74"/>
    </row>
    <row r="8795" ht="12.75" customHeight="1"/>
    <row r="8796" ht="12.75" customHeight="1"/>
    <row r="8797" ht="12.75" customHeight="1">
      <c r="AG8797" s="74"/>
    </row>
    <row r="8798" ht="12.75" customHeight="1"/>
    <row r="8799" ht="12.75" customHeight="1"/>
    <row r="8800" ht="12.75" customHeight="1"/>
    <row r="8801" ht="12.75" customHeight="1"/>
    <row r="8802" ht="12.75" customHeight="1"/>
    <row r="8803" ht="12.75" customHeight="1"/>
    <row r="8804" ht="12.75" customHeight="1"/>
    <row r="8805" ht="12.75" customHeight="1"/>
    <row r="8806" ht="12.75" customHeight="1"/>
    <row r="8807" ht="12.75" customHeight="1"/>
    <row r="8808" ht="12.75" customHeight="1"/>
    <row r="8809" ht="12.75" customHeight="1"/>
    <row r="8810" ht="12.75" customHeight="1"/>
    <row r="8811" ht="12.75" customHeight="1"/>
    <row r="8812" ht="12.75" customHeight="1"/>
    <row r="8813" ht="12.75" customHeight="1"/>
    <row r="8814" ht="12.75" customHeight="1"/>
    <row r="8815" ht="12.75" customHeight="1"/>
    <row r="8816" ht="12.75" customHeight="1"/>
    <row r="8817" ht="12.75" customHeight="1"/>
    <row r="8818" ht="12.75" customHeight="1"/>
    <row r="8819" ht="12.75" customHeight="1"/>
    <row r="8820" ht="12.75" customHeight="1"/>
    <row r="8821" ht="12.75" customHeight="1"/>
    <row r="8822" ht="12.75" customHeight="1"/>
    <row r="8823" ht="12.75" customHeight="1"/>
    <row r="8824" ht="12.75" customHeight="1"/>
    <row r="8825" ht="12.75" customHeight="1"/>
    <row r="8826" ht="12.75" customHeight="1"/>
    <row r="8827" ht="12.75" customHeight="1"/>
    <row r="8828" ht="12.75" customHeight="1"/>
    <row r="8829" ht="12.75" customHeight="1"/>
    <row r="8830" ht="12.75" customHeight="1"/>
    <row r="8831" ht="12.75" customHeight="1"/>
    <row r="8832" ht="12.75" customHeight="1"/>
    <row r="8833" ht="12.75" customHeight="1"/>
    <row r="8834" ht="12.75" customHeight="1"/>
    <row r="8835" ht="12.75" customHeight="1"/>
    <row r="8836" ht="12.75" customHeight="1"/>
    <row r="8837" ht="12.75" customHeight="1"/>
    <row r="8838" ht="12.75" customHeight="1"/>
    <row r="8839" ht="12.75" customHeight="1"/>
    <row r="8840" ht="12.75" customHeight="1"/>
    <row r="8841" ht="12.75" customHeight="1"/>
    <row r="8842" ht="12.75" customHeight="1"/>
    <row r="8843" ht="12.75" customHeight="1"/>
    <row r="8844" ht="12.75" customHeight="1"/>
    <row r="8845" ht="12.75" customHeight="1"/>
    <row r="8846" ht="12.75" customHeight="1"/>
    <row r="8847" ht="12.75" customHeight="1"/>
    <row r="8848" ht="12.75" customHeight="1"/>
    <row r="8849" ht="12.75" customHeight="1"/>
    <row r="8850" ht="12.75" customHeight="1"/>
    <row r="8851" ht="12.75" customHeight="1"/>
    <row r="8852" ht="12.75" customHeight="1"/>
    <row r="8853" ht="12.75" customHeight="1"/>
    <row r="8854" ht="12.75" customHeight="1"/>
    <row r="8855" ht="12.75" customHeight="1"/>
    <row r="8856" ht="12.75" customHeight="1"/>
    <row r="8857" ht="12.75" customHeight="1"/>
    <row r="8858" ht="12.75" customHeight="1"/>
    <row r="8859" ht="12.75" customHeight="1"/>
    <row r="8860" ht="12.75" customHeight="1"/>
    <row r="8861" ht="12.75" customHeight="1"/>
    <row r="8862" ht="12.75" customHeight="1"/>
    <row r="8863" ht="12.75" customHeight="1"/>
    <row r="8864" ht="12.75" customHeight="1"/>
    <row r="8865" ht="12.75" customHeight="1"/>
    <row r="8866" ht="12.75" customHeight="1"/>
    <row r="8867" ht="12.75" customHeight="1"/>
    <row r="8868" ht="12.75" customHeight="1"/>
    <row r="8869" ht="12.75" customHeight="1"/>
    <row r="8870" ht="12.75" customHeight="1"/>
    <row r="8871" ht="12.75" customHeight="1"/>
    <row r="8872" ht="12.75" customHeight="1"/>
    <row r="8873" ht="12.75" customHeight="1"/>
    <row r="8874" ht="12.75" customHeight="1"/>
    <row r="8875" ht="12.75" customHeight="1"/>
    <row r="8876" ht="12.75" customHeight="1"/>
    <row r="8877" ht="12.75" customHeight="1"/>
    <row r="8878" ht="12.75" customHeight="1"/>
    <row r="8879" ht="12.75" customHeight="1"/>
    <row r="8880" ht="12.75" customHeight="1"/>
    <row r="8881" ht="12.75" customHeight="1"/>
    <row r="8882" ht="12.75" customHeight="1"/>
    <row r="8883" ht="12.75" customHeight="1"/>
    <row r="8884" ht="12.75" customHeight="1"/>
    <row r="8885" ht="12.75" customHeight="1"/>
    <row r="8886" ht="12.75" customHeight="1"/>
    <row r="8887" ht="12.75" customHeight="1"/>
    <row r="8888" ht="12.75" customHeight="1"/>
    <row r="8889" ht="12.75" customHeight="1"/>
    <row r="8890" ht="12.75" customHeight="1"/>
    <row r="8891" ht="12.75" customHeight="1"/>
    <row r="8892" ht="12.75" customHeight="1"/>
    <row r="8893" ht="12.75" customHeight="1">
      <c r="F8893" s="74"/>
      <c r="H8893" s="74"/>
    </row>
    <row r="8894" ht="12.75" customHeight="1"/>
    <row r="8895" ht="12.75" customHeight="1"/>
    <row r="8896" ht="12.75" customHeight="1"/>
    <row r="8897" ht="12.75" customHeight="1"/>
    <row r="8898" ht="12.75" customHeight="1"/>
    <row r="8899" ht="12.75" customHeight="1"/>
    <row r="8900" ht="12.75" customHeight="1"/>
    <row r="8901" ht="12.75" customHeight="1"/>
    <row r="8902" ht="12.75" customHeight="1"/>
    <row r="8903" ht="12.75" customHeight="1"/>
    <row r="8904" ht="12.75" customHeight="1"/>
    <row r="8905" ht="12.75" customHeight="1"/>
    <row r="8906" ht="12.75" customHeight="1"/>
    <row r="8907" ht="12.75" customHeight="1"/>
    <row r="8908" ht="12.75" customHeight="1"/>
    <row r="8909" ht="12.75" customHeight="1"/>
    <row r="8910" ht="12.75" customHeight="1"/>
    <row r="8911" ht="12.75" customHeight="1"/>
    <row r="8912" ht="12.75" customHeight="1"/>
    <row r="8913" ht="12.75" customHeight="1"/>
    <row r="8914" ht="12.75" customHeight="1"/>
    <row r="8915" ht="12.75" customHeight="1"/>
    <row r="8916" ht="12.75" customHeight="1"/>
    <row r="8917" ht="12.75" customHeight="1"/>
    <row r="8918" ht="12.75" customHeight="1"/>
    <row r="8919" ht="12.75" customHeight="1"/>
    <row r="8920" ht="12.75" customHeight="1"/>
    <row r="8921" ht="12.75" customHeight="1"/>
    <row r="8922" ht="12.75" customHeight="1"/>
    <row r="8923" ht="12.75" customHeight="1"/>
    <row r="8924" ht="12.75" customHeight="1">
      <c r="F8924" s="74"/>
      <c r="H8924" s="74"/>
    </row>
    <row r="8925" ht="12.75" customHeight="1">
      <c r="F8925" s="74"/>
      <c r="H8925" s="74"/>
    </row>
    <row r="8926" ht="12.75" customHeight="1"/>
    <row r="8927" ht="12.75" customHeight="1"/>
    <row r="8928" ht="12.75" customHeight="1"/>
    <row r="8929" ht="12.75" customHeight="1"/>
    <row r="8930" ht="12.75" customHeight="1"/>
    <row r="8931" ht="12.75" customHeight="1"/>
    <row r="8932" ht="12.75" customHeight="1"/>
    <row r="8933" ht="12.75" customHeight="1"/>
    <row r="8934" ht="12.75" customHeight="1"/>
    <row r="8935" ht="12.75" customHeight="1"/>
    <row r="8936" ht="12.75" customHeight="1"/>
    <row r="8937" ht="12.75" customHeight="1"/>
    <row r="8938" ht="12.75" customHeight="1"/>
    <row r="8939" ht="12.75" customHeight="1"/>
    <row r="8940" ht="12.75" customHeight="1"/>
    <row r="8941" ht="12.75" customHeight="1"/>
    <row r="8942" ht="12.75" customHeight="1"/>
    <row r="8943" ht="12.75" customHeight="1"/>
    <row r="8944" ht="12.75" customHeight="1"/>
    <row r="8945" ht="12.75" customHeight="1"/>
    <row r="8946" ht="12.75" customHeight="1"/>
    <row r="8947" ht="12.75" customHeight="1"/>
    <row r="8948" ht="12.75" customHeight="1"/>
    <row r="8949" ht="12.75" customHeight="1"/>
    <row r="8950" ht="12.75" customHeight="1"/>
    <row r="8951" ht="12.75" customHeight="1"/>
    <row r="8952" ht="12.75" customHeight="1"/>
    <row r="8953" ht="12.75" customHeight="1"/>
    <row r="8954" ht="12.75" customHeight="1"/>
    <row r="8955" ht="12.75" customHeight="1"/>
    <row r="8956" ht="12.75" customHeight="1"/>
    <row r="8957" ht="12.75" customHeight="1"/>
    <row r="8958" ht="12.75" customHeight="1"/>
    <row r="8959" ht="12.75" customHeight="1"/>
    <row r="8960" ht="12.75" customHeight="1"/>
    <row r="8961" ht="12.75" customHeight="1"/>
    <row r="8962" ht="12.75" customHeight="1"/>
    <row r="8963" ht="12.75" customHeight="1"/>
    <row r="8964" ht="12.75" customHeight="1"/>
    <row r="8965" ht="12.75" customHeight="1"/>
    <row r="8966" ht="12.75" customHeight="1"/>
    <row r="8967" ht="12.75" customHeight="1"/>
    <row r="8968" ht="12.75" customHeight="1"/>
    <row r="8969" ht="12.75" customHeight="1"/>
    <row r="8970" ht="12.75" customHeight="1"/>
    <row r="8971" ht="12.75" customHeight="1"/>
    <row r="8972" ht="12.75" customHeight="1"/>
    <row r="8973" ht="12.75" customHeight="1"/>
    <row r="8974" ht="12.75" customHeight="1"/>
    <row r="8975" ht="12.75" customHeight="1">
      <c r="F8975" s="74"/>
      <c r="H8975" s="74"/>
    </row>
    <row r="8976" ht="12.75" customHeight="1">
      <c r="F8976" s="74"/>
      <c r="H8976" s="74"/>
    </row>
    <row r="8977" ht="12.75" customHeight="1"/>
    <row r="8978" ht="12.75" customHeight="1"/>
    <row r="8979" ht="12.75" customHeight="1"/>
    <row r="8980" ht="12.75" customHeight="1"/>
    <row r="8981" ht="12.75" customHeight="1"/>
    <row r="8982" ht="12.75" customHeight="1"/>
    <row r="8983" ht="12.75" customHeight="1"/>
    <row r="8984" ht="12.75" customHeight="1"/>
    <row r="8985" ht="12.75" customHeight="1"/>
    <row r="8986" ht="12.75" customHeight="1"/>
    <row r="8987" ht="12.75" customHeight="1"/>
    <row r="8988" ht="12.75" customHeight="1"/>
    <row r="8989" ht="12.75" customHeight="1"/>
    <row r="8990" ht="12.75" customHeight="1"/>
    <row r="8991" ht="12.75" customHeight="1"/>
    <row r="8992" ht="12.75" customHeight="1"/>
    <row r="8993" ht="12.75" customHeight="1"/>
    <row r="8994" ht="12.75" customHeight="1"/>
    <row r="8995" ht="12.75" customHeight="1"/>
    <row r="8996" ht="12.75" customHeight="1"/>
    <row r="8997" ht="12.75" customHeight="1"/>
    <row r="8998" ht="12.75" customHeight="1"/>
    <row r="8999" ht="12.75" customHeight="1"/>
    <row r="9000" ht="12.75" customHeight="1">
      <c r="F9000" s="74"/>
      <c r="H9000" s="74"/>
    </row>
    <row r="9001" ht="12.75" customHeight="1"/>
    <row r="9002" ht="12.75" customHeight="1"/>
    <row r="9003" ht="12.75" customHeight="1"/>
    <row r="9004" ht="12.75" customHeight="1"/>
    <row r="9005" ht="12.75" customHeight="1"/>
    <row r="9006" ht="12.75" customHeight="1"/>
    <row r="9007" ht="12.75" customHeight="1"/>
    <row r="9008" ht="12.75" customHeight="1"/>
    <row r="9009" ht="12.75" customHeight="1"/>
    <row r="9010" ht="12.75" customHeight="1"/>
    <row r="9011" ht="12.75" customHeight="1"/>
    <row r="9012" ht="12.75" customHeight="1">
      <c r="F9012" s="74"/>
      <c r="H9012" s="74"/>
    </row>
    <row r="9013" ht="12.75" customHeight="1">
      <c r="F9013" s="74"/>
      <c r="H9013" s="74"/>
    </row>
    <row r="9014" ht="12.75" customHeight="1"/>
    <row r="9015" ht="12.75" customHeight="1"/>
    <row r="9016" ht="12.75" customHeight="1"/>
    <row r="9017" ht="12.75" customHeight="1"/>
    <row r="9018" ht="12.75" customHeight="1"/>
    <row r="9019" ht="12.75" customHeight="1"/>
    <row r="9020" ht="12.75" customHeight="1"/>
    <row r="9021" ht="12.75" customHeight="1"/>
    <row r="9022" ht="12.75" customHeight="1"/>
    <row r="9023" ht="12.75" customHeight="1"/>
    <row r="9024" ht="12.75" customHeight="1"/>
    <row r="9025" ht="12.75" customHeight="1"/>
    <row r="9026" ht="12.75" customHeight="1"/>
    <row r="9027" ht="12.75" customHeight="1"/>
    <row r="9028" ht="12.75" customHeight="1"/>
    <row r="9029" ht="12.75" customHeight="1"/>
    <row r="9030" ht="12.75" customHeight="1"/>
    <row r="9031" ht="12.75" customHeight="1"/>
    <row r="9032" ht="12.75" customHeight="1"/>
    <row r="9033" ht="12.75" customHeight="1"/>
    <row r="9034" ht="12.75" customHeight="1"/>
    <row r="9035" ht="12.75" customHeight="1"/>
    <row r="9036" ht="12.75" customHeight="1"/>
    <row r="9037" ht="12.75" customHeight="1"/>
    <row r="9038" ht="12.75" customHeight="1"/>
    <row r="9039" ht="12.75" customHeight="1"/>
    <row r="9040" ht="12.75" customHeight="1"/>
    <row r="9041" ht="12.75" customHeight="1"/>
    <row r="9042" ht="12.75" customHeight="1"/>
    <row r="9043" ht="12.75" customHeight="1"/>
    <row r="9044" ht="12.75" customHeight="1"/>
    <row r="9045" ht="12.75" customHeight="1"/>
    <row r="9046" ht="12.75" customHeight="1"/>
    <row r="9047" ht="12.75" customHeight="1"/>
    <row r="9048" ht="12.75" customHeight="1"/>
    <row r="9049" ht="12.75" customHeight="1"/>
    <row r="9050" ht="12.75" customHeight="1"/>
    <row r="9051" ht="12.75" customHeight="1"/>
    <row r="9052" ht="12.75" customHeight="1"/>
    <row r="9053" ht="12.75" customHeight="1"/>
    <row r="9054" ht="12.75" customHeight="1"/>
    <row r="9055" ht="12.75" customHeight="1"/>
    <row r="9056" ht="12.75" customHeight="1"/>
    <row r="9057" ht="12.75" customHeight="1"/>
    <row r="9058" ht="12.75" customHeight="1"/>
    <row r="9059" ht="12.75" customHeight="1"/>
    <row r="9060" ht="12.75" customHeight="1"/>
    <row r="9061" ht="12.75" customHeight="1"/>
    <row r="9062" ht="12.75" customHeight="1"/>
    <row r="9063" ht="12.75" customHeight="1"/>
    <row r="9064" ht="12.75" customHeight="1"/>
    <row r="9065" ht="12.75" customHeight="1"/>
    <row r="9066" ht="12.75" customHeight="1"/>
    <row r="9067" ht="12.75" customHeight="1"/>
    <row r="9068" ht="12.75" customHeight="1"/>
    <row r="9069" ht="12.75" customHeight="1"/>
    <row r="9070" ht="12.75" customHeight="1">
      <c r="F9070" s="74"/>
      <c r="H9070" s="74"/>
    </row>
    <row r="9071" ht="12.75" customHeight="1"/>
    <row r="9072" ht="12.75" customHeight="1"/>
    <row r="9073" ht="12.75" customHeight="1"/>
    <row r="9074" ht="12.75" customHeight="1"/>
    <row r="9075" ht="12.75" customHeight="1"/>
    <row r="9076" ht="12.75" customHeight="1"/>
    <row r="9077" ht="12.75" customHeight="1"/>
    <row r="9078" ht="12.75" customHeight="1"/>
    <row r="9079" ht="12.75" customHeight="1"/>
    <row r="9080" ht="12.75" customHeight="1"/>
    <row r="9081" ht="12.75" customHeight="1"/>
    <row r="9082" ht="12.75" customHeight="1"/>
    <row r="9083" ht="12.75" customHeight="1"/>
    <row r="9084" ht="12.75" customHeight="1"/>
    <row r="9085" ht="12.75" customHeight="1"/>
    <row r="9086" ht="12.75" customHeight="1"/>
    <row r="9087" ht="12.75" customHeight="1"/>
    <row r="9088" ht="12.75" customHeight="1"/>
    <row r="9089" ht="12.75" customHeight="1"/>
    <row r="9090" ht="12.75" customHeight="1"/>
    <row r="9091" ht="12.75" customHeight="1"/>
    <row r="9092" ht="12.75" customHeight="1"/>
    <row r="9093" ht="12.75" customHeight="1"/>
    <row r="9094" ht="12.75" customHeight="1"/>
    <row r="9095" ht="12.75" customHeight="1"/>
    <row r="9096" ht="12.75" customHeight="1"/>
    <row r="9097" ht="12.75" customHeight="1"/>
    <row r="9098" ht="12.75" customHeight="1"/>
    <row r="9099" ht="12.75" customHeight="1"/>
    <row r="9100" ht="12.75" customHeight="1"/>
    <row r="9101" ht="12.75" customHeight="1"/>
    <row r="9102" ht="12.75" customHeight="1"/>
    <row r="9103" ht="12.75" customHeight="1"/>
    <row r="9104" ht="12.75" customHeight="1"/>
    <row r="9105" ht="12.75" customHeight="1"/>
    <row r="9106" ht="12.75" customHeight="1"/>
    <row r="9107" ht="12.75" customHeight="1"/>
    <row r="9108" ht="12.75" customHeight="1"/>
    <row r="9109" ht="12.75" customHeight="1"/>
    <row r="9110" ht="12.75" customHeight="1"/>
    <row r="9111" ht="12.75" customHeight="1"/>
    <row r="9112" ht="12.75" customHeight="1"/>
    <row r="9113" ht="12.75" customHeight="1"/>
    <row r="9114" ht="12.75" customHeight="1"/>
    <row r="9115" ht="12.75" customHeight="1"/>
    <row r="9116" ht="12.75" customHeight="1"/>
    <row r="9117" ht="12.75" customHeight="1"/>
    <row r="9118" ht="12.75" customHeight="1"/>
    <row r="9119" ht="12.75" customHeight="1"/>
    <row r="9120" ht="12.75" customHeight="1"/>
    <row r="9121" ht="12.75" customHeight="1"/>
    <row r="9122" ht="12.75" customHeight="1"/>
    <row r="9123" ht="12.75" customHeight="1"/>
    <row r="9124" ht="12.75" customHeight="1"/>
    <row r="9125" ht="12.75" customHeight="1"/>
    <row r="9126" ht="12.75" customHeight="1">
      <c r="F9126" s="74"/>
      <c r="H9126" s="74"/>
    </row>
    <row r="9127" ht="12.75" customHeight="1">
      <c r="F9127" s="74"/>
      <c r="H9127" s="74"/>
    </row>
    <row r="9128" ht="12.75" customHeight="1">
      <c r="F9128" s="74"/>
      <c r="H9128" s="74"/>
    </row>
    <row r="9129" ht="12.75" customHeight="1"/>
    <row r="9130" ht="12.75" customHeight="1"/>
    <row r="9131" ht="12.75" customHeight="1"/>
    <row r="9132" ht="12.75" customHeight="1"/>
    <row r="9133" ht="12.75" customHeight="1"/>
    <row r="9134" ht="12.75" customHeight="1"/>
    <row r="9135" ht="12.75" customHeight="1"/>
    <row r="9136" ht="12.75" customHeight="1"/>
    <row r="9137" ht="12.75" customHeight="1"/>
    <row r="9138" ht="12.75" customHeight="1"/>
    <row r="9139" ht="12.75" customHeight="1">
      <c r="F9139" s="74"/>
      <c r="H9139" s="74"/>
    </row>
    <row r="9140" ht="12.75" customHeight="1">
      <c r="F9140" s="74"/>
      <c r="H9140" s="74"/>
    </row>
    <row r="9141" ht="12.75" customHeight="1">
      <c r="F9141" s="74"/>
      <c r="H9141" s="74"/>
    </row>
    <row r="9142" ht="12.75" customHeight="1"/>
    <row r="9143" ht="12.75" customHeight="1"/>
    <row r="9144" ht="12.75" customHeight="1"/>
    <row r="9145" ht="12.75" customHeight="1"/>
    <row r="9146" ht="12.75" customHeight="1"/>
    <row r="9147" ht="12.75" customHeight="1"/>
    <row r="9148" ht="12.75" customHeight="1"/>
    <row r="9149" ht="12.75" customHeight="1"/>
    <row r="9150" ht="12.75" customHeight="1"/>
    <row r="9151" ht="12.75" customHeight="1"/>
    <row r="9152" ht="12.75" customHeight="1"/>
    <row r="9153" ht="12.75" customHeight="1"/>
    <row r="9154" ht="12.75" customHeight="1"/>
    <row r="9155" ht="12.75" customHeight="1"/>
    <row r="9156" ht="12.75" customHeight="1"/>
    <row r="9157" ht="12.75" customHeight="1"/>
    <row r="9158" ht="12.75" customHeight="1"/>
    <row r="9159" ht="12.75" customHeight="1"/>
    <row r="9160" ht="12.75" customHeight="1"/>
    <row r="9161" ht="12.75" customHeight="1"/>
    <row r="9162" ht="12.75" customHeight="1"/>
    <row r="9163" ht="12.75" customHeight="1"/>
    <row r="9164" ht="12.75" customHeight="1"/>
    <row r="9165" ht="12.75" customHeight="1"/>
    <row r="9166" ht="12.75" customHeight="1"/>
    <row r="9167" ht="12.75" customHeight="1"/>
    <row r="9168" ht="12.75" customHeight="1"/>
    <row r="9169" ht="12.75" customHeight="1"/>
    <row r="9170" ht="12.75" customHeight="1"/>
    <row r="9171" ht="12.75" customHeight="1"/>
    <row r="9172" ht="12.75" customHeight="1"/>
    <row r="9173" ht="12.75" customHeight="1"/>
    <row r="9174" ht="12.75" customHeight="1"/>
    <row r="9175" ht="12.75" customHeight="1"/>
    <row r="9176" ht="12.75" customHeight="1"/>
    <row r="9177" ht="12.75" customHeight="1"/>
    <row r="9178" ht="12.75" customHeight="1"/>
    <row r="9179" ht="12.75" customHeight="1"/>
    <row r="9180" ht="12.75" customHeight="1"/>
    <row r="9181" ht="12.75" customHeight="1"/>
    <row r="9182" ht="12.75" customHeight="1"/>
    <row r="9183" ht="12.75" customHeight="1"/>
    <row r="9184" ht="12.75" customHeight="1"/>
    <row r="9185" ht="12.75" customHeight="1"/>
    <row r="9186" ht="12.75" customHeight="1"/>
    <row r="9187" ht="12.75" customHeight="1"/>
    <row r="9188" ht="12.75" customHeight="1"/>
    <row r="9189" ht="12.75" customHeight="1"/>
    <row r="9190" ht="12.75" customHeight="1"/>
    <row r="9191" ht="12.75" customHeight="1"/>
    <row r="9192" ht="12.75" customHeight="1"/>
    <row r="9193" ht="12.75" customHeight="1"/>
    <row r="9194" ht="12.75" customHeight="1"/>
    <row r="9195" ht="12.75" customHeight="1"/>
    <row r="9196" ht="12.75" customHeight="1"/>
    <row r="9197" ht="12.75" customHeight="1"/>
    <row r="9198" ht="12.75" customHeight="1"/>
    <row r="9199" ht="12.75" customHeight="1"/>
    <row r="9200" ht="12.75" customHeight="1"/>
    <row r="9201" ht="12.75" customHeight="1"/>
    <row r="9202" ht="12.75" customHeight="1"/>
    <row r="9203" ht="12.75" customHeight="1"/>
    <row r="9204" ht="12.75" customHeight="1"/>
    <row r="9205" ht="12.75" customHeight="1"/>
    <row r="9206" ht="12.75" customHeight="1"/>
    <row r="9207" ht="12.75" customHeight="1"/>
    <row r="9208" ht="12.75" customHeight="1"/>
    <row r="9209" ht="12.75" customHeight="1"/>
    <row r="9210" ht="12.75" customHeight="1"/>
    <row r="9211" ht="12.75" customHeight="1"/>
    <row r="9212" ht="12.75" customHeight="1"/>
    <row r="9213" ht="12.75" customHeight="1">
      <c r="AG9213" s="74"/>
    </row>
    <row r="9214" ht="12.75" customHeight="1"/>
    <row r="9215" ht="12.75" customHeight="1">
      <c r="AG9215" s="74"/>
    </row>
    <row r="9216" ht="12.75" customHeight="1"/>
    <row r="9217" ht="12.75" customHeight="1"/>
    <row r="9218" ht="12.75" customHeight="1">
      <c r="AG9218" s="74"/>
    </row>
    <row r="9219" ht="12.75" customHeight="1"/>
    <row r="9220" ht="12.75" customHeight="1"/>
    <row r="9221" ht="12.75" customHeight="1"/>
    <row r="9222" ht="12.75" customHeight="1"/>
    <row r="9223" ht="12.75" customHeight="1"/>
    <row r="9224" ht="12.75" customHeight="1"/>
    <row r="9225" ht="12.75" customHeight="1"/>
    <row r="9226" ht="12.75" customHeight="1"/>
    <row r="9227" ht="12.75" customHeight="1"/>
    <row r="9228" ht="12.75" customHeight="1"/>
    <row r="9229" ht="12.75" customHeight="1"/>
    <row r="9230" ht="12.75" customHeight="1"/>
    <row r="9231" ht="12.75" customHeight="1"/>
    <row r="9232" ht="12.75" customHeight="1"/>
    <row r="9233" ht="12.75" customHeight="1"/>
    <row r="9234" ht="12.75" customHeight="1"/>
    <row r="9235" ht="12.75" customHeight="1"/>
    <row r="9236" ht="12.75" customHeight="1"/>
    <row r="9237" ht="12.75" customHeight="1"/>
    <row r="9238" ht="12.75" customHeight="1"/>
    <row r="9239" ht="12.75" customHeight="1"/>
    <row r="9240" ht="12.75" customHeight="1"/>
    <row r="9241" ht="12.75" customHeight="1"/>
    <row r="9242" ht="12.75" customHeight="1"/>
    <row r="9243" ht="12.75" customHeight="1"/>
    <row r="9244" ht="12.75" customHeight="1">
      <c r="AG9244" s="74"/>
    </row>
    <row r="9245" ht="12.75" customHeight="1">
      <c r="AG9245" s="74"/>
    </row>
    <row r="9246" ht="12.75" customHeight="1"/>
    <row r="9247" ht="12.75" customHeight="1"/>
    <row r="9248" ht="12.75" customHeight="1"/>
    <row r="9249" ht="12.75" customHeight="1"/>
    <row r="9250" ht="12.75" customHeight="1"/>
    <row r="9251" ht="12.75" customHeight="1"/>
    <row r="9252" ht="12.75" customHeight="1"/>
    <row r="9253" ht="12.75" customHeight="1"/>
    <row r="9254" ht="12.75" customHeight="1"/>
    <row r="9255" ht="12.75" customHeight="1"/>
    <row r="9256" ht="12.75" customHeight="1"/>
    <row r="9257" ht="12.75" customHeight="1"/>
    <row r="9258" ht="12.75" customHeight="1"/>
    <row r="9259" ht="12.75" customHeight="1"/>
    <row r="9260" ht="12.75" customHeight="1"/>
    <row r="9261" ht="12.75" customHeight="1"/>
    <row r="9262" ht="12.75" customHeight="1"/>
    <row r="9263" ht="12.75" customHeight="1"/>
    <row r="9264" ht="12.75" customHeight="1"/>
    <row r="9265" ht="12.75" customHeight="1"/>
    <row r="9266" ht="12.75" customHeight="1"/>
    <row r="9267" ht="12.75" customHeight="1"/>
    <row r="9268" ht="12.75" customHeight="1"/>
    <row r="9269" ht="12.75" customHeight="1"/>
    <row r="9270" ht="12.75" customHeight="1"/>
    <row r="9271" ht="12.75" customHeight="1"/>
    <row r="9272" ht="12.75" customHeight="1"/>
    <row r="9273" ht="12.75" customHeight="1"/>
    <row r="9274" ht="12.75" customHeight="1"/>
    <row r="9275" ht="12.75" customHeight="1"/>
    <row r="9276" ht="12.75" customHeight="1"/>
    <row r="9277" ht="12.75" customHeight="1"/>
    <row r="9278" ht="12.75" customHeight="1"/>
    <row r="9279" ht="12.75" customHeight="1"/>
    <row r="9280" ht="12.75" customHeight="1"/>
    <row r="9281" ht="12.75" customHeight="1"/>
    <row r="9282" ht="12.75" customHeight="1"/>
    <row r="9283" ht="12.75" customHeight="1"/>
    <row r="9284" ht="12.75" customHeight="1"/>
    <row r="9285" ht="12.75" customHeight="1"/>
    <row r="9286" ht="12.75" customHeight="1"/>
    <row r="9287" ht="12.75" customHeight="1"/>
    <row r="9288" ht="12.75" customHeight="1"/>
    <row r="9289" ht="12.75" customHeight="1"/>
    <row r="9290" ht="12.75" customHeight="1"/>
    <row r="9291" ht="12.75" customHeight="1"/>
    <row r="9292" ht="12.75" customHeight="1"/>
    <row r="9293" ht="12.75" customHeight="1"/>
    <row r="9294" ht="12.75" customHeight="1"/>
    <row r="9295" ht="12.75" customHeight="1"/>
    <row r="9296" ht="12.75" customHeight="1"/>
    <row r="9297" ht="12.75" customHeight="1"/>
    <row r="9298" ht="12.75" customHeight="1">
      <c r="F9298" s="74"/>
      <c r="H9298" s="74"/>
    </row>
    <row r="9299" ht="12.75" customHeight="1"/>
    <row r="9300" ht="12.75" customHeight="1">
      <c r="F9300" s="74"/>
      <c r="H9300" s="74"/>
    </row>
    <row r="9301" ht="12.75" customHeight="1"/>
    <row r="9302" ht="12.75" customHeight="1"/>
    <row r="9303" ht="12.75" customHeight="1"/>
    <row r="9304" ht="12.75" customHeight="1"/>
    <row r="9305" ht="12.75" customHeight="1"/>
    <row r="9306" ht="12.75" customHeight="1"/>
    <row r="9307" ht="12.75" customHeight="1"/>
    <row r="9308" ht="12.75" customHeight="1"/>
    <row r="9309" ht="12.75" customHeight="1"/>
    <row r="9310" ht="12.75" customHeight="1"/>
    <row r="9311" ht="12.75" customHeight="1"/>
    <row r="9312" ht="12.75" customHeight="1"/>
    <row r="9313" ht="12.75" customHeight="1"/>
    <row r="9314" ht="12.75" customHeight="1"/>
    <row r="9315" ht="12.75" customHeight="1"/>
    <row r="9316" ht="12.75" customHeight="1"/>
    <row r="9317" ht="12.75" customHeight="1"/>
    <row r="9318" ht="12.75" customHeight="1"/>
    <row r="9319" ht="12.75" customHeight="1"/>
    <row r="9320" ht="12.75" customHeight="1"/>
    <row r="9321" ht="12.75" customHeight="1"/>
    <row r="9322" ht="12.75" customHeight="1"/>
    <row r="9323" ht="12.75" customHeight="1"/>
    <row r="9324" ht="12.75" customHeight="1"/>
    <row r="9325" ht="12.75" customHeight="1"/>
    <row r="9326" ht="12.75" customHeight="1"/>
    <row r="9327" ht="12.75" customHeight="1"/>
    <row r="9328" ht="12.75" customHeight="1"/>
    <row r="9329" ht="12.75" customHeight="1"/>
    <row r="9330" ht="12.75" customHeight="1"/>
    <row r="9331" ht="12.75" customHeight="1"/>
    <row r="9332" ht="12.75" customHeight="1"/>
    <row r="9333" ht="12.75" customHeight="1"/>
    <row r="9334" ht="12.75" customHeight="1"/>
    <row r="9335" ht="12.75" customHeight="1"/>
    <row r="9336" ht="12.75" customHeight="1"/>
    <row r="9337" ht="12.75" customHeight="1"/>
    <row r="9338" ht="12.75" customHeight="1"/>
    <row r="9339" ht="12.75" customHeight="1"/>
    <row r="9340" ht="12.75" customHeight="1"/>
    <row r="9341" ht="12.75" customHeight="1"/>
    <row r="9342" ht="12.75" customHeight="1"/>
    <row r="9343" ht="12.75" customHeight="1"/>
    <row r="9344" ht="12.75" customHeight="1"/>
    <row r="9345" ht="12.75" customHeight="1"/>
    <row r="9346" ht="12.75" customHeight="1"/>
    <row r="9347" ht="12.75" customHeight="1"/>
    <row r="9348" ht="12.75" customHeight="1"/>
    <row r="9349" ht="12.75" customHeight="1"/>
    <row r="9350" ht="12.75" customHeight="1"/>
    <row r="9351" ht="12.75" customHeight="1"/>
    <row r="9352" ht="12.75" customHeight="1"/>
    <row r="9353" ht="12.75" customHeight="1"/>
    <row r="9354" ht="12.75" customHeight="1"/>
    <row r="9355" ht="12.75" customHeight="1"/>
    <row r="9356" ht="12.75" customHeight="1">
      <c r="F9356" s="74"/>
      <c r="H9356" s="74"/>
    </row>
    <row r="9357" ht="12.75" customHeight="1"/>
    <row r="9358" ht="12.75" customHeight="1"/>
    <row r="9359" ht="12.75" customHeight="1"/>
    <row r="9360" ht="12.75" customHeight="1"/>
    <row r="9361" ht="12.75" customHeight="1"/>
    <row r="9362" ht="12.75" customHeight="1"/>
    <row r="9363" ht="12.75" customHeight="1"/>
    <row r="9364" ht="12.75" customHeight="1"/>
    <row r="9365" ht="12.75" customHeight="1"/>
    <row r="9366" ht="12.75" customHeight="1"/>
    <row r="9367" ht="12.75" customHeight="1"/>
    <row r="9368" ht="12.75" customHeight="1"/>
    <row r="9369" ht="12.75" customHeight="1"/>
    <row r="9370" ht="12.75" customHeight="1"/>
    <row r="9371" ht="12.75" customHeight="1"/>
    <row r="9372" ht="12.75" customHeight="1"/>
    <row r="9373" ht="12.75" customHeight="1"/>
    <row r="9374" ht="12.75" customHeight="1"/>
    <row r="9375" ht="12.75" customHeight="1"/>
    <row r="9376" ht="12.75" customHeight="1"/>
    <row r="9377" ht="12.75" customHeight="1"/>
    <row r="9378" ht="12.75" customHeight="1"/>
    <row r="9379" ht="12.75" customHeight="1"/>
    <row r="9380" ht="12.75" customHeight="1"/>
    <row r="9381" ht="12.75" customHeight="1"/>
    <row r="9382" ht="12.75" customHeight="1"/>
    <row r="9383" ht="12.75" customHeight="1"/>
    <row r="9384" ht="12.75" customHeight="1"/>
    <row r="9385" ht="12.75" customHeight="1"/>
    <row r="9386" ht="12.75" customHeight="1"/>
    <row r="9387" ht="12.75" customHeight="1"/>
    <row r="9388" ht="12.75" customHeight="1"/>
    <row r="9389" ht="12.75" customHeight="1"/>
    <row r="9390" ht="12.75" customHeight="1"/>
    <row r="9391" ht="12.75" customHeight="1"/>
    <row r="9392" ht="12.75" customHeight="1"/>
    <row r="9393" ht="12.75" customHeight="1"/>
    <row r="9394" ht="12.75" customHeight="1">
      <c r="F9394" s="74"/>
      <c r="H9394" s="74"/>
    </row>
    <row r="9395" ht="12.75" customHeight="1"/>
    <row r="9396" ht="12.75" customHeight="1"/>
    <row r="9397" ht="12.75" customHeight="1"/>
    <row r="9398" ht="12.75" customHeight="1"/>
    <row r="9399" ht="12.75" customHeight="1"/>
    <row r="9400" ht="12.75" customHeight="1"/>
    <row r="9401" ht="12.75" customHeight="1"/>
    <row r="9402" ht="12.75" customHeight="1"/>
    <row r="9403" ht="12.75" customHeight="1"/>
    <row r="9404" ht="12.75" customHeight="1"/>
    <row r="9405" ht="12.75" customHeight="1"/>
    <row r="9406" ht="12.75" customHeight="1"/>
    <row r="9407" ht="12.75" customHeight="1"/>
    <row r="9408" ht="12.75" customHeight="1"/>
    <row r="9409" ht="12.75" customHeight="1"/>
    <row r="9410" ht="12.75" customHeight="1"/>
    <row r="9411" ht="12.75" customHeight="1"/>
    <row r="9412" ht="12.75" customHeight="1"/>
    <row r="9413" ht="12.75" customHeight="1"/>
    <row r="9414" ht="12.75" customHeight="1"/>
    <row r="9415" ht="12.75" customHeight="1"/>
    <row r="9416" ht="12.75" customHeight="1"/>
    <row r="9417" ht="12.75" customHeight="1"/>
    <row r="9418" ht="12.75" customHeight="1"/>
    <row r="9419" ht="12.75" customHeight="1"/>
    <row r="9420" ht="12.75" customHeight="1"/>
    <row r="9421" ht="12.75" customHeight="1"/>
    <row r="9422" ht="12.75" customHeight="1"/>
    <row r="9423" ht="12.75" customHeight="1"/>
    <row r="9424" ht="12.75" customHeight="1"/>
    <row r="9425" ht="12.75" customHeight="1"/>
    <row r="9426" ht="12.75" customHeight="1"/>
    <row r="9427" ht="12.75" customHeight="1"/>
    <row r="9428" ht="12.75" customHeight="1"/>
    <row r="9429" ht="12.75" customHeight="1"/>
    <row r="9430" ht="12.75" customHeight="1"/>
    <row r="9431" ht="12.75" customHeight="1"/>
    <row r="9432" ht="12.75" customHeight="1"/>
    <row r="9433" ht="12.75" customHeight="1"/>
    <row r="9434" ht="12.75" customHeight="1"/>
    <row r="9435" ht="12.75" customHeight="1"/>
    <row r="9436" ht="12.75" customHeight="1"/>
    <row r="9437" ht="12.75" customHeight="1"/>
    <row r="9438" ht="12.75" customHeight="1"/>
    <row r="9439" ht="12.75" customHeight="1"/>
    <row r="9440" ht="12.75" customHeight="1"/>
    <row r="9441" ht="12.75" customHeight="1"/>
    <row r="9442" ht="12.75" customHeight="1"/>
    <row r="9443" ht="12.75" customHeight="1"/>
    <row r="9444" ht="12.75" customHeight="1"/>
    <row r="9445" ht="12.75" customHeight="1"/>
    <row r="9446" ht="12.75" customHeight="1"/>
    <row r="9447" ht="12.75" customHeight="1"/>
    <row r="9448" ht="12.75" customHeight="1"/>
    <row r="9449" ht="12.75" customHeight="1"/>
    <row r="9450" ht="12.75" customHeight="1"/>
    <row r="9451" ht="12.75" customHeight="1"/>
    <row r="9452" ht="12.75" customHeight="1"/>
    <row r="9453" ht="12.75" customHeight="1"/>
    <row r="9454" ht="12.75" customHeight="1"/>
    <row r="9455" ht="12.75" customHeight="1"/>
    <row r="9456" ht="12.75" customHeight="1"/>
    <row r="9457" ht="12.75" customHeight="1"/>
    <row r="9458" ht="12.75" customHeight="1"/>
    <row r="9459" ht="12.75" customHeight="1"/>
    <row r="9460" ht="12.75" customHeight="1"/>
    <row r="9461" ht="12.75" customHeight="1"/>
    <row r="9462" ht="12.75" customHeight="1"/>
    <row r="9463" ht="12.75" customHeight="1"/>
    <row r="9464" ht="12.75" customHeight="1"/>
    <row r="9465" ht="12.75" customHeight="1"/>
    <row r="9466" ht="12.75" customHeight="1"/>
    <row r="9467" ht="12.75" customHeight="1"/>
    <row r="9468" ht="12.75" customHeight="1"/>
    <row r="9469" ht="12.75" customHeight="1"/>
    <row r="9470" ht="12.75" customHeight="1"/>
    <row r="9471" ht="12.75" customHeight="1"/>
    <row r="9472" ht="12.75" customHeight="1"/>
    <row r="9473" ht="12.75" customHeight="1"/>
    <row r="9474" ht="12.75" customHeight="1"/>
    <row r="9475" ht="12.75" customHeight="1"/>
    <row r="9476" ht="12.75" customHeight="1"/>
    <row r="9477" ht="12.75" customHeight="1"/>
    <row r="9478" ht="12.75" customHeight="1"/>
    <row r="9479" ht="12.75" customHeight="1"/>
    <row r="9480" ht="12.75" customHeight="1"/>
    <row r="9481" ht="12.75" customHeight="1"/>
    <row r="9482" ht="12.75" customHeight="1"/>
    <row r="9483" ht="12.75" customHeight="1"/>
    <row r="9484" ht="12.75" customHeight="1"/>
    <row r="9485" ht="12.75" customHeight="1"/>
    <row r="9486" ht="12.75" customHeight="1"/>
    <row r="9487" ht="12.75" customHeight="1"/>
    <row r="9488" ht="12.75" customHeight="1"/>
    <row r="9489" ht="12.75" customHeight="1"/>
    <row r="9490" ht="12.75" customHeight="1"/>
    <row r="9491" ht="12.75" customHeight="1"/>
    <row r="9492" ht="12.75" customHeight="1"/>
    <row r="9493" ht="12.75" customHeight="1"/>
    <row r="9494" ht="12.75" customHeight="1"/>
    <row r="9495" ht="12.75" customHeight="1"/>
    <row r="9496" ht="12.75" customHeight="1"/>
    <row r="9497" ht="12.75" customHeight="1"/>
    <row r="9498" ht="12.75" customHeight="1"/>
    <row r="9499" ht="12.75" customHeight="1"/>
    <row r="9500" ht="12.75" customHeight="1"/>
    <row r="9501" ht="12.75" customHeight="1"/>
    <row r="9502" ht="12.75" customHeight="1"/>
    <row r="9503" ht="12.75" customHeight="1"/>
    <row r="9504" ht="12.75" customHeight="1"/>
    <row r="9505" ht="12.75" customHeight="1"/>
    <row r="9506" ht="12.75" customHeight="1"/>
    <row r="9507" ht="12.75" customHeight="1"/>
    <row r="9508" ht="12.75" customHeight="1"/>
    <row r="9509" ht="12.75" customHeight="1"/>
    <row r="9510" ht="12.75" customHeight="1"/>
    <row r="9511" ht="12.75" customHeight="1"/>
    <row r="9512" ht="12.75" customHeight="1"/>
    <row r="9513" ht="12.75" customHeight="1"/>
    <row r="9514" ht="12.75" customHeight="1"/>
    <row r="9515" ht="12.75" customHeight="1"/>
    <row r="9516" ht="12.75" customHeight="1"/>
    <row r="9517" ht="12.75" customHeight="1"/>
    <row r="9518" ht="12.75" customHeight="1"/>
    <row r="9519" ht="12.75" customHeight="1"/>
    <row r="9520" ht="12.75" customHeight="1"/>
    <row r="9521" ht="12.75" customHeight="1"/>
    <row r="9522" ht="12.75" customHeight="1">
      <c r="AG9522" s="74"/>
    </row>
    <row r="9523" ht="12.75" customHeight="1">
      <c r="AG9523" s="74"/>
    </row>
    <row r="9524" ht="12.75" customHeight="1"/>
    <row r="9525" ht="12.75" customHeight="1"/>
    <row r="9526" ht="12.75" customHeight="1">
      <c r="AG9526" s="74"/>
    </row>
    <row r="9527" ht="12.75" customHeight="1"/>
    <row r="9528" ht="12.75" customHeight="1"/>
    <row r="9529" ht="12.75" customHeight="1"/>
    <row r="9530" ht="12.75" customHeight="1"/>
    <row r="9531" ht="12.75" customHeight="1"/>
    <row r="9532" ht="12.75" customHeight="1"/>
    <row r="9533" ht="12.75" customHeight="1"/>
    <row r="9534" ht="12.75" customHeight="1"/>
    <row r="9535" ht="12.75" customHeight="1"/>
    <row r="9536" ht="12.75" customHeight="1"/>
    <row r="9537" ht="12.75" customHeight="1"/>
    <row r="9538" ht="12.75" customHeight="1"/>
    <row r="9539" ht="12.75" customHeight="1"/>
    <row r="9540" ht="12.75" customHeight="1"/>
    <row r="9541" ht="12.75" customHeight="1"/>
    <row r="9542" ht="12.75" customHeight="1"/>
    <row r="9543" ht="12.75" customHeight="1"/>
    <row r="9544" ht="12.75" customHeight="1"/>
    <row r="9545" ht="12.75" customHeight="1"/>
    <row r="9546" ht="12.75" customHeight="1"/>
    <row r="9547" ht="12.75" customHeight="1"/>
    <row r="9548" ht="12.75" customHeight="1"/>
    <row r="9549" ht="12.75" customHeight="1"/>
    <row r="9550" ht="12.75" customHeight="1"/>
    <row r="9551" ht="12.75" customHeight="1"/>
    <row r="9552" ht="12.75" customHeight="1"/>
    <row r="9553" ht="12.75" customHeight="1"/>
    <row r="9554" ht="12.75" customHeight="1"/>
    <row r="9555" ht="12.75" customHeight="1"/>
    <row r="9556" ht="12.75" customHeight="1"/>
    <row r="9557" ht="12.75" customHeight="1"/>
    <row r="9558" ht="12.75" customHeight="1"/>
    <row r="9559" ht="12.75" customHeight="1"/>
    <row r="9560" ht="12.75" customHeight="1"/>
    <row r="9561" ht="12.75" customHeight="1"/>
    <row r="9562" ht="12.75" customHeight="1"/>
    <row r="9563" ht="12.75" customHeight="1"/>
    <row r="9564" ht="12.75" customHeight="1"/>
    <row r="9565" ht="12.75" customHeight="1"/>
    <row r="9566" ht="12.75" customHeight="1"/>
    <row r="9567" ht="12.75" customHeight="1"/>
    <row r="9568" ht="12.75" customHeight="1"/>
    <row r="9569" ht="12.75" customHeight="1"/>
    <row r="9570" ht="12.75" customHeight="1"/>
    <row r="9571" ht="12.75" customHeight="1"/>
    <row r="9572" ht="12.75" customHeight="1"/>
    <row r="9573" ht="12.75" customHeight="1"/>
    <row r="9574" ht="12.75" customHeight="1"/>
    <row r="9575" ht="12.75" customHeight="1"/>
    <row r="9576" ht="12.75" customHeight="1"/>
    <row r="9577" ht="12.75" customHeight="1"/>
    <row r="9578" ht="12.75" customHeight="1"/>
    <row r="9579" ht="12.75" customHeight="1"/>
    <row r="9580" ht="12.75" customHeight="1"/>
    <row r="9581" ht="12.75" customHeight="1"/>
    <row r="9582" ht="12.75" customHeight="1"/>
    <row r="9583" ht="12.75" customHeight="1"/>
    <row r="9584" ht="12.75" customHeight="1"/>
    <row r="9585" ht="12.75" customHeight="1"/>
    <row r="9586" ht="12.75" customHeight="1"/>
    <row r="9587" ht="12.75" customHeight="1"/>
    <row r="9588" ht="12.75" customHeight="1"/>
    <row r="9589" ht="12.75" customHeight="1"/>
    <row r="9590" ht="12.75" customHeight="1"/>
    <row r="9591" ht="12.75" customHeight="1"/>
    <row r="9592" ht="12.75" customHeight="1"/>
    <row r="9593" ht="12.75" customHeight="1"/>
    <row r="9594" ht="12.75" customHeight="1"/>
    <row r="9595" ht="12.75" customHeight="1"/>
    <row r="9596" ht="12.75" customHeight="1"/>
    <row r="9597" ht="12.75" customHeight="1"/>
    <row r="9598" ht="12.75" customHeight="1"/>
    <row r="9599" ht="12.75" customHeight="1"/>
    <row r="9600" ht="12.75" customHeight="1"/>
    <row r="9601" ht="12.75" customHeight="1"/>
    <row r="9602" ht="12.75" customHeight="1"/>
    <row r="9603" ht="12.75" customHeight="1"/>
    <row r="9604" ht="12.75" customHeight="1"/>
    <row r="9605" ht="12.75" customHeight="1"/>
    <row r="9606" ht="12.75" customHeight="1"/>
    <row r="9607" ht="12.75" customHeight="1"/>
    <row r="9608" ht="12.75" customHeight="1"/>
    <row r="9609" ht="12.75" customHeight="1"/>
    <row r="9610" ht="12.75" customHeight="1"/>
    <row r="9611" ht="12.75" customHeight="1"/>
    <row r="9612" ht="12.75" customHeight="1"/>
    <row r="9613" ht="12.75" customHeight="1"/>
    <row r="9614" ht="12.75" customHeight="1"/>
    <row r="9615" ht="12.75" customHeight="1"/>
    <row r="9616" ht="12.75" customHeight="1"/>
    <row r="9617" ht="12.75" customHeight="1"/>
    <row r="9618" ht="12.75" customHeight="1"/>
    <row r="9619" ht="12.75" customHeight="1"/>
    <row r="9620" ht="12.75" customHeight="1"/>
    <row r="9621" ht="12.75" customHeight="1"/>
    <row r="9622" ht="12.75" customHeight="1"/>
    <row r="9623" ht="12.75" customHeight="1"/>
    <row r="9624" ht="12.75" customHeight="1"/>
    <row r="9625" ht="12.75" customHeight="1"/>
    <row r="9626" ht="12.75" customHeight="1"/>
    <row r="9627" ht="12.75" customHeight="1"/>
    <row r="9628" ht="12.75" customHeight="1"/>
    <row r="9629" ht="12.75" customHeight="1"/>
    <row r="9630" ht="12.75" customHeight="1"/>
    <row r="9631" ht="12.75" customHeight="1"/>
    <row r="9632" ht="12.75" customHeight="1"/>
    <row r="9633" ht="12.75" customHeight="1"/>
    <row r="9634" ht="12.75" customHeight="1"/>
    <row r="9635" ht="12.75" customHeight="1"/>
    <row r="9636" ht="12.75" customHeight="1"/>
    <row r="9637" ht="12.75" customHeight="1"/>
    <row r="9638" ht="12.75" customHeight="1"/>
    <row r="9639" ht="12.75" customHeight="1"/>
    <row r="9640" ht="12.75" customHeight="1"/>
    <row r="9641" ht="12.75" customHeight="1"/>
    <row r="9642" ht="12.75" customHeight="1"/>
    <row r="9643" ht="12.75" customHeight="1"/>
    <row r="9644" ht="12.75" customHeight="1"/>
    <row r="9645" ht="12.75" customHeight="1"/>
    <row r="9646" ht="12.75" customHeight="1"/>
    <row r="9647" ht="12.75" customHeight="1"/>
    <row r="9648" ht="12.75" customHeight="1"/>
    <row r="9649" ht="12.75" customHeight="1"/>
    <row r="9650" ht="12.75" customHeight="1"/>
    <row r="9651" ht="12.75" customHeight="1"/>
    <row r="9652" ht="12.75" customHeight="1"/>
    <row r="9653" ht="12.75" customHeight="1"/>
    <row r="9654" ht="12.75" customHeight="1"/>
    <row r="9655" ht="12.75" customHeight="1"/>
    <row r="9656" ht="12.75" customHeight="1"/>
    <row r="9657" ht="12.75" customHeight="1"/>
    <row r="9658" ht="12.75" customHeight="1"/>
    <row r="9659" ht="12.75" customHeight="1"/>
    <row r="9660" ht="12.75" customHeight="1"/>
    <row r="9661" ht="12.75" customHeight="1"/>
    <row r="9662" ht="12.75" customHeight="1"/>
    <row r="9663" ht="12.75" customHeight="1"/>
    <row r="9664" ht="12.75" customHeight="1"/>
    <row r="9665" ht="12.75" customHeight="1"/>
    <row r="9666" ht="12.75" customHeight="1"/>
    <row r="9667" ht="12.75" customHeight="1"/>
    <row r="9668" ht="12.75" customHeight="1"/>
    <row r="9669" ht="12.75" customHeight="1"/>
    <row r="9670" ht="12.75" customHeight="1"/>
    <row r="9671" ht="12.75" customHeight="1"/>
    <row r="9672" ht="12.75" customHeight="1"/>
    <row r="9673" ht="12.75" customHeight="1"/>
    <row r="9674" ht="12.75" customHeight="1"/>
    <row r="9675" ht="12.75" customHeight="1"/>
    <row r="9676" ht="12.75" customHeight="1"/>
    <row r="9677" ht="12.75" customHeight="1"/>
    <row r="9678" ht="12.75" customHeight="1"/>
    <row r="9679" ht="12.75" customHeight="1"/>
    <row r="9680" ht="12.75" customHeight="1"/>
    <row r="9681" ht="12.75" customHeight="1"/>
    <row r="9682" ht="12.75" customHeight="1">
      <c r="F9682" s="74"/>
      <c r="H9682" s="74"/>
    </row>
    <row r="9683" ht="12.75" customHeight="1"/>
    <row r="9684" ht="12.75" customHeight="1"/>
    <row r="9685" ht="12.75" customHeight="1"/>
    <row r="9686" ht="12.75" customHeight="1"/>
    <row r="9687" ht="12.75" customHeight="1"/>
    <row r="9688" ht="12.75" customHeight="1"/>
    <row r="9689" ht="12.75" customHeight="1"/>
    <row r="9690" ht="12.75" customHeight="1"/>
    <row r="9691" ht="12.75" customHeight="1"/>
    <row r="9692" ht="12.75" customHeight="1"/>
    <row r="9693" ht="12.75" customHeight="1"/>
    <row r="9694" ht="12.75" customHeight="1"/>
    <row r="9695" ht="12.75" customHeight="1"/>
    <row r="9696" ht="12.75" customHeight="1"/>
    <row r="9697" ht="12.75" customHeight="1"/>
    <row r="9698" ht="12.75" customHeight="1"/>
    <row r="9699" ht="12.75" customHeight="1"/>
    <row r="9700" ht="12.75" customHeight="1"/>
    <row r="9701" ht="12.75" customHeight="1"/>
    <row r="9702" ht="12.75" customHeight="1"/>
    <row r="9703" ht="12.75" customHeight="1"/>
    <row r="9704" ht="12.75" customHeight="1"/>
    <row r="9705" ht="12.75" customHeight="1"/>
    <row r="9706" ht="12.75" customHeight="1"/>
    <row r="9707" ht="12.75" customHeight="1"/>
    <row r="9708" ht="12.75" customHeight="1"/>
    <row r="9709" ht="12.75" customHeight="1"/>
    <row r="9710" ht="12.75" customHeight="1"/>
    <row r="9711" ht="12.75" customHeight="1"/>
    <row r="9712" ht="12.75" customHeight="1"/>
    <row r="9713" ht="12.75" customHeight="1"/>
    <row r="9714" ht="12.75" customHeight="1"/>
    <row r="9715" ht="12.75" customHeight="1"/>
    <row r="9716" ht="12.75" customHeight="1"/>
    <row r="9717" ht="12.75" customHeight="1"/>
    <row r="9718" ht="12.75" customHeight="1"/>
    <row r="9719" ht="12.75" customHeight="1"/>
    <row r="9720" ht="12.75" customHeight="1"/>
    <row r="9721" ht="12.75" customHeight="1"/>
    <row r="9722" ht="12.75" customHeight="1"/>
    <row r="9723" ht="12.75" customHeight="1"/>
    <row r="9724" ht="12.75" customHeight="1"/>
    <row r="9725" ht="12.75" customHeight="1"/>
    <row r="9726" ht="12.75" customHeight="1"/>
    <row r="9727" ht="12.75" customHeight="1"/>
    <row r="9728" ht="12.75" customHeight="1"/>
    <row r="9729" ht="12.75" customHeight="1"/>
    <row r="9730" ht="12.75" customHeight="1"/>
    <row r="9731" ht="12.75" customHeight="1"/>
    <row r="9732" ht="12.75" customHeight="1"/>
    <row r="9733" ht="12.75" customHeight="1"/>
    <row r="9734" ht="12.75" customHeight="1"/>
    <row r="9735" ht="12.75" customHeight="1"/>
    <row r="9736" ht="12.75" customHeight="1"/>
    <row r="9737" ht="12.75" customHeight="1"/>
    <row r="9738" ht="12.75" customHeight="1"/>
    <row r="9739" ht="12.75" customHeight="1"/>
    <row r="9740" ht="12.75" customHeight="1"/>
    <row r="9741" ht="12.75" customHeight="1"/>
    <row r="9742" ht="12.75" customHeight="1"/>
    <row r="9743" ht="12.75" customHeight="1"/>
    <row r="9744" ht="12.75" customHeight="1"/>
    <row r="9745" ht="12.75" customHeight="1"/>
    <row r="9746" ht="12.75" customHeight="1"/>
    <row r="9747" ht="12.75" customHeight="1"/>
    <row r="9748" ht="12.75" customHeight="1"/>
    <row r="9749" ht="12.75" customHeight="1"/>
    <row r="9750" ht="12.75" customHeight="1"/>
    <row r="9751" ht="12.75" customHeight="1"/>
    <row r="9752" ht="12.75" customHeight="1"/>
    <row r="9753" ht="12.75" customHeight="1"/>
    <row r="9754" ht="12.75" customHeight="1"/>
    <row r="9755" ht="12.75" customHeight="1"/>
    <row r="9756" ht="12.75" customHeight="1"/>
    <row r="9757" ht="12.75" customHeight="1"/>
    <row r="9758" ht="12.75" customHeight="1"/>
    <row r="9759" ht="12.75" customHeight="1"/>
    <row r="9760" ht="12.75" customHeight="1"/>
    <row r="9761" ht="12.75" customHeight="1"/>
    <row r="9762" ht="12.75" customHeight="1"/>
    <row r="9763" ht="12.75" customHeight="1"/>
    <row r="9764" ht="12.75" customHeight="1"/>
    <row r="9765" ht="12.75" customHeight="1"/>
    <row r="9766" ht="12.75" customHeight="1"/>
    <row r="9767" ht="12.75" customHeight="1"/>
    <row r="9768" ht="12.75" customHeight="1"/>
    <row r="9769" ht="12.75" customHeight="1"/>
    <row r="9770" ht="12.75" customHeight="1"/>
    <row r="9771" ht="12.75" customHeight="1"/>
    <row r="9772" ht="12.75" customHeight="1"/>
    <row r="9773" ht="12.75" customHeight="1"/>
    <row r="9774" ht="12.75" customHeight="1"/>
    <row r="9775" ht="12.75" customHeight="1"/>
    <row r="9776" ht="12.75" customHeight="1"/>
    <row r="9777" ht="12.75" customHeight="1"/>
    <row r="9778" ht="12.75" customHeight="1"/>
    <row r="9779" ht="12.75" customHeight="1"/>
    <row r="9780" ht="12.75" customHeight="1"/>
    <row r="9781" ht="12.75" customHeight="1"/>
    <row r="9782" ht="12.75" customHeight="1"/>
    <row r="9783" ht="12.75" customHeight="1"/>
    <row r="9784" ht="12.75" customHeight="1"/>
    <row r="9785" ht="12.75" customHeight="1"/>
    <row r="9786" ht="12.75" customHeight="1"/>
    <row r="9787" ht="12.75" customHeight="1"/>
    <row r="9788" ht="12.75" customHeight="1"/>
    <row r="9789" ht="12.75" customHeight="1"/>
    <row r="9790" ht="12.75" customHeight="1"/>
    <row r="9791" ht="12.75" customHeight="1"/>
    <row r="9792" ht="12.75" customHeight="1"/>
    <row r="9793" ht="12.75" customHeight="1"/>
    <row r="9794" ht="12.75" customHeight="1"/>
    <row r="9795" ht="12.75" customHeight="1"/>
    <row r="9796" ht="12.75" customHeight="1"/>
    <row r="9797" ht="12.75" customHeight="1"/>
    <row r="9798" ht="12.75" customHeight="1"/>
    <row r="9799" ht="12.75" customHeight="1"/>
    <row r="9800" ht="12.75" customHeight="1"/>
    <row r="9801" ht="12.75" customHeight="1"/>
    <row r="9802" ht="12.75" customHeight="1"/>
    <row r="9803" ht="12.75" customHeight="1"/>
    <row r="9804" ht="12.75" customHeight="1"/>
    <row r="9805" ht="12.75" customHeight="1"/>
    <row r="9806" ht="12.75" customHeight="1"/>
    <row r="9807" ht="12.75" customHeight="1"/>
    <row r="9808" ht="12.75" customHeight="1"/>
    <row r="9809" ht="12.75" customHeight="1"/>
    <row r="9810" ht="12.75" customHeight="1"/>
    <row r="9811" ht="12.75" customHeight="1"/>
    <row r="9812" ht="12.75" customHeight="1"/>
    <row r="9813" ht="12.75" customHeight="1"/>
    <row r="9814" ht="12.75" customHeight="1"/>
    <row r="9815" ht="12.75" customHeight="1"/>
    <row r="9816" ht="12.75" customHeight="1"/>
    <row r="9817" ht="12.75" customHeight="1"/>
    <row r="9818" ht="12.75" customHeight="1"/>
    <row r="9819" ht="12.75" customHeight="1"/>
    <row r="9820" ht="12.75" customHeight="1"/>
    <row r="9821" ht="12.75" customHeight="1"/>
    <row r="9822" ht="12.75" customHeight="1"/>
    <row r="9823" ht="12.75" customHeight="1"/>
    <row r="9824" ht="12.75" customHeight="1"/>
    <row r="9825" ht="12.75" customHeight="1"/>
    <row r="9826" ht="12.75" customHeight="1"/>
    <row r="9827" ht="12.75" customHeight="1"/>
    <row r="9828" ht="12.75" customHeight="1"/>
    <row r="9829" ht="12.75" customHeight="1"/>
    <row r="9830" ht="12.75" customHeight="1"/>
    <row r="9831" ht="12.75" customHeight="1"/>
    <row r="9832" ht="12.75" customHeight="1"/>
    <row r="9833" ht="12.75" customHeight="1"/>
    <row r="9834" ht="12.75" customHeight="1"/>
    <row r="9835" ht="12.75" customHeight="1"/>
    <row r="9836" ht="12.75" customHeight="1"/>
    <row r="9837" ht="12.75" customHeight="1"/>
    <row r="9838" ht="12.75" customHeight="1"/>
    <row r="9839" ht="12.75" customHeight="1"/>
    <row r="9840" ht="12.75" customHeight="1"/>
    <row r="9841" ht="12.75" customHeight="1"/>
    <row r="9842" ht="12.75" customHeight="1"/>
    <row r="9843" ht="12.75" customHeight="1"/>
    <row r="9844" ht="12.75" customHeight="1"/>
    <row r="9845" ht="12.75" customHeight="1"/>
    <row r="9846" ht="12.75" customHeight="1"/>
    <row r="9847" ht="12.75" customHeight="1"/>
    <row r="9848" ht="12.75" customHeight="1"/>
    <row r="9849" ht="12.75" customHeight="1"/>
    <row r="9850" ht="12.75" customHeight="1"/>
    <row r="9851" ht="12.75" customHeight="1"/>
    <row r="9852" ht="12.75" customHeight="1"/>
    <row r="9853" ht="12.75" customHeight="1"/>
    <row r="9854" ht="12.75" customHeight="1"/>
    <row r="9855" ht="12.75" customHeight="1"/>
    <row r="9856" ht="12.75" customHeight="1"/>
    <row r="9857" ht="12.75" customHeight="1"/>
    <row r="9858" ht="12.75" customHeight="1"/>
    <row r="9859" ht="12.75" customHeight="1"/>
    <row r="9860" ht="12.75" customHeight="1"/>
    <row r="9861" ht="12.75" customHeight="1"/>
    <row r="9862" ht="12.75" customHeight="1"/>
    <row r="9863" ht="12.75" customHeight="1"/>
    <row r="9864" ht="12.75" customHeight="1"/>
    <row r="9865" ht="12.75" customHeight="1"/>
    <row r="9866" ht="12.75" customHeight="1"/>
    <row r="9867" ht="12.75" customHeight="1"/>
    <row r="9868" ht="12.75" customHeight="1"/>
    <row r="9869" ht="12.75" customHeight="1"/>
    <row r="9870" ht="12.75" customHeight="1"/>
    <row r="9871" ht="12.75" customHeight="1"/>
    <row r="9872" ht="12.75" customHeight="1"/>
    <row r="9873" ht="12.75" customHeight="1"/>
    <row r="9874" ht="12.75" customHeight="1"/>
    <row r="9875" ht="12.75" customHeight="1"/>
    <row r="9876" ht="12.75" customHeight="1"/>
    <row r="9877" ht="12.75" customHeight="1"/>
    <row r="9878" ht="12.75" customHeight="1"/>
    <row r="9879" ht="12.75" customHeight="1"/>
    <row r="9880" ht="12.75" customHeight="1"/>
    <row r="9881" ht="12.75" customHeight="1"/>
    <row r="9882" ht="12.75" customHeight="1"/>
    <row r="9883" ht="12.75" customHeight="1"/>
    <row r="9884" ht="12.75" customHeight="1"/>
    <row r="9885" ht="12.75" customHeight="1"/>
    <row r="9886" ht="12.75" customHeight="1"/>
    <row r="9887" ht="12.75" customHeight="1"/>
    <row r="9888" ht="12.75" customHeight="1"/>
    <row r="9889" ht="12.75" customHeight="1"/>
    <row r="9890" ht="12.75" customHeight="1"/>
    <row r="9891" ht="12.75" customHeight="1"/>
    <row r="9892" ht="12.75" customHeight="1"/>
    <row r="9893" ht="12.75" customHeight="1"/>
    <row r="9894" ht="12.75" customHeight="1"/>
    <row r="9895" ht="12.75" customHeight="1"/>
    <row r="9896" ht="12.75" customHeight="1"/>
    <row r="9897" ht="12.75" customHeight="1"/>
    <row r="9898" ht="12.75" customHeight="1"/>
    <row r="9899" ht="12.75" customHeight="1"/>
    <row r="9900" ht="12.75" customHeight="1"/>
    <row r="9901" ht="12.75" customHeight="1"/>
    <row r="9902" ht="12.75" customHeight="1"/>
    <row r="9903" ht="12.75" customHeight="1"/>
    <row r="9904" ht="12.75" customHeight="1"/>
    <row r="9905" ht="12.75" customHeight="1"/>
    <row r="9906" ht="12.75" customHeight="1"/>
    <row r="9907" ht="12.75" customHeight="1"/>
    <row r="9908" ht="12.75" customHeight="1"/>
    <row r="9909" ht="12.75" customHeight="1"/>
    <row r="9910" ht="12.75" customHeight="1"/>
    <row r="9911" ht="12.75" customHeight="1"/>
    <row r="9912" ht="12.75" customHeight="1"/>
    <row r="9913" ht="12.75" customHeight="1"/>
    <row r="9914" ht="12.75" customHeight="1"/>
    <row r="9915" ht="12.75" customHeight="1"/>
    <row r="9916" ht="12.75" customHeight="1"/>
    <row r="9917" ht="12.75" customHeight="1">
      <c r="F9917" s="74"/>
      <c r="H9917" s="74"/>
    </row>
    <row r="9918" ht="12.75" customHeight="1"/>
    <row r="9919" ht="12.75" customHeight="1"/>
    <row r="9920" ht="12.75" customHeight="1"/>
    <row r="9921" ht="12.75" customHeight="1"/>
    <row r="9922" ht="12.75" customHeight="1"/>
    <row r="9923" ht="12.75" customHeight="1"/>
    <row r="9924" ht="12.75" customHeight="1"/>
    <row r="9925" ht="12.75" customHeight="1"/>
    <row r="9926" ht="12.75" customHeight="1"/>
    <row r="9927" ht="12.75" customHeight="1"/>
    <row r="9928" ht="12.75" customHeight="1"/>
    <row r="9929" ht="12.75" customHeight="1"/>
    <row r="9930" ht="12.75" customHeight="1"/>
    <row r="9931" ht="12.75" customHeight="1"/>
    <row r="9932" ht="12.75" customHeight="1"/>
    <row r="9933" ht="12.75" customHeight="1"/>
    <row r="9934" ht="12.75" customHeight="1"/>
    <row r="9935" ht="12.75" customHeight="1"/>
    <row r="9936" ht="12.75" customHeight="1"/>
    <row r="9937" ht="12.75" customHeight="1"/>
    <row r="9938" ht="12.75" customHeight="1">
      <c r="AG9938" s="74"/>
    </row>
    <row r="9939" ht="12.75" customHeight="1"/>
    <row r="9940" ht="12.75" customHeight="1">
      <c r="AG9940" s="74"/>
    </row>
    <row r="9941" ht="12.75" customHeight="1"/>
    <row r="9942" ht="12.75" customHeight="1"/>
    <row r="9943" ht="12.75" customHeight="1">
      <c r="AG9943" s="74"/>
    </row>
    <row r="9944" ht="12.75" customHeight="1"/>
    <row r="9945" ht="12.75" customHeight="1"/>
    <row r="9946" ht="12.75" customHeight="1"/>
    <row r="9947" ht="12.75" customHeight="1"/>
    <row r="9948" ht="12.75" customHeight="1"/>
    <row r="9949" ht="12.75" customHeight="1"/>
    <row r="9950" ht="12.75" customHeight="1"/>
    <row r="9951" ht="12.75" customHeight="1"/>
    <row r="9952" ht="12.75" customHeight="1"/>
    <row r="9953" ht="12.75" customHeight="1"/>
    <row r="9954" ht="12.75" customHeight="1"/>
    <row r="9955" ht="12.75" customHeight="1"/>
    <row r="9956" ht="12.75" customHeight="1"/>
    <row r="9957" ht="12.75" customHeight="1"/>
    <row r="9958" ht="12.75" customHeight="1"/>
    <row r="9959" ht="12.75" customHeight="1"/>
    <row r="9960" ht="12.75" customHeight="1"/>
    <row r="9961" ht="12.75" customHeight="1"/>
    <row r="9962" ht="12.75" customHeight="1"/>
    <row r="9963" ht="12.75" customHeight="1"/>
    <row r="9964" ht="12.75" customHeight="1"/>
    <row r="9965" ht="12.75" customHeight="1"/>
    <row r="9966" ht="12.75" customHeight="1"/>
    <row r="9967" ht="12.75" customHeight="1"/>
    <row r="9968" ht="12.75" customHeight="1"/>
    <row r="9969" ht="12.75" customHeight="1"/>
    <row r="9970" ht="12.75" customHeight="1"/>
    <row r="9971" ht="12.75" customHeight="1"/>
    <row r="9972" ht="12.75" customHeight="1"/>
    <row r="9973" ht="12.75" customHeight="1"/>
    <row r="9974" ht="12.75" customHeight="1"/>
    <row r="9975" ht="12.75" customHeight="1"/>
    <row r="9976" ht="12.75" customHeight="1"/>
    <row r="9977" ht="12.75" customHeight="1"/>
    <row r="9978" ht="12.75" customHeight="1"/>
    <row r="9979" ht="12.75" customHeight="1"/>
    <row r="9980" ht="12.75" customHeight="1"/>
    <row r="9981" ht="12.75" customHeight="1"/>
    <row r="9982" ht="12.75" customHeight="1"/>
    <row r="9983" ht="12.75" customHeight="1"/>
    <row r="9984" ht="12.75" customHeight="1"/>
    <row r="9985" ht="12.75" customHeight="1"/>
    <row r="9986" ht="12.75" customHeight="1"/>
    <row r="9987" ht="12.75" customHeight="1"/>
    <row r="9988" ht="12.75" customHeight="1"/>
    <row r="9989" ht="12.75" customHeight="1"/>
    <row r="9990" ht="12.75" customHeight="1"/>
    <row r="9991" ht="12.75" customHeight="1"/>
    <row r="9992" ht="12.75" customHeight="1"/>
    <row r="9993" ht="12.75" customHeight="1"/>
    <row r="9994" ht="12.75" customHeight="1"/>
    <row r="9995" ht="12.75" customHeight="1"/>
    <row r="9996" ht="12.75" customHeight="1"/>
    <row r="9997" ht="12.75" customHeight="1"/>
    <row r="9998" ht="12.75" customHeight="1"/>
    <row r="9999" ht="12.75" customHeight="1"/>
    <row r="10000" ht="12.75" customHeight="1"/>
    <row r="10001" ht="12.75" customHeight="1"/>
    <row r="10002" ht="12.75" customHeight="1"/>
    <row r="10003" ht="12.75" customHeight="1"/>
    <row r="10004" ht="12.75" customHeight="1"/>
    <row r="10005" ht="12.75" customHeight="1"/>
    <row r="10006" ht="12.75" customHeight="1"/>
    <row r="10007" ht="12.75" customHeight="1"/>
    <row r="10008" ht="12.75" customHeight="1"/>
    <row r="10009" ht="12.75" customHeight="1"/>
    <row r="10010" ht="12.75" customHeight="1"/>
    <row r="10011" ht="12.75" customHeight="1"/>
    <row r="10012" ht="12.75" customHeight="1"/>
    <row r="10013" ht="12.75" customHeight="1"/>
    <row r="10014" ht="12.75" customHeight="1"/>
    <row r="10015" ht="12.75" customHeight="1"/>
    <row r="10016" ht="12.75" customHeight="1"/>
    <row r="10017" ht="12.75" customHeight="1"/>
    <row r="10018" ht="12.75" customHeight="1"/>
    <row r="10019" ht="12.75" customHeight="1"/>
    <row r="10020" ht="12.75" customHeight="1"/>
    <row r="10021" ht="12.75" customHeight="1"/>
    <row r="10022" ht="12.75" customHeight="1"/>
    <row r="10023" ht="12.75" customHeight="1"/>
    <row r="10024" ht="12.75" customHeight="1"/>
    <row r="10025" ht="12.75" customHeight="1"/>
    <row r="10026" ht="12.75" customHeight="1"/>
    <row r="10027" ht="12.75" customHeight="1"/>
    <row r="10028" ht="12.75" customHeight="1"/>
    <row r="10029" ht="12.75" customHeight="1"/>
    <row r="10030" ht="12.75" customHeight="1"/>
    <row r="10031" ht="12.75" customHeight="1"/>
    <row r="10032" ht="12.75" customHeight="1"/>
    <row r="10033" ht="12.75" customHeight="1"/>
    <row r="10034" ht="12.75" customHeight="1"/>
    <row r="10035" ht="12.75" customHeight="1"/>
    <row r="10036" ht="12.75" customHeight="1"/>
    <row r="10037" ht="12.75" customHeight="1"/>
    <row r="10038" ht="12.75" customHeight="1"/>
    <row r="10039" ht="12.75" customHeight="1"/>
    <row r="10040" ht="12.75" customHeight="1"/>
    <row r="10041" ht="12.75" customHeight="1"/>
    <row r="10042" ht="12.75" customHeight="1"/>
    <row r="10043" ht="12.75" customHeight="1"/>
    <row r="10044" ht="12.75" customHeight="1"/>
    <row r="10045" ht="12.75" customHeight="1"/>
    <row r="10046" ht="12.75" customHeight="1"/>
    <row r="10047" ht="12.75" customHeight="1"/>
    <row r="10048" ht="12.75" customHeight="1"/>
    <row r="10049" ht="12.75" customHeight="1"/>
    <row r="10050" ht="12.75" customHeight="1"/>
    <row r="10051" ht="12.75" customHeight="1"/>
    <row r="10052" ht="12.75" customHeight="1"/>
    <row r="10053" ht="12.75" customHeight="1"/>
    <row r="10054" ht="12.75" customHeight="1"/>
    <row r="10055" ht="12.75" customHeight="1"/>
    <row r="10056" ht="12.75" customHeight="1"/>
    <row r="10057" ht="12.75" customHeight="1"/>
    <row r="10058" ht="12.75" customHeight="1"/>
    <row r="10059" ht="12.75" customHeight="1"/>
    <row r="10060" ht="12.75" customHeight="1"/>
    <row r="10061" ht="12.75" customHeight="1"/>
    <row r="10062" ht="12.75" customHeight="1"/>
    <row r="10063" ht="12.75" customHeight="1"/>
    <row r="10064" ht="12.75" customHeight="1"/>
    <row r="10065" ht="12.75" customHeight="1"/>
    <row r="10066" ht="12.75" customHeight="1"/>
    <row r="10067" ht="12.75" customHeight="1"/>
    <row r="10068" ht="12.75" customHeight="1"/>
    <row r="10069" ht="12.75" customHeight="1"/>
    <row r="10070" ht="12.75" customHeight="1"/>
    <row r="10071" ht="12.75" customHeight="1"/>
    <row r="10072" ht="12.75" customHeight="1"/>
    <row r="10073" ht="12.75" customHeight="1"/>
    <row r="10074" ht="12.75" customHeight="1"/>
    <row r="10075" ht="12.75" customHeight="1"/>
    <row r="10076" ht="12.75" customHeight="1"/>
    <row r="10077" ht="12.75" customHeight="1"/>
    <row r="10078" ht="12.75" customHeight="1"/>
    <row r="10079" ht="12.75" customHeight="1"/>
    <row r="10080" ht="12.75" customHeight="1"/>
    <row r="10081" ht="12.75" customHeight="1"/>
    <row r="10082" ht="12.75" customHeight="1"/>
    <row r="10083" ht="12.75" customHeight="1"/>
    <row r="10084" ht="12.75" customHeight="1"/>
    <row r="10085" ht="12.75" customHeight="1"/>
    <row r="10086" ht="12.75" customHeight="1"/>
    <row r="10087" ht="12.75" customHeight="1"/>
    <row r="10088" ht="12.75" customHeight="1"/>
    <row r="10089" ht="12.75" customHeight="1"/>
    <row r="10090" ht="12.75" customHeight="1"/>
    <row r="10091" ht="12.75" customHeight="1"/>
    <row r="10092" ht="12.75" customHeight="1"/>
    <row r="10093" ht="12.75" customHeight="1"/>
    <row r="10094" ht="12.75" customHeight="1"/>
    <row r="10095" ht="12.75" customHeight="1"/>
    <row r="10096" ht="12.75" customHeight="1"/>
    <row r="10097" ht="12.75" customHeight="1"/>
    <row r="10098" ht="12.75" customHeight="1"/>
    <row r="10099" ht="12.75" customHeight="1"/>
    <row r="10100" ht="12.75" customHeight="1"/>
    <row r="10101" ht="12.75" customHeight="1"/>
    <row r="10102" ht="12.75" customHeight="1"/>
    <row r="10103" ht="12.75" customHeight="1"/>
    <row r="10104" ht="12.75" customHeight="1"/>
    <row r="10105" ht="12.75" customHeight="1"/>
    <row r="10106" ht="12.75" customHeight="1"/>
    <row r="10107" ht="12.75" customHeight="1"/>
    <row r="10108" ht="12.75" customHeight="1"/>
    <row r="10109" ht="12.75" customHeight="1"/>
    <row r="10110" ht="12.75" customHeight="1"/>
    <row r="10111" ht="12.75" customHeight="1"/>
    <row r="10112" ht="12.75" customHeight="1"/>
    <row r="10113" ht="12.75" customHeight="1"/>
    <row r="10114" ht="12.75" customHeight="1"/>
    <row r="10115" ht="12.75" customHeight="1"/>
    <row r="10116" ht="12.75" customHeight="1"/>
    <row r="10117" ht="12.75" customHeight="1"/>
    <row r="10118" ht="12.75" customHeight="1"/>
    <row r="10119" ht="12.75" customHeight="1"/>
    <row r="10120" ht="12.75" customHeight="1"/>
    <row r="10121" ht="12.75" customHeight="1">
      <c r="F10121" s="74"/>
      <c r="H10121" s="74"/>
    </row>
    <row r="10122" ht="12.75" customHeight="1"/>
    <row r="10123" ht="12.75" customHeight="1"/>
    <row r="10124" ht="12.75" customHeight="1"/>
    <row r="10125" ht="12.75" customHeight="1"/>
    <row r="10126" ht="12.75" customHeight="1"/>
    <row r="10127" ht="12.75" customHeight="1"/>
    <row r="10128" ht="12.75" customHeight="1"/>
    <row r="10129" ht="12.75" customHeight="1"/>
    <row r="10130" ht="12.75" customHeight="1"/>
    <row r="10131" ht="12.75" customHeight="1"/>
    <row r="10132" ht="12.75" customHeight="1"/>
    <row r="10133" ht="12.75" customHeight="1"/>
    <row r="10134" ht="12.75" customHeight="1"/>
    <row r="10135" ht="12.75" customHeight="1"/>
    <row r="10136" ht="12.75" customHeight="1"/>
    <row r="10137" ht="12.75" customHeight="1"/>
    <row r="10138" ht="12.75" customHeight="1"/>
    <row r="10139" ht="12.75" customHeight="1"/>
    <row r="10140" ht="12.75" customHeight="1"/>
    <row r="10141" ht="12.75" customHeight="1"/>
    <row r="10142" ht="12.75" customHeight="1"/>
    <row r="10143" ht="12.75" customHeight="1"/>
    <row r="10144" ht="12.75" customHeight="1"/>
    <row r="10145" ht="12.75" customHeight="1"/>
    <row r="10146" ht="12.75" customHeight="1"/>
    <row r="10147" ht="12.75" customHeight="1"/>
    <row r="10148" ht="12.75" customHeight="1"/>
    <row r="10149" ht="12.75" customHeight="1"/>
    <row r="10150" ht="12.75" customHeight="1"/>
    <row r="10151" ht="12.75" customHeight="1"/>
    <row r="10152" ht="12.75" customHeight="1"/>
    <row r="10153" ht="12.75" customHeight="1"/>
    <row r="10154" ht="12.75" customHeight="1"/>
    <row r="10155" ht="12.75" customHeight="1">
      <c r="F10155" s="74"/>
      <c r="H10155" s="74"/>
    </row>
    <row r="10156" ht="12.75" customHeight="1">
      <c r="F10156" s="74"/>
      <c r="H10156" s="74"/>
    </row>
    <row r="10157" ht="12.75" customHeight="1">
      <c r="F10157" s="74"/>
      <c r="H10157" s="74"/>
    </row>
    <row r="10158" ht="12.75" customHeight="1">
      <c r="F10158" s="74"/>
      <c r="H10158" s="74"/>
    </row>
    <row r="10159" ht="12.75" customHeight="1">
      <c r="F10159" s="74"/>
      <c r="H10159" s="74"/>
    </row>
    <row r="10160" ht="12.75" customHeight="1">
      <c r="F10160" s="74"/>
      <c r="H10160" s="74"/>
    </row>
    <row r="10161" ht="12.75" customHeight="1">
      <c r="F10161" s="74"/>
      <c r="H10161" s="74"/>
    </row>
    <row r="10162" ht="12.75" customHeight="1">
      <c r="F10162" s="74"/>
      <c r="H10162" s="74"/>
    </row>
    <row r="10163" ht="12.75" customHeight="1">
      <c r="F10163" s="74"/>
      <c r="H10163" s="74"/>
    </row>
    <row r="10164" ht="12.75" customHeight="1">
      <c r="F10164" s="74"/>
      <c r="H10164" s="74"/>
    </row>
    <row r="10165" ht="12.75" customHeight="1">
      <c r="F10165" s="74"/>
      <c r="H10165" s="74"/>
    </row>
    <row r="10166" ht="12.75" customHeight="1">
      <c r="F10166" s="74"/>
      <c r="H10166" s="74"/>
    </row>
    <row r="10167" ht="12.75" customHeight="1">
      <c r="F10167" s="74"/>
      <c r="H10167" s="74"/>
    </row>
    <row r="10168" ht="12.75" customHeight="1">
      <c r="F10168" s="74"/>
      <c r="H10168" s="74"/>
    </row>
    <row r="10169" ht="12.75" customHeight="1">
      <c r="F10169" s="74"/>
      <c r="H10169" s="74"/>
    </row>
    <row r="10170" ht="12.75" customHeight="1">
      <c r="F10170" s="74"/>
      <c r="H10170" s="74"/>
    </row>
    <row r="10171" ht="12.75" customHeight="1">
      <c r="F10171" s="74"/>
      <c r="H10171" s="74"/>
    </row>
    <row r="10172" ht="12.75" customHeight="1">
      <c r="F10172" s="74"/>
      <c r="H10172" s="74"/>
    </row>
    <row r="10173" ht="12.75" customHeight="1">
      <c r="F10173" s="74"/>
      <c r="H10173" s="74"/>
    </row>
    <row r="10174" ht="12.75" customHeight="1">
      <c r="F10174" s="74"/>
      <c r="H10174" s="74"/>
    </row>
    <row r="10175" ht="12.75" customHeight="1">
      <c r="F10175" s="74"/>
      <c r="H10175" s="74"/>
    </row>
    <row r="10176" ht="12.75" customHeight="1">
      <c r="F10176" s="74"/>
      <c r="H10176" s="74"/>
    </row>
    <row r="10177" ht="12.75" customHeight="1">
      <c r="F10177" s="74"/>
      <c r="H10177" s="74"/>
    </row>
    <row r="10178" ht="12.75" customHeight="1">
      <c r="F10178" s="74"/>
      <c r="H10178" s="74"/>
    </row>
    <row r="10179" ht="12.75" customHeight="1">
      <c r="F10179" s="74"/>
      <c r="H10179" s="74"/>
    </row>
    <row r="10180" ht="12.75" customHeight="1">
      <c r="F10180" s="74"/>
      <c r="H10180" s="74"/>
    </row>
    <row r="10181" ht="12.75" customHeight="1">
      <c r="F10181" s="74"/>
      <c r="H10181" s="74"/>
    </row>
    <row r="10182" ht="12.75" customHeight="1">
      <c r="F10182" s="74"/>
      <c r="H10182" s="74"/>
    </row>
    <row r="10183" ht="12.75" customHeight="1">
      <c r="F10183" s="74"/>
      <c r="H10183" s="74"/>
    </row>
    <row r="10184" ht="12.75" customHeight="1">
      <c r="F10184" s="74"/>
      <c r="H10184" s="74"/>
    </row>
    <row r="10185" ht="12.75" customHeight="1">
      <c r="F10185" s="74"/>
      <c r="H10185" s="74"/>
    </row>
    <row r="10186" ht="12.75" customHeight="1">
      <c r="F10186" s="74"/>
      <c r="H10186" s="74"/>
    </row>
    <row r="10187" ht="12.75" customHeight="1">
      <c r="F10187" s="74"/>
      <c r="H10187" s="74"/>
    </row>
    <row r="10188" ht="12.75" customHeight="1">
      <c r="F10188" s="74"/>
      <c r="H10188" s="74"/>
    </row>
    <row r="10189" ht="12.75" customHeight="1">
      <c r="F10189" s="74"/>
      <c r="H10189" s="74"/>
    </row>
    <row r="10190" ht="12.75" customHeight="1">
      <c r="F10190" s="74"/>
      <c r="H10190" s="74"/>
    </row>
    <row r="10191" ht="12.75" customHeight="1">
      <c r="F10191" s="74"/>
      <c r="H10191" s="74"/>
    </row>
    <row r="10192" ht="12.75" customHeight="1">
      <c r="F10192" s="74"/>
      <c r="H10192" s="74"/>
    </row>
    <row r="10193" ht="12.75" customHeight="1">
      <c r="F10193" s="74"/>
      <c r="H10193" s="74"/>
    </row>
    <row r="10194" ht="12.75" customHeight="1"/>
    <row r="10195" ht="12.75" customHeight="1"/>
    <row r="10196" ht="12.75" customHeight="1"/>
    <row r="10197" ht="12.75" customHeight="1"/>
    <row r="10198" ht="12.75" customHeight="1"/>
    <row r="10199" ht="12.75" customHeight="1"/>
    <row r="10200" ht="12.75" customHeight="1"/>
    <row r="10201" ht="12.75" customHeight="1"/>
    <row r="10202" ht="12.75" customHeight="1"/>
    <row r="10203" ht="12.75" customHeight="1"/>
    <row r="10204" ht="12.75" customHeight="1"/>
    <row r="10205" ht="12.75" customHeight="1"/>
    <row r="10206" ht="12.75" customHeight="1"/>
    <row r="10207" ht="12.75" customHeight="1"/>
    <row r="10208" ht="12.75" customHeight="1"/>
    <row r="10209" ht="12.75" customHeight="1"/>
    <row r="10210" ht="12.75" customHeight="1"/>
    <row r="10211" ht="12.75" customHeight="1"/>
    <row r="10212" ht="12.75" customHeight="1"/>
    <row r="10213" ht="12.75" customHeight="1"/>
    <row r="10214" ht="12.75" customHeight="1"/>
    <row r="10215" ht="12.75" customHeight="1"/>
    <row r="10216" ht="12.75" customHeight="1"/>
    <row r="10217" ht="12.75" customHeight="1"/>
    <row r="10218" ht="12.75" customHeight="1"/>
    <row r="10219" ht="12.75" customHeight="1"/>
    <row r="10220" ht="12.75" customHeight="1"/>
    <row r="10221" ht="12.75" customHeight="1"/>
    <row r="10222" ht="12.75" customHeight="1"/>
    <row r="10223" ht="12.75" customHeight="1"/>
    <row r="10224" ht="12.75" customHeight="1"/>
    <row r="10225" ht="12.75" customHeight="1"/>
    <row r="10226" ht="12.75" customHeight="1"/>
    <row r="10227" ht="12.75" customHeight="1"/>
    <row r="10228" ht="12.75" customHeight="1"/>
    <row r="10229" ht="12.75" customHeight="1"/>
    <row r="10230" ht="12.75" customHeight="1"/>
    <row r="10231" ht="12.75" customHeight="1"/>
    <row r="10232" ht="12.75" customHeight="1"/>
    <row r="10233" ht="12.75" customHeight="1"/>
    <row r="10234" ht="12.75" customHeight="1"/>
    <row r="10235" ht="12.75" customHeight="1"/>
    <row r="10236" ht="12.75" customHeight="1"/>
    <row r="10237" ht="12.75" customHeight="1"/>
    <row r="10238" ht="12.75" customHeight="1"/>
    <row r="10239" ht="12.75" customHeight="1"/>
    <row r="10240" ht="12.75" customHeight="1"/>
    <row r="10241" ht="12.75" customHeight="1"/>
    <row r="10242" ht="12.75" customHeight="1"/>
    <row r="10243" ht="12.75" customHeight="1"/>
    <row r="10244" ht="12.75" customHeight="1"/>
    <row r="10245" ht="12.75" customHeight="1"/>
    <row r="10246" ht="12.75" customHeight="1"/>
    <row r="10247" ht="12.75" customHeight="1"/>
    <row r="10248" ht="12.75" customHeight="1"/>
    <row r="10249" ht="12.75" customHeight="1"/>
    <row r="10250" ht="12.75" customHeight="1"/>
    <row r="10251" ht="12.75" customHeight="1"/>
    <row r="10252" ht="12.75" customHeight="1"/>
    <row r="10253" ht="12.75" customHeight="1"/>
    <row r="10254" ht="12.75" customHeight="1"/>
    <row r="10255" ht="12.75" customHeight="1"/>
    <row r="10256" ht="12.75" customHeight="1"/>
    <row r="10257" ht="12.75" customHeight="1"/>
    <row r="10258" ht="12.75" customHeight="1"/>
    <row r="10259" ht="12.75" customHeight="1"/>
    <row r="10260" ht="12.75" customHeight="1"/>
    <row r="10261" ht="12.75" customHeight="1"/>
    <row r="10262" ht="12.75" customHeight="1"/>
    <row r="10263" ht="12.75" customHeight="1"/>
    <row r="10264" ht="12.75" customHeight="1"/>
    <row r="10265" ht="12.75" customHeight="1"/>
    <row r="10266" ht="12.75" customHeight="1"/>
    <row r="10267" ht="12.75" customHeight="1"/>
    <row r="10268" ht="12.75" customHeight="1"/>
    <row r="10269" ht="12.75" customHeight="1"/>
    <row r="10270" ht="12.75" customHeight="1"/>
    <row r="10271" ht="12.75" customHeight="1"/>
    <row r="10272" ht="12.75" customHeight="1"/>
    <row r="10273" ht="12.75" customHeight="1"/>
    <row r="10274" ht="12.75" customHeight="1"/>
    <row r="10275" ht="12.75" customHeight="1"/>
    <row r="10276" ht="12.75" customHeight="1"/>
    <row r="10277" ht="12.75" customHeight="1"/>
    <row r="10278" ht="12.75" customHeight="1"/>
    <row r="10279" ht="12.75" customHeight="1"/>
    <row r="10280" ht="12.75" customHeight="1"/>
    <row r="10281" ht="12.75" customHeight="1"/>
    <row r="10282" ht="12.75" customHeight="1"/>
    <row r="10283" ht="12.75" customHeight="1"/>
    <row r="10284" ht="12.75" customHeight="1"/>
    <row r="10285" ht="12.75" customHeight="1"/>
    <row r="10286" ht="12.75" customHeight="1"/>
    <row r="10287" ht="12.75" customHeight="1"/>
    <row r="10288" ht="12.75" customHeight="1"/>
    <row r="10289" ht="12.75" customHeight="1"/>
    <row r="10290" ht="12.75" customHeight="1"/>
    <row r="10291" ht="12.75" customHeight="1"/>
    <row r="10292" ht="12.75" customHeight="1"/>
    <row r="10293" ht="12.75" customHeight="1"/>
    <row r="10294" ht="12.75" customHeight="1"/>
    <row r="10295" ht="12.75" customHeight="1"/>
    <row r="10296" ht="12.75" customHeight="1"/>
    <row r="10297" ht="12.75" customHeight="1"/>
    <row r="10298" ht="12.75" customHeight="1"/>
    <row r="10299" ht="12.75" customHeight="1"/>
    <row r="10300" ht="12.75" customHeight="1"/>
    <row r="10301" ht="12.75" customHeight="1"/>
    <row r="10302" ht="12.75" customHeight="1"/>
    <row r="10303" ht="12.75" customHeight="1"/>
    <row r="10304" ht="12.75" customHeight="1"/>
    <row r="10305" ht="12.75" customHeight="1"/>
    <row r="10306" ht="12.75" customHeight="1"/>
    <row r="10307" ht="12.75" customHeight="1"/>
    <row r="10308" ht="12.75" customHeight="1"/>
    <row r="10309" ht="12.75" customHeight="1"/>
    <row r="10310" ht="12.75" customHeight="1"/>
    <row r="10311" ht="12.75" customHeight="1"/>
    <row r="10312" ht="12.75" customHeight="1"/>
    <row r="10313" ht="12.75" customHeight="1"/>
    <row r="10314" ht="12.75" customHeight="1"/>
    <row r="10315" ht="12.75" customHeight="1"/>
    <row r="10316" ht="12.75" customHeight="1"/>
    <row r="10317" ht="12.75" customHeight="1"/>
    <row r="10318" ht="12.75" customHeight="1"/>
    <row r="10319" ht="12.75" customHeight="1"/>
    <row r="10320" ht="12.75" customHeight="1"/>
    <row r="10321" ht="12.75" customHeight="1"/>
    <row r="10322" ht="12.75" customHeight="1"/>
    <row r="10323" ht="12.75" customHeight="1"/>
    <row r="10324" ht="12.75" customHeight="1"/>
    <row r="10325" ht="12.75" customHeight="1"/>
    <row r="10326" ht="12.75" customHeight="1"/>
    <row r="10327" ht="12.75" customHeight="1"/>
    <row r="10328" ht="12.75" customHeight="1"/>
    <row r="10329" ht="12.75" customHeight="1"/>
    <row r="10330" ht="12.75" customHeight="1"/>
    <row r="10331" ht="12.75" customHeight="1"/>
    <row r="10332" ht="12.75" customHeight="1"/>
    <row r="10333" ht="12.75" customHeight="1"/>
    <row r="10334" ht="12.75" customHeight="1"/>
    <row r="10335" ht="12.75" customHeight="1"/>
    <row r="10336" ht="12.75" customHeight="1"/>
    <row r="10337" ht="12.75" customHeight="1"/>
    <row r="10338" ht="12.75" customHeight="1"/>
    <row r="10339" ht="12.75" customHeight="1"/>
    <row r="10340" ht="12.75" customHeight="1"/>
    <row r="10341" ht="12.75" customHeight="1"/>
    <row r="10342" ht="12.75" customHeight="1"/>
    <row r="10343" ht="12.75" customHeight="1"/>
    <row r="10344" ht="12.75" customHeight="1"/>
    <row r="10345" ht="12.75" customHeight="1"/>
    <row r="10346" ht="12.75" customHeight="1"/>
    <row r="10347" ht="12.75" customHeight="1"/>
    <row r="10348" ht="12.75" customHeight="1"/>
    <row r="10349" ht="12.75" customHeight="1"/>
    <row r="10350" ht="12.75" customHeight="1"/>
    <row r="10351" ht="12.75" customHeight="1"/>
    <row r="10352" ht="12.75" customHeight="1"/>
    <row r="10353" ht="12.75" customHeight="1"/>
    <row r="10354" ht="12.75" customHeight="1"/>
    <row r="10355" ht="12.75" customHeight="1"/>
    <row r="10356" ht="12.75" customHeight="1"/>
    <row r="10357" ht="12.75" customHeight="1"/>
    <row r="10358" ht="12.75" customHeight="1"/>
    <row r="10359" ht="12.75" customHeight="1"/>
    <row r="10360" ht="12.75" customHeight="1"/>
    <row r="10361" ht="12.75" customHeight="1"/>
    <row r="10362" ht="12.75" customHeight="1"/>
    <row r="10363" ht="12.75" customHeight="1"/>
    <row r="10364" ht="12.75" customHeight="1"/>
    <row r="10365" ht="12.75" customHeight="1"/>
    <row r="10366" ht="12.75" customHeight="1"/>
    <row r="10367" ht="12.75" customHeight="1"/>
    <row r="10368" ht="12.75" customHeight="1"/>
    <row r="10369" ht="12.75" customHeight="1"/>
    <row r="10370" ht="12.75" customHeight="1"/>
    <row r="10371" ht="12.75" customHeight="1"/>
    <row r="10372" ht="12.75" customHeight="1"/>
    <row r="10373" ht="12.75" customHeight="1"/>
    <row r="10374" ht="12.75" customHeight="1"/>
    <row r="10375" ht="12.75" customHeight="1"/>
    <row r="10376" ht="12.75" customHeight="1"/>
    <row r="10377" ht="12.75" customHeight="1"/>
    <row r="10378" ht="12.75" customHeight="1"/>
    <row r="10379" ht="12.75" customHeight="1"/>
    <row r="10380" ht="12.75" customHeight="1"/>
    <row r="10381" ht="12.75" customHeight="1"/>
    <row r="10382" ht="12.75" customHeight="1"/>
    <row r="10383" ht="12.75" customHeight="1"/>
    <row r="10384" ht="12.75" customHeight="1"/>
    <row r="10385" ht="12.75" customHeight="1"/>
    <row r="10386" ht="12.75" customHeight="1"/>
    <row r="10387" ht="12.75" customHeight="1"/>
    <row r="10388" ht="12.75" customHeight="1"/>
    <row r="10389" ht="12.75" customHeight="1"/>
    <row r="10390" ht="12.75" customHeight="1"/>
    <row r="10391" ht="12.75" customHeight="1"/>
    <row r="10392" ht="12.75" customHeight="1"/>
    <row r="10393" ht="12.75" customHeight="1"/>
    <row r="10394" ht="12.75" customHeight="1"/>
    <row r="10395" ht="12.75" customHeight="1"/>
    <row r="10396" ht="12.75" customHeight="1"/>
    <row r="10397" ht="12.75" customHeight="1"/>
    <row r="10398" ht="12.75" customHeight="1"/>
    <row r="10399" ht="12.75" customHeight="1"/>
    <row r="10400" ht="12.75" customHeight="1"/>
    <row r="10401" ht="12.75" customHeight="1"/>
    <row r="10402" ht="12.75" customHeight="1"/>
    <row r="10403" ht="12.75" customHeight="1"/>
    <row r="10404" ht="12.75" customHeight="1"/>
    <row r="10405" ht="12.75" customHeight="1"/>
    <row r="10406" ht="12.75" customHeight="1"/>
    <row r="10407" ht="12.75" customHeight="1"/>
    <row r="10408" ht="12.75" customHeight="1"/>
    <row r="10409" ht="12.75" customHeight="1"/>
    <row r="10410" ht="12.75" customHeight="1"/>
    <row r="10411" ht="12.75" customHeight="1"/>
    <row r="10412" ht="12.75" customHeight="1"/>
    <row r="10413" ht="12.75" customHeight="1"/>
    <row r="10414" ht="12.75" customHeight="1"/>
    <row r="10415" ht="12.75" customHeight="1"/>
    <row r="10416" ht="12.75" customHeight="1"/>
    <row r="10417" ht="12.75" customHeight="1"/>
    <row r="10418" ht="12.75" customHeight="1"/>
    <row r="10419" ht="12.75" customHeight="1"/>
    <row r="10420" ht="12.75" customHeight="1"/>
    <row r="10421" ht="12.75" customHeight="1"/>
    <row r="10422" ht="12.75" customHeight="1"/>
    <row r="10423" ht="12.75" customHeight="1"/>
    <row r="10424" ht="12.75" customHeight="1"/>
    <row r="10425" ht="12.75" customHeight="1"/>
    <row r="10426" ht="12.75" customHeight="1"/>
    <row r="10427" ht="12.75" customHeight="1"/>
    <row r="10428" ht="12.75" customHeight="1"/>
    <row r="10429" ht="12.75" customHeight="1"/>
    <row r="10430" ht="12.75" customHeight="1"/>
    <row r="10431" ht="12.75" customHeight="1"/>
    <row r="10432" ht="12.75" customHeight="1"/>
    <row r="10433" ht="12.75" customHeight="1"/>
    <row r="10434" ht="12.75" customHeight="1"/>
    <row r="10435" ht="12.75" customHeight="1"/>
    <row r="10436" ht="12.75" customHeight="1"/>
    <row r="10437" ht="12.75" customHeight="1"/>
    <row r="10438" ht="12.75" customHeight="1"/>
    <row r="10439" ht="12.75" customHeight="1"/>
    <row r="10440" ht="12.75" customHeight="1"/>
    <row r="10441" ht="12.75" customHeight="1"/>
    <row r="10442" ht="12.75" customHeight="1"/>
    <row r="10443" ht="12.75" customHeight="1"/>
    <row r="10444" ht="12.75" customHeight="1"/>
    <row r="10445" ht="12.75" customHeight="1"/>
    <row r="10446" ht="12.75" customHeight="1"/>
    <row r="10447" ht="12.75" customHeight="1"/>
    <row r="10448" ht="12.75" customHeight="1"/>
    <row r="10449" ht="12.75" customHeight="1"/>
    <row r="10450" ht="12.75" customHeight="1"/>
    <row r="10451" ht="12.75" customHeight="1"/>
    <row r="10452" ht="12.75" customHeight="1"/>
    <row r="10453" ht="12.75" customHeight="1"/>
    <row r="10454" ht="12.75" customHeight="1"/>
    <row r="10455" ht="12.75" customHeight="1"/>
    <row r="10456" ht="12.75" customHeight="1"/>
    <row r="10457" ht="12.75" customHeight="1"/>
    <row r="10458" ht="12.75" customHeight="1"/>
    <row r="10459" ht="12.75" customHeight="1"/>
    <row r="10460" ht="12.75" customHeight="1"/>
    <row r="10461" ht="12.75" customHeight="1"/>
    <row r="10462" ht="12.75" customHeight="1"/>
    <row r="10463" ht="12.75" customHeight="1"/>
    <row r="10464" ht="12.75" customHeight="1"/>
    <row r="10465" ht="12.75" customHeight="1"/>
    <row r="10466" ht="12.75" customHeight="1"/>
    <row r="10467" ht="12.75" customHeight="1"/>
    <row r="10468" ht="12.75" customHeight="1"/>
    <row r="10469" ht="12.75" customHeight="1"/>
    <row r="10470" ht="12.75" customHeight="1"/>
    <row r="10471" ht="12.75" customHeight="1"/>
    <row r="10472" ht="12.75" customHeight="1"/>
    <row r="10473" ht="12.75" customHeight="1"/>
    <row r="10474" ht="12.75" customHeight="1"/>
    <row r="10475" ht="12.75" customHeight="1"/>
    <row r="10476" ht="12.75" customHeight="1"/>
    <row r="10477" ht="12.75" customHeight="1"/>
    <row r="10478" ht="12.75" customHeight="1"/>
    <row r="10479" ht="12.75" customHeight="1"/>
    <row r="10480" ht="12.75" customHeight="1"/>
    <row r="10481" ht="12.75" customHeight="1"/>
    <row r="10482" ht="12.75" customHeight="1"/>
    <row r="10483" ht="12.75" customHeight="1"/>
    <row r="10484" ht="12.75" customHeight="1"/>
    <row r="10485" ht="12.75" customHeight="1"/>
    <row r="10486" ht="12.75" customHeight="1"/>
    <row r="10487" ht="12.75" customHeight="1"/>
    <row r="10488" ht="12.75" customHeight="1"/>
    <row r="10489" ht="12.75" customHeight="1"/>
    <row r="10490" ht="12.75" customHeight="1"/>
    <row r="10491" ht="12.75" customHeight="1"/>
    <row r="10492" ht="12.75" customHeight="1"/>
    <row r="10493" ht="12.75" customHeight="1"/>
    <row r="10494" ht="12.75" customHeight="1"/>
    <row r="10495" ht="12.75" customHeight="1"/>
    <row r="10496" ht="12.75" customHeight="1"/>
    <row r="10497" ht="12.75" customHeight="1"/>
    <row r="10498" ht="12.75" customHeight="1"/>
    <row r="10499" ht="12.75" customHeight="1"/>
    <row r="10500" ht="12.75" customHeight="1"/>
    <row r="10501" ht="12.75" customHeight="1"/>
    <row r="10502" ht="12.75" customHeight="1"/>
    <row r="10503" ht="12.75" customHeight="1"/>
    <row r="10504" ht="12.75" customHeight="1"/>
    <row r="10505" ht="12.75" customHeight="1"/>
    <row r="10506" ht="12.75" customHeight="1"/>
    <row r="10507" ht="12.75" customHeight="1"/>
    <row r="10508" ht="12.75" customHeight="1"/>
    <row r="10509" ht="12.75" customHeight="1"/>
    <row r="10510" ht="12.75" customHeight="1"/>
    <row r="10511" ht="12.75" customHeight="1"/>
    <row r="10512" ht="12.75" customHeight="1"/>
    <row r="10513" ht="12.75" customHeight="1"/>
    <row r="10514" ht="12.75" customHeight="1"/>
    <row r="10515" ht="12.75" customHeight="1"/>
    <row r="10516" ht="12.75" customHeight="1"/>
    <row r="10517" ht="12.75" customHeight="1"/>
    <row r="10518" ht="12.75" customHeight="1"/>
    <row r="10519" ht="12.75" customHeight="1"/>
    <row r="10520" ht="12.75" customHeight="1"/>
    <row r="10521" ht="12.75" customHeight="1"/>
    <row r="10522" ht="12.75" customHeight="1"/>
    <row r="10523" ht="12.75" customHeight="1"/>
    <row r="10524" ht="12.75" customHeight="1"/>
    <row r="10525" ht="12.75" customHeight="1"/>
    <row r="10526" ht="12.75" customHeight="1"/>
    <row r="10527" ht="12.75" customHeight="1"/>
    <row r="10528" ht="12.75" customHeight="1"/>
    <row r="10529" ht="12.75" customHeight="1"/>
    <row r="10530" ht="12.75" customHeight="1"/>
    <row r="10531" ht="12.75" customHeight="1"/>
    <row r="10532" ht="12.75" customHeight="1"/>
    <row r="10533" ht="12.75" customHeight="1"/>
    <row r="10534" ht="12.75" customHeight="1"/>
    <row r="10535" ht="12.75" customHeight="1"/>
    <row r="10536" ht="12.75" customHeight="1"/>
    <row r="10537" ht="12.75" customHeight="1"/>
    <row r="10538" ht="12.75" customHeight="1"/>
    <row r="10539" ht="12.75" customHeight="1"/>
    <row r="10540" ht="12.75" customHeight="1"/>
    <row r="10541" ht="12.75" customHeight="1"/>
    <row r="10542" ht="12.75" customHeight="1"/>
    <row r="10543" ht="12.75" customHeight="1"/>
    <row r="10544" ht="12.75" customHeight="1"/>
    <row r="10545" ht="12.75" customHeight="1"/>
    <row r="10546" ht="12.75" customHeight="1"/>
    <row r="10547" ht="12.75" customHeight="1"/>
    <row r="10548" ht="12.75" customHeight="1"/>
    <row r="10549" ht="12.75" customHeight="1"/>
    <row r="10550" ht="12.75" customHeight="1"/>
    <row r="10551" ht="12.75" customHeight="1"/>
    <row r="10552" ht="12.75" customHeight="1"/>
    <row r="10553" ht="12.75" customHeight="1"/>
    <row r="10554" ht="12.75" customHeight="1"/>
    <row r="10555" ht="12.75" customHeight="1"/>
    <row r="10556" ht="12.75" customHeight="1"/>
    <row r="10557" ht="12.75" customHeight="1"/>
    <row r="10558" ht="12.75" customHeight="1"/>
    <row r="10559" ht="12.75" customHeight="1"/>
    <row r="10560" ht="12.75" customHeight="1"/>
    <row r="10561" ht="12.75" customHeight="1"/>
    <row r="10562" ht="12.75" customHeight="1"/>
    <row r="10563" ht="12.75" customHeight="1"/>
    <row r="10564" ht="12.75" customHeight="1"/>
    <row r="10565" ht="12.75" customHeight="1"/>
    <row r="10566" ht="12.75" customHeight="1"/>
    <row r="10567" ht="12.75" customHeight="1"/>
    <row r="10568" ht="12.75" customHeight="1"/>
    <row r="10569" ht="12.75" customHeight="1"/>
    <row r="10570" ht="12.75" customHeight="1"/>
    <row r="10571" ht="12.75" customHeight="1"/>
    <row r="10572" ht="12.75" customHeight="1"/>
    <row r="10573" ht="12.75" customHeight="1"/>
    <row r="10574" ht="12.75" customHeight="1"/>
    <row r="10575" ht="12.75" customHeight="1"/>
    <row r="10576" ht="12.75" customHeight="1"/>
    <row r="10577" ht="12.75" customHeight="1"/>
    <row r="10578" ht="12.75" customHeight="1"/>
    <row r="10579" ht="12.75" customHeight="1"/>
    <row r="10580" ht="12.75" customHeight="1"/>
    <row r="10581" ht="12.75" customHeight="1"/>
    <row r="10582" ht="12.75" customHeight="1"/>
    <row r="10583" ht="12.75" customHeight="1"/>
    <row r="10584" ht="12.75" customHeight="1"/>
    <row r="10585" ht="12.75" customHeight="1"/>
    <row r="10586" ht="12.75" customHeight="1"/>
    <row r="10587" ht="12.75" customHeight="1"/>
    <row r="10588" ht="12.75" customHeight="1"/>
    <row r="10589" ht="12.75" customHeight="1"/>
    <row r="10590" ht="12.75" customHeight="1"/>
    <row r="10591" ht="12.75" customHeight="1"/>
    <row r="10592" ht="12.75" customHeight="1"/>
    <row r="10593" ht="12.75" customHeight="1"/>
    <row r="10594" ht="12.75" customHeight="1"/>
    <row r="10595" ht="12.75" customHeight="1"/>
    <row r="10596" ht="12.75" customHeight="1"/>
    <row r="10597" ht="12.75" customHeight="1"/>
    <row r="10598" ht="12.75" customHeight="1"/>
    <row r="10599" ht="12.75" customHeight="1"/>
    <row r="10600" ht="12.75" customHeight="1"/>
    <row r="10601" ht="12.75" customHeight="1"/>
    <row r="10602" ht="12.75" customHeight="1"/>
    <row r="10603" ht="12.75" customHeight="1"/>
    <row r="10604" ht="12.75" customHeight="1"/>
    <row r="10605" ht="12.75" customHeight="1"/>
    <row r="10606" ht="12.75" customHeight="1"/>
    <row r="10607" ht="12.75" customHeight="1"/>
    <row r="10608" ht="12.75" customHeight="1"/>
    <row r="10609" ht="12.75" customHeight="1"/>
    <row r="10610" ht="12.75" customHeight="1"/>
    <row r="10611" ht="12.75" customHeight="1"/>
    <row r="10612" ht="12.75" customHeight="1"/>
    <row r="10613" ht="12.75" customHeight="1"/>
    <row r="10614" ht="12.75" customHeight="1"/>
    <row r="10615" ht="12.75" customHeight="1"/>
    <row r="10616" ht="12.75" customHeight="1"/>
    <row r="10617" ht="12.75" customHeight="1"/>
    <row r="10618" ht="12.75" customHeight="1"/>
    <row r="10619" ht="12.75" customHeight="1"/>
    <row r="10620" ht="12.75" customHeight="1"/>
    <row r="10621" ht="12.75" customHeight="1"/>
    <row r="10622" ht="12.75" customHeight="1"/>
    <row r="10623" ht="12.75" customHeight="1"/>
    <row r="10624" ht="12.75" customHeight="1"/>
    <row r="10625" ht="12.75" customHeight="1"/>
    <row r="10626" ht="12.75" customHeight="1"/>
    <row r="10627" ht="12.75" customHeight="1"/>
    <row r="10628" ht="12.75" customHeight="1"/>
    <row r="10629" ht="12.75" customHeight="1"/>
    <row r="10630" ht="12.75" customHeight="1"/>
    <row r="10631" ht="12.75" customHeight="1"/>
    <row r="10632" ht="12.75" customHeight="1"/>
    <row r="10633" ht="12.75" customHeight="1"/>
    <row r="10634" ht="12.75" customHeight="1"/>
    <row r="10635" ht="12.75" customHeight="1"/>
    <row r="10636" ht="12.75" customHeight="1"/>
    <row r="10637" ht="12.75" customHeight="1"/>
    <row r="10638" ht="12.75" customHeight="1"/>
    <row r="10639" ht="12.75" customHeight="1"/>
    <row r="10640" ht="12.75" customHeight="1"/>
    <row r="10641" ht="12.75" customHeight="1"/>
    <row r="10642" ht="12.75" customHeight="1"/>
    <row r="10643" ht="12.75" customHeight="1"/>
    <row r="10644" ht="12.75" customHeight="1"/>
    <row r="10645" ht="12.75" customHeight="1"/>
    <row r="10646" ht="12.75" customHeight="1"/>
    <row r="10647" ht="12.75" customHeight="1"/>
    <row r="10648" ht="12.75" customHeight="1"/>
    <row r="10649" ht="12.75" customHeight="1"/>
    <row r="10650" ht="12.75" customHeight="1"/>
    <row r="10651" ht="12.75" customHeight="1"/>
    <row r="10652" ht="12.75" customHeight="1"/>
    <row r="10653" ht="12.75" customHeight="1"/>
    <row r="10654" ht="12.75" customHeight="1"/>
    <row r="10655" ht="12.75" customHeight="1"/>
    <row r="10656" ht="12.75" customHeight="1"/>
    <row r="10657" ht="12.75" customHeight="1"/>
    <row r="10658" ht="12.75" customHeight="1"/>
    <row r="10659" ht="12.75" customHeight="1"/>
    <row r="10660" ht="12.75" customHeight="1"/>
    <row r="10661" ht="12.75" customHeight="1"/>
    <row r="10662" ht="12.75" customHeight="1"/>
    <row r="10663" ht="12.75" customHeight="1"/>
    <row r="10664" ht="12.75" customHeight="1"/>
    <row r="10665" ht="12.75" customHeight="1"/>
    <row r="10666" ht="12.75" customHeight="1"/>
    <row r="10667" ht="12.75" customHeight="1"/>
    <row r="10668" ht="12.75" customHeight="1"/>
    <row r="10669" ht="12.75" customHeight="1"/>
    <row r="10670" ht="12.75" customHeight="1"/>
    <row r="10671" ht="12.75" customHeight="1"/>
    <row r="10672" ht="12.75" customHeight="1"/>
    <row r="10673" ht="12.75" customHeight="1"/>
    <row r="10674" ht="12.75" customHeight="1"/>
    <row r="10675" ht="12.75" customHeight="1"/>
    <row r="10676" ht="12.75" customHeight="1"/>
    <row r="10677" ht="12.75" customHeight="1"/>
    <row r="10678" ht="12.75" customHeight="1"/>
    <row r="10679" ht="12.75" customHeight="1"/>
    <row r="10680" ht="12.75" customHeight="1"/>
    <row r="10681" ht="12.75" customHeight="1"/>
    <row r="10682" ht="12.75" customHeight="1"/>
    <row r="10683" ht="12.75" customHeight="1"/>
    <row r="10684" ht="12.75" customHeight="1"/>
    <row r="10685" ht="12.75" customHeight="1"/>
    <row r="10686" ht="12.75" customHeight="1"/>
    <row r="10687" ht="12.75" customHeight="1"/>
    <row r="10688" ht="12.75" customHeight="1"/>
    <row r="10689" ht="12.75" customHeight="1"/>
    <row r="10690" ht="12.75" customHeight="1"/>
    <row r="10691" ht="12.75" customHeight="1"/>
    <row r="10692" ht="12.75" customHeight="1"/>
    <row r="10693" ht="12.75" customHeight="1"/>
    <row r="10694" ht="12.75" customHeight="1"/>
    <row r="10695" ht="12.75" customHeight="1"/>
    <row r="10696" ht="12.75" customHeight="1"/>
    <row r="10697" ht="12.75" customHeight="1"/>
    <row r="10698" ht="12.75" customHeight="1"/>
    <row r="10699" ht="12.75" customHeight="1"/>
    <row r="10700" ht="12.75" customHeight="1"/>
    <row r="10701" ht="12.75" customHeight="1"/>
    <row r="10702" ht="12.75" customHeight="1"/>
    <row r="10703" ht="12.75" customHeight="1"/>
    <row r="10704" ht="12.75" customHeight="1"/>
    <row r="10705" ht="12.75" customHeight="1"/>
    <row r="10706" ht="12.75" customHeight="1"/>
    <row r="10707" ht="12.75" customHeight="1"/>
    <row r="10708" ht="12.75" customHeight="1"/>
    <row r="10709" ht="12.75" customHeight="1"/>
    <row r="10710" ht="12.75" customHeight="1"/>
    <row r="10711" ht="12.75" customHeight="1"/>
    <row r="10712" ht="12.75" customHeight="1"/>
    <row r="10713" ht="12.75" customHeight="1"/>
    <row r="10714" ht="12.75" customHeight="1"/>
    <row r="10715" ht="12.75" customHeight="1"/>
    <row r="10716" ht="12.75" customHeight="1"/>
    <row r="10717" ht="12.75" customHeight="1"/>
    <row r="10718" ht="12.75" customHeight="1"/>
    <row r="10719" ht="12.75" customHeight="1"/>
    <row r="10720" ht="12.75" customHeight="1"/>
    <row r="10721" ht="12.75" customHeight="1"/>
    <row r="10722" ht="12.75" customHeight="1"/>
    <row r="10723" ht="12.75" customHeight="1"/>
    <row r="10724" ht="12.75" customHeight="1"/>
    <row r="10725" ht="12.75" customHeight="1"/>
    <row r="10726" ht="12.75" customHeight="1"/>
    <row r="10727" ht="12.75" customHeight="1"/>
    <row r="10728" ht="12.75" customHeight="1"/>
    <row r="10729" ht="12.75" customHeight="1"/>
    <row r="10730" ht="12.75" customHeight="1"/>
    <row r="10731" ht="12.75" customHeight="1"/>
    <row r="10732" ht="12.75" customHeight="1"/>
    <row r="10733" ht="12.75" customHeight="1"/>
    <row r="10734" ht="12.75" customHeight="1"/>
    <row r="10735" ht="12.75" customHeight="1"/>
    <row r="10736" ht="12.75" customHeight="1"/>
    <row r="10737" ht="12.75" customHeight="1"/>
    <row r="10738" ht="12.75" customHeight="1"/>
    <row r="10739" ht="12.75" customHeight="1"/>
    <row r="10740" ht="12.75" customHeight="1"/>
    <row r="10741" ht="12.75" customHeight="1"/>
    <row r="10742" ht="12.75" customHeight="1"/>
    <row r="10743" ht="12.75" customHeight="1"/>
    <row r="10744" ht="12.75" customHeight="1"/>
    <row r="10745" ht="12.75" customHeight="1"/>
    <row r="10746" ht="12.75" customHeight="1"/>
    <row r="10747" ht="12.75" customHeight="1"/>
    <row r="10748" ht="12.75" customHeight="1"/>
    <row r="10749" ht="12.75" customHeight="1"/>
    <row r="10750" ht="12.75" customHeight="1"/>
    <row r="10751" ht="12.75" customHeight="1"/>
    <row r="10752" ht="12.75" customHeight="1"/>
    <row r="10753" ht="12.75" customHeight="1"/>
    <row r="10754" ht="12.75" customHeight="1"/>
    <row r="10755" ht="12.75" customHeight="1"/>
    <row r="10756" ht="12.75" customHeight="1"/>
    <row r="10757" ht="12.75" customHeight="1"/>
    <row r="10758" ht="12.75" customHeight="1"/>
    <row r="10759" ht="12.75" customHeight="1"/>
    <row r="10760" ht="12.75" customHeight="1"/>
    <row r="10761" ht="12.75" customHeight="1"/>
    <row r="10762" ht="12.75" customHeight="1"/>
    <row r="10763" ht="12.75" customHeight="1"/>
    <row r="10764" ht="12.75" customHeight="1"/>
    <row r="10765" ht="12.75" customHeight="1"/>
    <row r="10766" ht="12.75" customHeight="1"/>
    <row r="10767" ht="12.75" customHeight="1"/>
    <row r="10768" ht="12.75" customHeight="1"/>
    <row r="10769" ht="12.75" customHeight="1"/>
    <row r="10770" ht="12.75" customHeight="1"/>
    <row r="10771" ht="12.75" customHeight="1"/>
    <row r="10772" ht="12.75" customHeight="1"/>
    <row r="10773" ht="12.75" customHeight="1"/>
    <row r="10774" ht="12.75" customHeight="1"/>
    <row r="10775" ht="12.75" customHeight="1"/>
    <row r="10776" ht="12.75" customHeight="1"/>
    <row r="10777" ht="12.75" customHeight="1"/>
    <row r="10778" ht="12.75" customHeight="1"/>
    <row r="10779" ht="12.75" customHeight="1"/>
    <row r="10780" ht="12.75" customHeight="1"/>
    <row r="10781" ht="12.75" customHeight="1"/>
    <row r="10782" ht="12.75" customHeight="1"/>
    <row r="10783" ht="12.75" customHeight="1"/>
    <row r="10784" ht="12.75" customHeight="1"/>
    <row r="10785" ht="12.75" customHeight="1"/>
    <row r="10786" ht="12.75" customHeight="1"/>
    <row r="10787" ht="12.75" customHeight="1"/>
    <row r="10788" ht="12.75" customHeight="1"/>
    <row r="10789" ht="12.75" customHeight="1"/>
    <row r="10790" ht="12.75" customHeight="1"/>
    <row r="10791" ht="12.75" customHeight="1"/>
    <row r="10792" ht="12.75" customHeight="1"/>
    <row r="10793" ht="12.75" customHeight="1"/>
    <row r="10794" ht="12.75" customHeight="1"/>
    <row r="10795" ht="12.75" customHeight="1"/>
    <row r="10796" ht="12.75" customHeight="1"/>
    <row r="10797" ht="12.75" customHeight="1"/>
    <row r="10798" ht="12.75" customHeight="1"/>
    <row r="10799" ht="12.75" customHeight="1"/>
    <row r="10800" ht="12.75" customHeight="1"/>
    <row r="10801" ht="12.75" customHeight="1">
      <c r="F10801" s="74"/>
      <c r="H10801" s="74"/>
    </row>
    <row r="10802" ht="12.75" customHeight="1"/>
    <row r="10803" ht="12.75" customHeight="1"/>
    <row r="10804" ht="12.75" customHeight="1"/>
    <row r="10805" ht="12.75" customHeight="1"/>
    <row r="10806" ht="12.75" customHeight="1"/>
    <row r="10807" ht="12.75" customHeight="1"/>
    <row r="10808" ht="12.75" customHeight="1"/>
    <row r="10809" ht="12.75" customHeight="1"/>
    <row r="10810" ht="12.75" customHeight="1"/>
    <row r="10811" ht="12.75" customHeight="1"/>
    <row r="10812" ht="12.75" customHeight="1"/>
    <row r="10813" ht="12.75" customHeight="1">
      <c r="F10813" s="74"/>
      <c r="H10813" s="74"/>
    </row>
    <row r="10814" ht="12.75" customHeight="1"/>
    <row r="10815" ht="12.75" customHeight="1"/>
    <row r="10816" ht="12.75" customHeight="1"/>
    <row r="10817" ht="12.75" customHeight="1"/>
    <row r="10818" ht="12.75" customHeight="1"/>
    <row r="10819" ht="12.75" customHeight="1"/>
    <row r="10820" ht="12.75" customHeight="1"/>
    <row r="10821" ht="12.75" customHeight="1"/>
    <row r="10822" ht="12.75" customHeight="1"/>
    <row r="10823" ht="12.75" customHeight="1"/>
    <row r="10824" ht="12.75" customHeight="1"/>
    <row r="10825" ht="12.75" customHeight="1"/>
    <row r="10826" ht="12.75" customHeight="1"/>
    <row r="10827" ht="12.75" customHeight="1"/>
    <row r="10828" ht="12.75" customHeight="1"/>
    <row r="10829" ht="12.75" customHeight="1"/>
    <row r="10830" ht="12.75" customHeight="1"/>
    <row r="10831" ht="12.75" customHeight="1"/>
    <row r="10832" ht="12.75" customHeight="1"/>
    <row r="10833" ht="12.75" customHeight="1"/>
    <row r="10834" ht="12.75" customHeight="1"/>
    <row r="10835" ht="12.75" customHeight="1"/>
    <row r="10836" ht="12.75" customHeight="1"/>
    <row r="10837" ht="12.75" customHeight="1"/>
    <row r="10838" ht="12.75" customHeight="1"/>
    <row r="10839" ht="12.75" customHeight="1"/>
    <row r="10840" ht="12.75" customHeight="1"/>
    <row r="10841" ht="12.75" customHeight="1"/>
    <row r="10842" ht="12.75" customHeight="1"/>
    <row r="10843" ht="12.75" customHeight="1"/>
    <row r="10844" ht="12.75" customHeight="1"/>
    <row r="10845" ht="12.75" customHeight="1"/>
    <row r="10846" ht="12.75" customHeight="1"/>
    <row r="10847" ht="12.75" customHeight="1"/>
    <row r="10848" ht="12.75" customHeight="1"/>
    <row r="10849" ht="12.75" customHeight="1"/>
    <row r="10850" ht="12.75" customHeight="1"/>
    <row r="10851" ht="12.75" customHeight="1"/>
    <row r="10852" ht="12.75" customHeight="1"/>
    <row r="10853" ht="12.75" customHeight="1"/>
    <row r="10854" ht="12.75" customHeight="1"/>
    <row r="10855" ht="12.75" customHeight="1"/>
    <row r="10856" ht="12.75" customHeight="1"/>
    <row r="10857" ht="12.75" customHeight="1"/>
    <row r="10858" ht="12.75" customHeight="1"/>
    <row r="10859" ht="12.75" customHeight="1"/>
    <row r="10860" ht="12.75" customHeight="1"/>
    <row r="10861" ht="12.75" customHeight="1"/>
    <row r="10862" ht="12.75" customHeight="1"/>
    <row r="10863" ht="12.75" customHeight="1"/>
    <row r="10864" ht="12.75" customHeight="1"/>
    <row r="10865" ht="12.75" customHeight="1"/>
    <row r="10866" ht="12.75" customHeight="1"/>
    <row r="10867" ht="12.75" customHeight="1"/>
    <row r="10868" ht="12.75" customHeight="1"/>
    <row r="10869" ht="12.75" customHeight="1"/>
    <row r="10870" ht="12.75" customHeight="1"/>
    <row r="10871" ht="12.75" customHeight="1"/>
    <row r="10872" ht="12.75" customHeight="1"/>
    <row r="10873" ht="12.75" customHeight="1"/>
    <row r="10874" ht="12.75" customHeight="1"/>
    <row r="10875" ht="12.75" customHeight="1"/>
    <row r="10876" ht="12.75" customHeight="1"/>
    <row r="10877" ht="12.75" customHeight="1"/>
    <row r="10878" ht="12.75" customHeight="1"/>
    <row r="10879" ht="12.75" customHeight="1"/>
    <row r="10880" ht="12.75" customHeight="1"/>
    <row r="10881" ht="12.75" customHeight="1"/>
    <row r="10882" ht="12.75" customHeight="1"/>
    <row r="10883" ht="12.75" customHeight="1"/>
    <row r="10884" ht="12.75" customHeight="1"/>
    <row r="10885" ht="12.75" customHeight="1"/>
    <row r="10886" ht="12.75" customHeight="1"/>
    <row r="10887" ht="12.75" customHeight="1">
      <c r="K10887" s="74"/>
    </row>
    <row r="10888" ht="12.75" customHeight="1"/>
    <row r="10889" ht="12.75" customHeight="1"/>
    <row r="10890" ht="12.75" customHeight="1"/>
    <row r="10891" ht="12.75" customHeight="1"/>
    <row r="10892" ht="12.75" customHeight="1"/>
    <row r="10893" ht="12.75" customHeight="1"/>
    <row r="10894" ht="12.75" customHeight="1"/>
    <row r="10895" ht="12.75" customHeight="1"/>
    <row r="10896" ht="12.75" customHeight="1"/>
    <row r="10897" ht="12.75" customHeight="1"/>
    <row r="10898" ht="12.75" customHeight="1"/>
    <row r="10899" ht="12.75" customHeight="1"/>
    <row r="10900" ht="12.75" customHeight="1"/>
    <row r="10901" ht="12.75" customHeight="1"/>
    <row r="10902" ht="12.75" customHeight="1"/>
    <row r="10903" ht="12.75" customHeight="1"/>
    <row r="10904" ht="12.75" customHeight="1"/>
    <row r="10905" ht="12.75" customHeight="1"/>
    <row r="10906" ht="12.75" customHeight="1"/>
    <row r="10907" ht="12.75" customHeight="1"/>
    <row r="10908" ht="12.75" customHeight="1"/>
    <row r="10909" ht="12.75" customHeight="1"/>
    <row r="10910" ht="12.75" customHeight="1"/>
    <row r="10911" ht="12.75" customHeight="1"/>
    <row r="10912" ht="12.75" customHeight="1"/>
    <row r="10913" ht="12.75" customHeight="1"/>
    <row r="10914" ht="12.75" customHeight="1"/>
    <row r="10915" ht="12.75" customHeight="1"/>
    <row r="10916" ht="12.75" customHeight="1"/>
    <row r="10917" ht="12.75" customHeight="1"/>
    <row r="10918" ht="12.75" customHeight="1"/>
    <row r="10919" ht="12.75" customHeight="1"/>
    <row r="10920" ht="12.75" customHeight="1"/>
    <row r="10921" ht="12.75" customHeight="1"/>
    <row r="10922" ht="12.75" customHeight="1"/>
    <row r="10923" ht="12.75" customHeight="1"/>
    <row r="10924" ht="12.75" customHeight="1"/>
    <row r="10925" ht="12.75" customHeight="1"/>
    <row r="10926" ht="12.75" customHeight="1"/>
    <row r="10927" ht="12.75" customHeight="1"/>
    <row r="10928" ht="12.75" customHeight="1"/>
    <row r="10929" ht="12.75" customHeight="1"/>
    <row r="10930" ht="12.75" customHeight="1"/>
    <row r="10931" ht="12.75" customHeight="1"/>
    <row r="10932" ht="12.75" customHeight="1"/>
    <row r="10933" ht="12.75" customHeight="1"/>
    <row r="10934" ht="12.75" customHeight="1"/>
    <row r="10935" ht="12.75" customHeight="1"/>
    <row r="10936" ht="12.75" customHeight="1"/>
    <row r="10937" ht="12.75" customHeight="1"/>
    <row r="10938" ht="12.75" customHeight="1"/>
    <row r="10939" ht="12.75" customHeight="1"/>
    <row r="10940" ht="12.75" customHeight="1"/>
    <row r="10941" ht="12.75" customHeight="1"/>
    <row r="10942" ht="12.75" customHeight="1"/>
    <row r="10943" ht="12.75" customHeight="1"/>
    <row r="10944" ht="12.75" customHeight="1"/>
    <row r="10945" ht="12.75" customHeight="1"/>
    <row r="10946" ht="12.75" customHeight="1"/>
    <row r="10947" ht="12.75" customHeight="1"/>
    <row r="10948" ht="12.75" customHeight="1"/>
    <row r="10949" ht="12.75" customHeight="1"/>
    <row r="10950" ht="12.75" customHeight="1"/>
    <row r="10951" ht="12.75" customHeight="1">
      <c r="K10951" s="74"/>
    </row>
    <row r="10952" ht="12.75" customHeight="1"/>
    <row r="10953" ht="12.75" customHeight="1"/>
    <row r="10954" ht="12.75" customHeight="1"/>
    <row r="10955" ht="12.75" customHeight="1"/>
    <row r="10956" ht="12.75" customHeight="1"/>
    <row r="10957" ht="12.75" customHeight="1"/>
    <row r="10958" ht="12.75" customHeight="1"/>
    <row r="10959" ht="12.75" customHeight="1"/>
    <row r="10960" ht="12.75" customHeight="1"/>
    <row r="10961" ht="12.75" customHeight="1"/>
    <row r="10962" ht="12.75" customHeight="1"/>
    <row r="10963" ht="12.75" customHeight="1"/>
    <row r="10964" ht="12.75" customHeight="1"/>
    <row r="10965" ht="12.75" customHeight="1"/>
    <row r="10966" ht="12.75" customHeight="1"/>
    <row r="10967" ht="12.75" customHeight="1"/>
    <row r="10968" ht="12.75" customHeight="1"/>
    <row r="10969" ht="12.75" customHeight="1"/>
    <row r="10970" ht="12.75" customHeight="1"/>
    <row r="10971" ht="12.75" customHeight="1"/>
    <row r="10972" ht="12.75" customHeight="1"/>
    <row r="10973" ht="12.75" customHeight="1"/>
    <row r="10974" ht="12.75" customHeight="1"/>
    <row r="10975" ht="12.75" customHeight="1">
      <c r="K10975" s="74"/>
    </row>
    <row r="10976" ht="12.75" customHeight="1"/>
    <row r="10977" ht="12.75" customHeight="1"/>
    <row r="10978" ht="12.75" customHeight="1"/>
    <row r="10979" ht="12.75" customHeight="1"/>
    <row r="10980" ht="12.75" customHeight="1"/>
    <row r="10981" ht="12.75" customHeight="1"/>
    <row r="10982" ht="12.75" customHeight="1"/>
    <row r="10983" ht="12.75" customHeight="1"/>
    <row r="10984" ht="12.75" customHeight="1"/>
    <row r="10985" ht="12.75" customHeight="1"/>
    <row r="10986" ht="12.75" customHeight="1"/>
    <row r="10987" ht="12.75" customHeight="1"/>
    <row r="10988" ht="12.75" customHeight="1"/>
    <row r="10989" ht="12.75" customHeight="1"/>
    <row r="10990" ht="12.75" customHeight="1"/>
    <row r="10991" ht="12.75" customHeight="1"/>
    <row r="10992" ht="12.75" customHeight="1"/>
    <row r="10993" ht="12.75" customHeight="1"/>
    <row r="10994" ht="12.75" customHeight="1"/>
    <row r="10995" ht="12.75" customHeight="1"/>
    <row r="10996" ht="12.75" customHeight="1"/>
    <row r="10997" ht="12.75" customHeight="1"/>
    <row r="10998" ht="12.75" customHeight="1"/>
    <row r="10999" ht="12.75" customHeight="1"/>
    <row r="11000" ht="12.75" customHeight="1"/>
    <row r="11001" ht="12.75" customHeight="1"/>
    <row r="11002" ht="12.75" customHeight="1"/>
    <row r="11003" ht="12.75" customHeight="1"/>
    <row r="11004" ht="12.75" customHeight="1"/>
    <row r="11005" ht="12.75" customHeight="1">
      <c r="K11005" s="74"/>
    </row>
    <row r="11006" ht="12.75" customHeight="1">
      <c r="K11006" s="74"/>
    </row>
    <row r="11007" ht="12.75" customHeight="1">
      <c r="K11007" s="74"/>
    </row>
    <row r="11008" ht="12.75" customHeight="1">
      <c r="K11008" s="74"/>
    </row>
    <row r="11009" ht="12.75" customHeight="1">
      <c r="K11009" s="74"/>
    </row>
    <row r="11010" ht="12.75" customHeight="1">
      <c r="K11010" s="74"/>
    </row>
    <row r="11011" ht="12.75" customHeight="1">
      <c r="K11011" s="74"/>
    </row>
    <row r="11012" ht="12.75" customHeight="1">
      <c r="K11012" s="74"/>
    </row>
    <row r="11013" ht="12.75" customHeight="1">
      <c r="K11013" s="74"/>
    </row>
    <row r="11014" ht="12.75" customHeight="1">
      <c r="K11014" s="74"/>
    </row>
    <row r="11015" ht="12.75" customHeight="1"/>
    <row r="11016" ht="12.75" customHeight="1">
      <c r="K11016" s="74"/>
    </row>
    <row r="11017" ht="12.75" customHeight="1">
      <c r="K11017" s="74"/>
    </row>
    <row r="11018" ht="12.75" customHeight="1">
      <c r="K11018" s="74"/>
    </row>
    <row r="11019" ht="12.75" customHeight="1">
      <c r="K11019" s="74"/>
    </row>
    <row r="11020" ht="12.75" customHeight="1">
      <c r="K11020" s="74"/>
    </row>
    <row r="11021" ht="12.75" customHeight="1">
      <c r="K11021" s="74"/>
    </row>
    <row r="11022" ht="12.75" customHeight="1">
      <c r="K11022" s="74"/>
    </row>
    <row r="11023" ht="12.75" customHeight="1">
      <c r="K11023" s="74"/>
    </row>
    <row r="11024" ht="12.75" customHeight="1">
      <c r="K11024" s="74"/>
    </row>
    <row r="11025" ht="12.75" customHeight="1">
      <c r="K11025" s="74"/>
    </row>
    <row r="11026" ht="12.75" customHeight="1">
      <c r="K11026" s="74"/>
    </row>
    <row r="11027" ht="12.75" customHeight="1">
      <c r="K11027" s="74"/>
    </row>
    <row r="11028" ht="12.75" customHeight="1">
      <c r="K11028" s="74"/>
    </row>
    <row r="11029" ht="12.75" customHeight="1">
      <c r="K11029" s="74"/>
    </row>
    <row r="11030" ht="12.75" customHeight="1">
      <c r="K11030" s="74"/>
    </row>
    <row r="11031" ht="12.75" customHeight="1">
      <c r="K11031" s="74"/>
    </row>
    <row r="11032" ht="12.75" customHeight="1">
      <c r="K11032" s="74"/>
    </row>
    <row r="11033" ht="12.75" customHeight="1">
      <c r="K11033" s="74"/>
    </row>
    <row r="11034" ht="12.75" customHeight="1">
      <c r="K11034" s="74"/>
    </row>
    <row r="11035" ht="12.75" customHeight="1">
      <c r="K11035" s="74"/>
    </row>
    <row r="11036" ht="12.75" customHeight="1">
      <c r="K11036" s="74"/>
    </row>
    <row r="11037" ht="12.75" customHeight="1">
      <c r="K11037" s="74"/>
    </row>
    <row r="11038" ht="12.75" customHeight="1">
      <c r="K11038" s="74"/>
    </row>
    <row r="11039" ht="12.75" customHeight="1">
      <c r="K11039" s="74"/>
    </row>
    <row r="11040" ht="12.75" customHeight="1">
      <c r="K11040" s="74"/>
    </row>
    <row r="11041" ht="12.75" customHeight="1">
      <c r="K11041" s="74"/>
    </row>
    <row r="11042" ht="12.75" customHeight="1">
      <c r="K11042" s="74"/>
    </row>
    <row r="11043" ht="12.75" customHeight="1">
      <c r="K11043" s="74"/>
    </row>
    <row r="11044" ht="12.75" customHeight="1">
      <c r="K11044" s="74"/>
    </row>
    <row r="11045" ht="12.75" customHeight="1">
      <c r="K11045" s="74"/>
    </row>
    <row r="11046" ht="12.75" customHeight="1">
      <c r="K11046" s="74"/>
    </row>
    <row r="11047" ht="12.75" customHeight="1">
      <c r="K11047" s="74"/>
    </row>
    <row r="11048" ht="12.75" customHeight="1">
      <c r="K11048" s="74"/>
    </row>
    <row r="11049" ht="12.75" customHeight="1">
      <c r="K11049" s="74"/>
    </row>
    <row r="11050" ht="12.75" customHeight="1">
      <c r="K11050" s="74"/>
    </row>
    <row r="11051" ht="12.75" customHeight="1">
      <c r="K11051" s="74"/>
    </row>
    <row r="11052" ht="12.75" customHeight="1">
      <c r="K11052" s="74"/>
    </row>
    <row r="11053" ht="12.75" customHeight="1">
      <c r="K11053" s="74"/>
    </row>
    <row r="11054" ht="12.75" customHeight="1">
      <c r="K11054" s="74"/>
    </row>
    <row r="11055" ht="12.75" customHeight="1">
      <c r="K11055" s="74"/>
    </row>
    <row r="11056" ht="12.75" customHeight="1">
      <c r="K11056" s="74"/>
    </row>
    <row r="11057" ht="12.75" customHeight="1"/>
    <row r="11058" ht="12.75" customHeight="1">
      <c r="K11058" s="74"/>
    </row>
    <row r="11059" ht="12.75" customHeight="1"/>
    <row r="11060" ht="12.75" customHeight="1"/>
    <row r="11061" ht="12.75" customHeight="1">
      <c r="K11061" s="74"/>
    </row>
    <row r="11062" ht="12.75" customHeight="1"/>
    <row r="11063" ht="12.75" customHeight="1">
      <c r="K11063" s="74"/>
    </row>
    <row r="11064" ht="12.75" customHeight="1">
      <c r="K11064" s="74"/>
    </row>
    <row r="11065" ht="12.75" customHeight="1">
      <c r="K11065" s="74"/>
    </row>
    <row r="11066" ht="12.75" customHeight="1"/>
    <row r="11067" ht="12.75" customHeight="1">
      <c r="K11067" s="74"/>
    </row>
    <row r="11068" ht="12.75" customHeight="1"/>
    <row r="11069" ht="12.75" customHeight="1"/>
    <row r="11070" ht="12.75" customHeight="1">
      <c r="K11070" s="74"/>
    </row>
    <row r="11071" ht="12.75" customHeight="1">
      <c r="K11071" s="74"/>
    </row>
    <row r="11072" ht="12.75" customHeight="1"/>
    <row r="11073" ht="12.75" customHeight="1"/>
    <row r="11074" ht="12.75" customHeight="1">
      <c r="K11074" s="74"/>
    </row>
    <row r="11075" ht="12.75" customHeight="1">
      <c r="K11075" s="74"/>
    </row>
    <row r="11076" ht="12.75" customHeight="1">
      <c r="K11076" s="74"/>
    </row>
    <row r="11077" ht="12.75" customHeight="1">
      <c r="K11077" s="74"/>
    </row>
    <row r="11078" ht="12.75" customHeight="1">
      <c r="K11078" s="74"/>
    </row>
    <row r="11079" ht="12.75" customHeight="1">
      <c r="K11079" s="74"/>
    </row>
    <row r="11080" ht="12.75" customHeight="1">
      <c r="K11080" s="74"/>
    </row>
    <row r="11081" ht="12.75" customHeight="1">
      <c r="K11081" s="74"/>
    </row>
    <row r="11082" ht="12.75" customHeight="1">
      <c r="K11082" s="74"/>
    </row>
    <row r="11083" ht="12.75" customHeight="1">
      <c r="K11083" s="74"/>
    </row>
    <row r="11084" ht="12.75" customHeight="1">
      <c r="K11084" s="74"/>
    </row>
    <row r="11085" ht="12.75" customHeight="1">
      <c r="K11085" s="74"/>
    </row>
    <row r="11086" ht="12.75" customHeight="1">
      <c r="K11086" s="74"/>
    </row>
    <row r="11087" ht="12.75" customHeight="1">
      <c r="K11087" s="74"/>
    </row>
    <row r="11088" ht="12.75" customHeight="1"/>
    <row r="11089" ht="12.75" customHeight="1">
      <c r="K11089" s="74"/>
    </row>
    <row r="11090" ht="12.75" customHeight="1">
      <c r="K11090" s="74"/>
    </row>
    <row r="11091" ht="12.75" customHeight="1">
      <c r="K11091" s="74"/>
    </row>
    <row r="11092" ht="12.75" customHeight="1">
      <c r="K11092" s="74"/>
    </row>
    <row r="11093" ht="12.75" customHeight="1">
      <c r="K11093" s="74"/>
    </row>
    <row r="11094" ht="12.75" customHeight="1">
      <c r="K11094" s="74"/>
    </row>
    <row r="11095" ht="12.75" customHeight="1">
      <c r="K11095" s="74"/>
    </row>
    <row r="11096" ht="12.75" customHeight="1"/>
    <row r="11097" ht="12.75" customHeight="1">
      <c r="K11097" s="74"/>
    </row>
    <row r="11098" ht="12.75" customHeight="1"/>
    <row r="11099" ht="12.75" customHeight="1"/>
    <row r="11100" ht="12.75" customHeight="1">
      <c r="O11100" s="74"/>
    </row>
    <row r="11101" ht="12.75" customHeight="1">
      <c r="L11101" s="74"/>
    </row>
    <row r="11102" ht="12.75" customHeight="1"/>
    <row r="11103" ht="12.75" customHeight="1"/>
    <row r="11104" ht="12.75" customHeight="1"/>
    <row r="11105" ht="12.75" customHeight="1"/>
    <row r="11106" ht="12.75" customHeight="1"/>
    <row r="11107" ht="12.75" customHeight="1"/>
    <row r="11108" ht="12.75" customHeight="1"/>
    <row r="11109" ht="12.75" customHeight="1"/>
    <row r="11110" ht="12.75" customHeight="1"/>
    <row r="11111" ht="12.75" customHeight="1"/>
    <row r="11112" ht="12.75" customHeight="1"/>
    <row r="11113" ht="12.75" customHeight="1"/>
    <row r="11114" ht="12.75" customHeight="1"/>
    <row r="11115" ht="12.75" customHeight="1"/>
    <row r="11116" ht="12.75" customHeight="1"/>
    <row r="11117" ht="12.75" customHeight="1"/>
    <row r="11118" ht="12.75" customHeight="1"/>
    <row r="11119" ht="12.75" customHeight="1"/>
    <row r="11120" ht="12.75" customHeight="1"/>
    <row r="11121" ht="12.75" customHeight="1"/>
    <row r="11122" ht="12.75" customHeight="1"/>
    <row r="11123" ht="12.75" customHeight="1"/>
    <row r="11124" ht="12.75" customHeight="1"/>
    <row r="11125" ht="12.75" customHeight="1"/>
    <row r="11126" ht="12.75" customHeight="1"/>
    <row r="11127" ht="12.75" customHeight="1"/>
    <row r="11128" ht="12.75" customHeight="1"/>
    <row r="11129" ht="12.75" customHeight="1"/>
    <row r="11130" ht="12.75" customHeight="1"/>
    <row r="11131" ht="12.75" customHeight="1"/>
    <row r="11132" ht="12.75" customHeight="1"/>
    <row r="11133" ht="12.75" customHeight="1"/>
    <row r="11134" ht="12.75" customHeight="1"/>
    <row r="11135" ht="12.75" customHeight="1"/>
    <row r="11136" ht="12.75" customHeight="1"/>
    <row r="11137" ht="12.75" customHeight="1"/>
    <row r="11138" ht="12.75" customHeight="1"/>
    <row r="11139" ht="12.75" customHeight="1"/>
    <row r="11140" ht="12.75" customHeight="1"/>
    <row r="11141" ht="12.75" customHeight="1"/>
    <row r="11142" ht="12.75" customHeight="1"/>
    <row r="11143" ht="12.75" customHeight="1"/>
    <row r="11144" ht="12.75" customHeight="1"/>
    <row r="11145" ht="12.75" customHeight="1"/>
    <row r="11146" ht="12.75" customHeight="1"/>
    <row r="11147" ht="12.75" customHeight="1"/>
    <row r="11148" ht="12.75" customHeight="1"/>
    <row r="11149" ht="12.75" customHeight="1"/>
    <row r="11150" ht="12.75" customHeight="1"/>
    <row r="11151" ht="12.75" customHeight="1"/>
    <row r="11152" ht="12.75" customHeight="1"/>
    <row r="11153" ht="12.75" customHeight="1"/>
    <row r="11154" ht="12.75" customHeight="1"/>
    <row r="11155" ht="12.75" customHeight="1"/>
    <row r="11156" ht="12.75" customHeight="1"/>
    <row r="11157" ht="12.75" customHeight="1"/>
    <row r="11158" ht="12.75" customHeight="1"/>
    <row r="11159" ht="12.75" customHeight="1"/>
    <row r="11160" ht="12.75" customHeight="1"/>
    <row r="11161" ht="12.75" customHeight="1"/>
    <row r="11162" ht="12.75" customHeight="1"/>
    <row r="11163" ht="12.75" customHeight="1"/>
    <row r="11164" ht="12.75" customHeight="1"/>
    <row r="11165" ht="12.75" customHeight="1"/>
    <row r="11166" ht="12.75" customHeight="1"/>
    <row r="11167" ht="12.75" customHeight="1"/>
    <row r="11168" ht="12.75" customHeight="1"/>
    <row r="11169" ht="12.75" customHeight="1"/>
    <row r="11170" ht="12.75" customHeight="1"/>
    <row r="11171" ht="12.75" customHeight="1"/>
    <row r="11172" ht="12.75" customHeight="1"/>
    <row r="11173" ht="12.75" customHeight="1"/>
    <row r="11174" ht="12.75" customHeight="1"/>
    <row r="11175" ht="12.75" customHeight="1"/>
    <row r="11176" ht="12.75" customHeight="1"/>
    <row r="11177" ht="12.75" customHeight="1"/>
    <row r="11178" ht="12.75" customHeight="1"/>
    <row r="11179" ht="12.75" customHeight="1"/>
    <row r="11180" ht="12.75" customHeight="1"/>
    <row r="11181" ht="12.75" customHeight="1"/>
    <row r="11182" ht="12.75" customHeight="1"/>
    <row r="11183" ht="12.75" customHeight="1"/>
    <row r="11184" ht="12.75" customHeight="1"/>
    <row r="11185" ht="12.75" customHeight="1"/>
    <row r="11186" ht="12.75" customHeight="1">
      <c r="AG11186" s="74"/>
    </row>
    <row r="11187" ht="12.75" customHeight="1">
      <c r="AG11187" s="74"/>
    </row>
    <row r="11188" ht="12.75" customHeight="1">
      <c r="AG11188" s="74"/>
    </row>
    <row r="11189" ht="12.75" customHeight="1"/>
    <row r="11190" ht="12.75" customHeight="1"/>
    <row r="11191" ht="12.75" customHeight="1"/>
    <row r="11192" ht="12.75" customHeight="1"/>
    <row r="11193" ht="12.75" customHeight="1"/>
    <row r="11194" ht="12.75" customHeight="1"/>
    <row r="11195" ht="12.75" customHeight="1"/>
    <row r="11196" ht="12.75" customHeight="1"/>
    <row r="11197" ht="12.75" customHeight="1"/>
    <row r="11198" ht="12.75" customHeight="1"/>
    <row r="11199" ht="12.75" customHeight="1"/>
    <row r="11200" ht="12.75" customHeight="1"/>
    <row r="11201" ht="12.75" customHeight="1"/>
    <row r="11202" ht="12.75" customHeight="1"/>
    <row r="11203" ht="12.75" customHeight="1"/>
    <row r="11204" ht="12.75" customHeight="1"/>
    <row r="11205" ht="12.75" customHeight="1">
      <c r="O11205" s="74"/>
    </row>
    <row r="11206" ht="12.75" customHeight="1"/>
    <row r="11207" ht="12.75" customHeight="1"/>
    <row r="11208" ht="12.75" customHeight="1"/>
    <row r="11209" ht="12.75" customHeight="1"/>
    <row r="11210" ht="12.75" customHeight="1"/>
    <row r="11211" ht="12.75" customHeight="1"/>
    <row r="11212" ht="12.75" customHeight="1"/>
    <row r="11213" ht="12.75" customHeight="1"/>
    <row r="11214" ht="12.75" customHeight="1"/>
    <row r="11215" ht="12.75" customHeight="1"/>
    <row r="11216" ht="12.75" customHeight="1"/>
    <row r="11217" ht="12.75" customHeight="1"/>
    <row r="11218" ht="12.75" customHeight="1"/>
    <row r="11219" ht="12.75" customHeight="1"/>
    <row r="11220" ht="12.75" customHeight="1"/>
    <row r="11221" ht="12.75" customHeight="1"/>
    <row r="11222" ht="12.75" customHeight="1"/>
    <row r="11223" ht="12.75" customHeight="1"/>
    <row r="11224" ht="12.75" customHeight="1"/>
    <row r="11225" ht="12.75" customHeight="1"/>
    <row r="11226" ht="12.75" customHeight="1"/>
    <row r="11227" ht="12.75" customHeight="1">
      <c r="F11227" s="74"/>
      <c r="H11227" s="74"/>
    </row>
    <row r="11228" ht="12.75" customHeight="1">
      <c r="L11228" s="74"/>
    </row>
    <row r="11229" ht="12.75" customHeight="1">
      <c r="O11229" s="74"/>
    </row>
    <row r="11230" ht="12.75" customHeight="1"/>
    <row r="11231" ht="12.75" customHeight="1">
      <c r="O11231" s="74"/>
    </row>
    <row r="11232" ht="12.75" customHeight="1">
      <c r="O11232" s="74"/>
    </row>
    <row r="11233" ht="12.75" customHeight="1">
      <c r="O11233" s="74"/>
    </row>
    <row r="11234" ht="12.75" customHeight="1">
      <c r="N11234" s="74"/>
    </row>
    <row r="11235" ht="12.75" customHeight="1">
      <c r="N11235" s="74"/>
    </row>
    <row r="11236" ht="12.75" customHeight="1">
      <c r="N11236" s="74"/>
    </row>
    <row r="11237" ht="12.75" customHeight="1">
      <c r="N11237" s="74"/>
    </row>
    <row r="11238" ht="12.75" customHeight="1">
      <c r="N11238" s="74"/>
    </row>
    <row r="11239" ht="12.75" customHeight="1">
      <c r="R11239" s="74"/>
    </row>
    <row r="11240" ht="12.75" customHeight="1">
      <c r="K11240" s="74"/>
    </row>
    <row r="11241" ht="12.75" customHeight="1">
      <c r="R11241" s="74"/>
    </row>
    <row r="11242" ht="12.75" customHeight="1">
      <c r="K11242" s="74"/>
    </row>
    <row r="11243" ht="12.75" customHeight="1">
      <c r="L11243" s="74"/>
    </row>
    <row r="11244" ht="12.75" customHeight="1">
      <c r="N11244" s="74"/>
    </row>
    <row r="11245" ht="12.75" customHeight="1">
      <c r="L11245" s="74"/>
    </row>
    <row r="11246" ht="12.75" customHeight="1">
      <c r="K11246" s="74"/>
    </row>
    <row r="11247" ht="12.75" customHeight="1">
      <c r="K11247" s="74"/>
    </row>
    <row r="11248" ht="12.75" customHeight="1">
      <c r="K11248" s="74"/>
    </row>
    <row r="11249" ht="12.75" customHeight="1">
      <c r="K11249" s="74"/>
    </row>
    <row r="11250" ht="12.75" customHeight="1">
      <c r="L11250" s="74"/>
    </row>
    <row r="11251" ht="12.75" customHeight="1">
      <c r="L11251" s="74"/>
    </row>
    <row r="11252" ht="12.75" customHeight="1">
      <c r="M11252" s="74"/>
    </row>
    <row r="11253" ht="12.75" customHeight="1"/>
    <row r="11254" ht="12.75" customHeight="1"/>
    <row r="11255" ht="12.75" customHeight="1">
      <c r="W11255" s="74"/>
    </row>
    <row r="11256" ht="12.75" customHeight="1">
      <c r="U11256" s="74"/>
    </row>
    <row r="11257" ht="12.75" customHeight="1">
      <c r="F11257" s="74"/>
      <c r="H11257" s="74"/>
    </row>
    <row r="11258" ht="12.75" customHeight="1"/>
    <row r="11259" ht="12.75" customHeight="1">
      <c r="K11259" s="74"/>
    </row>
    <row r="11260" ht="12.75" customHeight="1"/>
    <row r="11261" ht="12.75" customHeight="1">
      <c r="Q11261" s="74"/>
    </row>
    <row r="11262" ht="12.75" customHeight="1"/>
    <row r="11263" ht="12.75" customHeight="1"/>
    <row r="11264" ht="12.75" customHeight="1"/>
    <row r="11265" ht="12.75" customHeight="1"/>
    <row r="11266" ht="12.75" customHeight="1"/>
    <row r="11267" ht="12.75" customHeight="1"/>
    <row r="11268" ht="12.75" customHeight="1"/>
    <row r="11269" ht="12.75" customHeight="1"/>
    <row r="11270" ht="12.75" customHeight="1"/>
    <row r="11271" ht="12.75" customHeight="1">
      <c r="L11271" s="74"/>
    </row>
    <row r="11272" ht="12.75" customHeight="1">
      <c r="L11272" s="74"/>
    </row>
    <row r="11273" ht="12.75" customHeight="1">
      <c r="M11273" s="74"/>
    </row>
    <row r="11274" ht="12.75" customHeight="1"/>
    <row r="11275" ht="12.75" customHeight="1">
      <c r="N11275" s="74"/>
    </row>
    <row r="11276" ht="12.75" customHeight="1">
      <c r="M11276" s="74"/>
    </row>
    <row r="11277" ht="12.75" customHeight="1">
      <c r="T11277" s="74"/>
    </row>
    <row r="11278" ht="12.75" customHeight="1">
      <c r="L11278" s="74"/>
    </row>
    <row r="11279" ht="12.75" customHeight="1">
      <c r="R11279" s="74"/>
    </row>
    <row r="11280" ht="12.75" customHeight="1"/>
    <row r="11281" ht="12.75" customHeight="1"/>
    <row r="11282" ht="12.75" customHeight="1"/>
    <row r="11283" ht="12.75" customHeight="1"/>
    <row r="11284" ht="12.75" customHeight="1"/>
    <row r="11285" ht="12.75" customHeight="1"/>
    <row r="11286" ht="12.75" customHeight="1"/>
    <row r="11287" ht="12.75" customHeight="1"/>
    <row r="11288" ht="12.75" customHeight="1"/>
    <row r="11289" ht="12.75" customHeight="1"/>
    <row r="11290" ht="12.75" customHeight="1"/>
    <row r="11291" ht="12.75" customHeight="1"/>
    <row r="11292" ht="12.75" customHeight="1"/>
    <row r="11293" ht="12.75" customHeight="1"/>
    <row r="11294" ht="12.75" customHeight="1"/>
    <row r="11295" ht="12.75" customHeight="1"/>
    <row r="11296" ht="12.75" customHeight="1"/>
    <row r="11297" ht="12.75" customHeight="1"/>
    <row r="11298" ht="12.75" customHeight="1"/>
    <row r="11299" ht="12.75" customHeight="1"/>
    <row r="11300" ht="12.75" customHeight="1"/>
    <row r="11301" ht="12.75" customHeight="1"/>
    <row r="11302" ht="12.75" customHeight="1"/>
    <row r="11303" ht="12.75" customHeight="1"/>
    <row r="11304" ht="12.75" customHeight="1"/>
    <row r="11305" ht="12.75" customHeight="1"/>
    <row r="11306" ht="12.75" customHeight="1"/>
    <row r="11307" ht="12.75" customHeight="1"/>
    <row r="11308" ht="12.75" customHeight="1"/>
    <row r="11309" ht="12.75" customHeight="1"/>
    <row r="11310" ht="12.75" customHeight="1"/>
    <row r="11311" ht="12.75" customHeight="1"/>
    <row r="11312" ht="12.75" customHeight="1"/>
    <row r="11313" ht="12.75" customHeight="1"/>
    <row r="11314" ht="12.75" customHeight="1"/>
    <row r="11315" ht="12.75" customHeight="1"/>
    <row r="11316" ht="12.75" customHeight="1"/>
    <row r="11317" ht="12.75" customHeight="1"/>
    <row r="11318" ht="12.75" customHeight="1"/>
    <row r="11319" ht="12.75" customHeight="1"/>
    <row r="11320" ht="12.75" customHeight="1"/>
    <row r="11321" ht="12.75" customHeight="1"/>
    <row r="11322" ht="12.75" customHeight="1"/>
    <row r="11323" ht="12.75" customHeight="1"/>
    <row r="11324" ht="12.75" customHeight="1"/>
    <row r="11325" ht="12.75" customHeight="1"/>
    <row r="11326" ht="12.75" customHeight="1"/>
    <row r="11327" ht="12.75" customHeight="1"/>
    <row r="11328" ht="12.75" customHeight="1"/>
    <row r="11329" ht="12.75" customHeight="1"/>
    <row r="11330" ht="12.75" customHeight="1"/>
    <row r="11331" ht="12.75" customHeight="1"/>
    <row r="11332" ht="12.75" customHeight="1"/>
    <row r="11333" ht="12.75" customHeight="1"/>
    <row r="11334" ht="12.75" customHeight="1"/>
    <row r="11335" ht="12.75" customHeight="1"/>
    <row r="11336" ht="12.75" customHeight="1"/>
    <row r="11337" ht="12.75" customHeight="1"/>
    <row r="11338" ht="12.75" customHeight="1"/>
    <row r="11339" ht="12.75" customHeight="1"/>
    <row r="11340" ht="12.75" customHeight="1"/>
    <row r="11341" ht="12.75" customHeight="1"/>
    <row r="11342" ht="12.75" customHeight="1"/>
    <row r="11343" ht="12.75" customHeight="1"/>
    <row r="11344" ht="12.75" customHeight="1"/>
    <row r="11345" ht="12.75" customHeight="1"/>
    <row r="11346" ht="12.75" customHeight="1"/>
    <row r="11347" ht="12.75" customHeight="1"/>
    <row r="11348" ht="12.75" customHeight="1"/>
    <row r="11349" ht="12.75" customHeight="1"/>
    <row r="11350" ht="12.75" customHeight="1"/>
    <row r="11351" ht="12.75" customHeight="1"/>
    <row r="11352" ht="12.75" customHeight="1"/>
    <row r="11353" ht="12.75" customHeight="1"/>
    <row r="11354" ht="12.75" customHeight="1"/>
    <row r="11355" ht="12.75" customHeight="1"/>
    <row r="11356" ht="12.75" customHeight="1"/>
    <row r="11357" ht="12.75" customHeight="1"/>
    <row r="11358" ht="12.75" customHeight="1"/>
    <row r="11359" ht="12.75" customHeight="1"/>
    <row r="11360" ht="12.75" customHeight="1"/>
    <row r="11361" ht="12.75" customHeight="1"/>
    <row r="11362" ht="12.75" customHeight="1"/>
    <row r="11363" ht="12.75" customHeight="1"/>
    <row r="11364" ht="12.75" customHeight="1"/>
    <row r="11365" ht="12.75" customHeight="1"/>
    <row r="11366" ht="12.75" customHeight="1"/>
    <row r="11367" ht="12.75" customHeight="1"/>
    <row r="11368" ht="12.75" customHeight="1"/>
    <row r="11369" ht="12.75" customHeight="1"/>
    <row r="11370" ht="12.75" customHeight="1"/>
    <row r="11371" ht="12.75" customHeight="1"/>
    <row r="11372" ht="12.75" customHeight="1"/>
    <row r="11373" ht="12.75" customHeight="1"/>
    <row r="11374" ht="12.75" customHeight="1"/>
    <row r="11375" ht="12.75" customHeight="1"/>
    <row r="11376" ht="12.75" customHeight="1">
      <c r="AA11376" s="74"/>
    </row>
    <row r="11377" ht="12.75" customHeight="1">
      <c r="R11377" s="74"/>
    </row>
    <row r="11378" ht="12.75" customHeight="1">
      <c r="P11378" s="74"/>
    </row>
    <row r="11379" ht="12.75" customHeight="1">
      <c r="P11379" s="74"/>
    </row>
    <row r="11380" ht="12.75" customHeight="1">
      <c r="N11380" s="74"/>
    </row>
    <row r="11381" ht="12.75" customHeight="1">
      <c r="V11381" s="74"/>
    </row>
    <row r="11382" ht="12.75" customHeight="1">
      <c r="X11382" s="74"/>
    </row>
    <row r="11383" ht="12.75" customHeight="1">
      <c r="K11383" s="74"/>
    </row>
    <row r="11384" ht="12.75" customHeight="1"/>
    <row r="11385" ht="12.75" customHeight="1"/>
    <row r="11386" ht="12.75" customHeight="1"/>
    <row r="11387" ht="12.75" customHeight="1"/>
    <row r="11388" ht="12.75" customHeight="1"/>
    <row r="11389" ht="12.75" customHeight="1"/>
    <row r="11390" ht="12.75" customHeight="1"/>
    <row r="11391" ht="12.75" customHeight="1"/>
    <row r="11392" ht="12.75" customHeight="1"/>
    <row r="11393" ht="12.75" customHeight="1"/>
    <row r="11394" ht="12.75" customHeight="1"/>
    <row r="11395" ht="12.75" customHeight="1"/>
    <row r="11396" ht="12.75" customHeight="1"/>
    <row r="11397" ht="12.75" customHeight="1"/>
    <row r="11398" ht="12.75" customHeight="1"/>
    <row r="11399" ht="12.75" customHeight="1"/>
    <row r="11400" ht="12.75" customHeight="1"/>
    <row r="11401" ht="12.75" customHeight="1"/>
    <row r="11402" ht="12.75" customHeight="1"/>
    <row r="11403" ht="12.75" customHeight="1"/>
    <row r="11404" ht="12.75" customHeight="1"/>
    <row r="11405" ht="12.75" customHeight="1"/>
    <row r="11406" ht="12.75" customHeight="1"/>
    <row r="11407" ht="12.75" customHeight="1"/>
    <row r="11408" ht="12.75" customHeight="1"/>
    <row r="11409" ht="12.75" customHeight="1"/>
    <row r="11410" ht="12.75" customHeight="1"/>
    <row r="11411" ht="12.75" customHeight="1"/>
    <row r="11412" ht="12.75" customHeight="1"/>
    <row r="11413" ht="12.75" customHeight="1"/>
    <row r="11414" ht="12.75" customHeight="1"/>
    <row r="11415" ht="12.75" customHeight="1"/>
    <row r="11416" ht="12.75" customHeight="1"/>
    <row r="11417" ht="12.75" customHeight="1"/>
    <row r="11418" ht="12.75" customHeight="1"/>
    <row r="11419" ht="12.75" customHeight="1"/>
    <row r="11420" ht="12.75" customHeight="1"/>
    <row r="11421" ht="12.75" customHeight="1"/>
    <row r="11422" ht="12.75" customHeight="1"/>
    <row r="11423" ht="12.75" customHeight="1"/>
    <row r="11424" ht="12.75" customHeight="1"/>
    <row r="11425" ht="12.75" customHeight="1"/>
    <row r="11426" ht="12.75" customHeight="1"/>
    <row r="11427" ht="12.75" customHeight="1"/>
    <row r="11428" ht="12.75" customHeight="1"/>
    <row r="11429" ht="12.75" customHeight="1"/>
    <row r="11430" ht="12.75" customHeight="1"/>
    <row r="11431" ht="12.75" customHeight="1"/>
    <row r="11432" ht="12.75" customHeight="1"/>
    <row r="11433" ht="12.75" customHeight="1"/>
    <row r="11434" ht="12.75" customHeight="1"/>
    <row r="11435" ht="12.75" customHeight="1"/>
    <row r="11436" ht="12.75" customHeight="1"/>
    <row r="11437" ht="12.75" customHeight="1"/>
    <row r="11438" ht="12.75" customHeight="1"/>
    <row r="11439" ht="12.75" customHeight="1"/>
    <row r="11440" ht="12.75" customHeight="1"/>
    <row r="11441" ht="12.75" customHeight="1"/>
    <row r="11442" ht="12.75" customHeight="1"/>
    <row r="11443" ht="12.75" customHeight="1"/>
    <row r="11444" ht="12.75" customHeight="1"/>
    <row r="11445" ht="12.75" customHeight="1"/>
    <row r="11446" ht="12.75" customHeight="1"/>
    <row r="11447" ht="12.75" customHeight="1"/>
    <row r="11448" ht="12.75" customHeight="1"/>
    <row r="11449" ht="12.75" customHeight="1"/>
    <row r="11450" ht="12.75" customHeight="1"/>
    <row r="11451" ht="12.75" customHeight="1"/>
    <row r="11452" ht="12.75" customHeight="1"/>
    <row r="11453" ht="12.75" customHeight="1"/>
    <row r="11454" ht="12.75" customHeight="1"/>
    <row r="11455" ht="12.75" customHeight="1"/>
    <row r="11456" ht="12.75" customHeight="1"/>
    <row r="11457" ht="12.75" customHeight="1"/>
    <row r="11458" ht="12.75" customHeight="1"/>
    <row r="11459" ht="12.75" customHeight="1"/>
    <row r="11460" ht="12.75" customHeight="1"/>
    <row r="11461" ht="12.75" customHeight="1"/>
    <row r="11462" ht="12.75" customHeight="1"/>
    <row r="11463" ht="12.75" customHeight="1"/>
    <row r="11464" ht="12.75" customHeight="1"/>
    <row r="11465" ht="12.75" customHeight="1"/>
    <row r="11466" ht="12.75" customHeight="1"/>
    <row r="11467" ht="12.75" customHeight="1"/>
    <row r="11468" ht="12.75" customHeight="1"/>
    <row r="11469" ht="12.75" customHeight="1"/>
    <row r="11470" ht="12.75" customHeight="1"/>
    <row r="11471" ht="12.75" customHeight="1"/>
    <row r="11472" ht="12.75" customHeight="1"/>
    <row r="11473" ht="12.75" customHeight="1"/>
    <row r="11474" ht="12.75" customHeight="1"/>
    <row r="11475" ht="12.75" customHeight="1"/>
    <row r="11476" ht="12.75" customHeight="1"/>
    <row r="11477" ht="12.75" customHeight="1"/>
    <row r="11478" ht="12.75" customHeight="1"/>
    <row r="11479" ht="12.75" customHeight="1"/>
    <row r="11480" ht="12.75" customHeight="1"/>
    <row r="11481" ht="12.75" customHeight="1"/>
    <row r="11482" ht="12.75" customHeight="1"/>
    <row r="11483" ht="12.75" customHeight="1"/>
    <row r="11484" ht="12.75" customHeight="1"/>
    <row r="11485" ht="12.75" customHeight="1"/>
    <row r="11486" ht="12.75" customHeight="1"/>
    <row r="11487" ht="12.75" customHeight="1"/>
    <row r="11488" ht="12.75" customHeight="1"/>
    <row r="11489" ht="12.75" customHeight="1"/>
    <row r="11490" ht="12.75" customHeight="1"/>
    <row r="11491" ht="12.75" customHeight="1"/>
    <row r="11492" ht="12.75" customHeight="1"/>
    <row r="11493" ht="12.75" customHeight="1"/>
    <row r="11494" ht="12.75" customHeight="1"/>
    <row r="11495" ht="12.75" customHeight="1"/>
    <row r="11496" ht="12.75" customHeight="1"/>
    <row r="11497" ht="12.75" customHeight="1"/>
    <row r="11498" ht="12.75" customHeight="1"/>
    <row r="11499" ht="12.75" customHeight="1"/>
    <row r="11500" ht="12.75" customHeight="1"/>
    <row r="11501" ht="12.75" customHeight="1"/>
    <row r="11502" ht="12.75" customHeight="1"/>
    <row r="11503" ht="12.75" customHeight="1"/>
    <row r="11504" ht="12.75" customHeight="1"/>
    <row r="11505" ht="12.75" customHeight="1"/>
    <row r="11506" ht="12.75" customHeight="1"/>
    <row r="11507" ht="12.75" customHeight="1"/>
    <row r="11508" ht="12.75" customHeight="1"/>
    <row r="11509" ht="12.75" customHeight="1"/>
    <row r="11510" ht="12.75" customHeight="1"/>
    <row r="11511" ht="12.75" customHeight="1"/>
    <row r="11512" ht="12.75" customHeight="1"/>
    <row r="11513" ht="12.75" customHeight="1"/>
    <row r="11514" ht="12.75" customHeight="1"/>
    <row r="11515" ht="12.75" customHeight="1"/>
    <row r="11516" ht="12.75" customHeight="1"/>
    <row r="11517" ht="12.75" customHeight="1"/>
    <row r="11518" ht="12.75" customHeight="1"/>
    <row r="11519" ht="12.75" customHeight="1"/>
    <row r="11520" ht="12.75" customHeight="1"/>
    <row r="11521" ht="12.75" customHeight="1"/>
    <row r="11522" ht="12.75" customHeight="1"/>
    <row r="11523" ht="12.75" customHeight="1"/>
    <row r="11524" ht="12.75" customHeight="1"/>
    <row r="11525" ht="12.75" customHeight="1"/>
    <row r="11526" ht="12.75" customHeight="1"/>
    <row r="11527" ht="12.75" customHeight="1"/>
    <row r="11528" ht="12.75" customHeight="1"/>
    <row r="11529" ht="12.75" customHeight="1"/>
    <row r="11530" ht="12.75" customHeight="1"/>
    <row r="11531" ht="12.75" customHeight="1"/>
    <row r="11532" ht="12.75" customHeight="1"/>
    <row r="11533" ht="12.75" customHeight="1"/>
    <row r="11534" ht="12.75" customHeight="1"/>
    <row r="11535" ht="12.75" customHeight="1"/>
    <row r="11536" ht="12.75" customHeight="1"/>
    <row r="11537" ht="12.75" customHeight="1"/>
    <row r="11538" ht="12.75" customHeight="1"/>
    <row r="11539" ht="12.75" customHeight="1"/>
    <row r="11540" ht="12.75" customHeight="1"/>
    <row r="11541" ht="12.75" customHeight="1"/>
    <row r="11542" ht="12.75" customHeight="1"/>
    <row r="11543" ht="12.75" customHeight="1"/>
    <row r="11544" ht="12.75" customHeight="1"/>
    <row r="11545" ht="12.75" customHeight="1"/>
    <row r="11546" ht="12.75" customHeight="1"/>
    <row r="11547" ht="12.75" customHeight="1"/>
    <row r="11548" ht="12.75" customHeight="1"/>
    <row r="11549" ht="12.75" customHeight="1"/>
    <row r="11550" ht="12.75" customHeight="1"/>
    <row r="11551" ht="12.75" customHeight="1"/>
    <row r="11552" ht="12.75" customHeight="1"/>
    <row r="11553" ht="12.75" customHeight="1"/>
    <row r="11554" ht="12.75" customHeight="1"/>
    <row r="11555" ht="12.75" customHeight="1"/>
    <row r="11556" ht="12.75" customHeight="1"/>
    <row r="11557" ht="12.75" customHeight="1"/>
    <row r="11558" ht="12.75" customHeight="1"/>
    <row r="11559" ht="12.75" customHeight="1"/>
    <row r="11560" ht="12.75" customHeight="1"/>
    <row r="11561" ht="12.75" customHeight="1"/>
    <row r="11562" ht="12.75" customHeight="1"/>
    <row r="11563" ht="12.75" customHeight="1"/>
    <row r="11564" ht="12.75" customHeight="1"/>
    <row r="11565" ht="12.75" customHeight="1"/>
    <row r="11566" ht="12.75" customHeight="1"/>
    <row r="11567" ht="12.75" customHeight="1"/>
    <row r="11568" ht="12.75" customHeight="1"/>
    <row r="11569" ht="12.75" customHeight="1"/>
    <row r="11570" ht="12.75" customHeight="1"/>
    <row r="11571" ht="12.75" customHeight="1"/>
    <row r="11572" ht="12.75" customHeight="1"/>
    <row r="11573" ht="12.75" customHeight="1"/>
    <row r="11574" ht="12.75" customHeight="1"/>
    <row r="11575" ht="12.75" customHeight="1"/>
    <row r="11576" ht="12.75" customHeight="1"/>
    <row r="11577" ht="12.75" customHeight="1"/>
    <row r="11578" ht="12.75" customHeight="1"/>
    <row r="11579" ht="12.75" customHeight="1"/>
    <row r="11580" ht="12.75" customHeight="1"/>
    <row r="11581" ht="12.75" customHeight="1"/>
    <row r="11582" ht="12.75" customHeight="1"/>
    <row r="11583" ht="12.75" customHeight="1"/>
    <row r="11584" ht="12.75" customHeight="1"/>
    <row r="11585" ht="12.75" customHeight="1"/>
    <row r="11586" ht="12.75" customHeight="1"/>
    <row r="11587" ht="12.75" customHeight="1"/>
    <row r="11588" ht="12.75" customHeight="1"/>
    <row r="11589" ht="12.75" customHeight="1"/>
    <row r="11590" ht="12.75" customHeight="1"/>
    <row r="11591" ht="12.75" customHeight="1"/>
    <row r="11592" ht="12.75" customHeight="1"/>
    <row r="11593" ht="12.75" customHeight="1"/>
    <row r="11594" ht="12.75" customHeight="1"/>
    <row r="11595" ht="12.75" customHeight="1"/>
    <row r="11596" ht="12.75" customHeight="1"/>
    <row r="11597" ht="12.75" customHeight="1"/>
    <row r="11598" ht="12.75" customHeight="1"/>
    <row r="11599" ht="12.75" customHeight="1"/>
    <row r="11600" ht="12.75" customHeight="1"/>
    <row r="11601" ht="12.75" customHeight="1"/>
    <row r="11602" ht="12.75" customHeight="1"/>
    <row r="11603" ht="12.75" customHeight="1"/>
    <row r="11604" ht="12.75" customHeight="1"/>
    <row r="11605" ht="12.75" customHeight="1"/>
    <row r="11606" ht="12.75" customHeight="1"/>
    <row r="11607" ht="12.75" customHeight="1"/>
    <row r="11608" ht="12.75" customHeight="1"/>
    <row r="11609" ht="12.75" customHeight="1"/>
    <row r="11610" ht="12.75" customHeight="1"/>
    <row r="11611" ht="12.75" customHeight="1"/>
    <row r="11612" ht="12.75" customHeight="1"/>
    <row r="11613" ht="12.75" customHeight="1"/>
    <row r="11614" ht="12.75" customHeight="1"/>
    <row r="11615" ht="12.75" customHeight="1"/>
    <row r="11616" ht="12.75" customHeight="1"/>
    <row r="11617" ht="12.75" customHeight="1"/>
    <row r="11618" ht="12.75" customHeight="1"/>
    <row r="11619" ht="12.75" customHeight="1"/>
    <row r="11620" ht="12.75" customHeight="1"/>
    <row r="11621" ht="12.75" customHeight="1"/>
    <row r="11622" ht="12.75" customHeight="1"/>
    <row r="11623" ht="12.75" customHeight="1"/>
    <row r="11624" ht="12.75" customHeight="1"/>
    <row r="11625" ht="12.75" customHeight="1"/>
    <row r="11626" ht="12.75" customHeight="1"/>
    <row r="11627" ht="12.75" customHeight="1"/>
    <row r="11628" ht="12.75" customHeight="1"/>
    <row r="11629" ht="12.75" customHeight="1"/>
    <row r="11630" ht="12.75" customHeight="1"/>
    <row r="11631" ht="12.75" customHeight="1"/>
    <row r="11632" ht="12.75" customHeight="1"/>
    <row r="11633" ht="12.75" customHeight="1"/>
    <row r="11634" ht="12.75" customHeight="1"/>
    <row r="11635" ht="12.75" customHeight="1"/>
    <row r="11636" ht="12.75" customHeight="1"/>
    <row r="11637" ht="12.75" customHeight="1"/>
    <row r="11638" ht="12.75" customHeight="1"/>
    <row r="11639" ht="12.75" customHeight="1"/>
    <row r="11640" ht="12.75" customHeight="1"/>
    <row r="11641" ht="12.75" customHeight="1"/>
    <row r="11642" ht="12.75" customHeight="1"/>
    <row r="11643" ht="12.75" customHeight="1"/>
    <row r="11644" ht="12.75" customHeight="1"/>
    <row r="11645" ht="12.75" customHeight="1"/>
    <row r="11646" ht="12.75" customHeight="1"/>
    <row r="11647" ht="12.75" customHeight="1"/>
    <row r="11648" ht="12.75" customHeight="1"/>
    <row r="11649" ht="12.75" customHeight="1"/>
    <row r="11650" ht="12.75" customHeight="1"/>
    <row r="11651" ht="12.75" customHeight="1"/>
    <row r="11652" ht="12.75" customHeight="1"/>
    <row r="11653" ht="12.75" customHeight="1"/>
    <row r="11654" ht="12.75" customHeight="1"/>
    <row r="11655" ht="12.75" customHeight="1"/>
    <row r="11656" ht="12.75" customHeight="1"/>
    <row r="11657" ht="12.75" customHeight="1"/>
    <row r="11658" ht="12.75" customHeight="1"/>
    <row r="11659" ht="12.75" customHeight="1"/>
    <row r="11660" ht="12.75" customHeight="1"/>
    <row r="11661" ht="12.75" customHeight="1"/>
    <row r="11662" ht="12.75" customHeight="1"/>
    <row r="11663" ht="12.75" customHeight="1"/>
    <row r="11664" ht="12.75" customHeight="1"/>
    <row r="11665" ht="12.75" customHeight="1"/>
    <row r="11666" ht="12.75" customHeight="1"/>
    <row r="11667" ht="12.75" customHeight="1"/>
    <row r="11668" ht="12.75" customHeight="1"/>
    <row r="11669" ht="12.75" customHeight="1"/>
    <row r="11670" ht="12.75" customHeight="1"/>
    <row r="11671" ht="12.75" customHeight="1"/>
    <row r="11672" ht="12.75" customHeight="1"/>
    <row r="11673" ht="12.75" customHeight="1"/>
    <row r="11674" ht="12.75" customHeight="1"/>
    <row r="11675" ht="12.75" customHeight="1"/>
    <row r="11676" ht="12.75" customHeight="1"/>
    <row r="11677" ht="12.75" customHeight="1"/>
    <row r="11678" ht="12.75" customHeight="1"/>
    <row r="11679" ht="12.75" customHeight="1"/>
    <row r="11680" ht="12.75" customHeight="1"/>
    <row r="11681" ht="12.75" customHeight="1"/>
    <row r="11682" ht="12.75" customHeight="1"/>
    <row r="11683" ht="12.75" customHeight="1"/>
    <row r="11684" ht="12.75" customHeight="1"/>
    <row r="11685" ht="12.75" customHeight="1"/>
    <row r="11686" ht="12.75" customHeight="1"/>
    <row r="11687" ht="12.75" customHeight="1"/>
    <row r="11688" ht="12.75" customHeight="1"/>
    <row r="11689" ht="12.75" customHeight="1"/>
    <row r="11690" ht="12.75" customHeight="1"/>
    <row r="11691" ht="12.75" customHeight="1"/>
    <row r="11692" ht="12.75" customHeight="1"/>
    <row r="11693" ht="12.75" customHeight="1"/>
    <row r="11694" ht="12.75" customHeight="1"/>
    <row r="11695" ht="12.75" customHeight="1"/>
    <row r="11696" ht="12.75" customHeight="1"/>
    <row r="11697" ht="12.75" customHeight="1"/>
    <row r="11698" ht="12.75" customHeight="1"/>
    <row r="11699" ht="12.75" customHeight="1"/>
    <row r="11700" ht="12.75" customHeight="1"/>
    <row r="11701" ht="12.75" customHeight="1"/>
    <row r="11702" ht="12.75" customHeight="1"/>
    <row r="11703" ht="12.75" customHeight="1"/>
    <row r="11704" ht="12.75" customHeight="1"/>
    <row r="11705" ht="12.75" customHeight="1"/>
    <row r="11706" ht="12.75" customHeight="1"/>
    <row r="11707" ht="12.75" customHeight="1"/>
    <row r="11708" ht="12.75" customHeight="1"/>
    <row r="11709" ht="12.75" customHeight="1"/>
    <row r="11710" ht="12.75" customHeight="1"/>
    <row r="11711" ht="12.75" customHeight="1"/>
    <row r="11712" ht="12.75" customHeight="1"/>
    <row r="11713" ht="12.75" customHeight="1"/>
    <row r="11714" ht="12.75" customHeight="1"/>
    <row r="11715" ht="12.75" customHeight="1"/>
    <row r="11716" ht="12.75" customHeight="1"/>
    <row r="11717" ht="12.75" customHeight="1"/>
    <row r="11718" ht="12.75" customHeight="1"/>
    <row r="11719" ht="12.75" customHeight="1"/>
    <row r="11720" ht="12.75" customHeight="1"/>
    <row r="11721" ht="12.75" customHeight="1"/>
    <row r="11722" ht="12.75" customHeight="1"/>
    <row r="11723" ht="12.75" customHeight="1"/>
    <row r="11724" ht="12.75" customHeight="1"/>
    <row r="11725" ht="12.75" customHeight="1"/>
    <row r="11726" ht="12.75" customHeight="1"/>
    <row r="11727" ht="12.75" customHeight="1"/>
    <row r="11728" ht="12.75" customHeight="1"/>
    <row r="11729" ht="12.75" customHeight="1">
      <c r="F11729" s="74"/>
      <c r="H11729" s="74"/>
    </row>
    <row r="11730" ht="12.75" customHeight="1"/>
    <row r="11731" ht="12.75" customHeight="1"/>
    <row r="11732" ht="12.75" customHeight="1"/>
    <row r="11733" ht="12.75" customHeight="1"/>
    <row r="11734" ht="12.75" customHeight="1"/>
    <row r="11735" ht="12.75" customHeight="1"/>
    <row r="11736" ht="12.75" customHeight="1"/>
    <row r="11737" ht="12.75" customHeight="1"/>
    <row r="11738" ht="12.75" customHeight="1"/>
    <row r="11739" ht="12.75" customHeight="1"/>
    <row r="11740" ht="12.75" customHeight="1"/>
    <row r="11741" ht="12.75" customHeight="1"/>
    <row r="11742" ht="12.75" customHeight="1"/>
    <row r="11743" ht="12.75" customHeight="1"/>
    <row r="11744" ht="12.75" customHeight="1"/>
    <row r="11745" ht="12.75" customHeight="1"/>
    <row r="11746" ht="12.75" customHeight="1"/>
    <row r="11747" ht="12.75" customHeight="1"/>
    <row r="11748" ht="12.75" customHeight="1"/>
    <row r="11749" ht="12.75" customHeight="1"/>
    <row r="11750" ht="12.75" customHeight="1"/>
    <row r="11751" ht="12.75" customHeight="1"/>
    <row r="11752" ht="12.75" customHeight="1"/>
    <row r="11753" ht="12.75" customHeight="1"/>
    <row r="11754" ht="12.75" customHeight="1"/>
    <row r="11755" ht="12.75" customHeight="1"/>
    <row r="11756" ht="12.75" customHeight="1"/>
    <row r="11757" ht="12.75" customHeight="1"/>
    <row r="11758" ht="12.75" customHeight="1"/>
    <row r="11759" ht="12.75" customHeight="1"/>
    <row r="11760" ht="12.75" customHeight="1"/>
    <row r="11761" ht="12.75" customHeight="1"/>
    <row r="11762" ht="12.75" customHeight="1"/>
    <row r="11763" ht="12.75" customHeight="1"/>
    <row r="11764" ht="12.75" customHeight="1"/>
    <row r="11765" ht="12.75" customHeight="1"/>
    <row r="11766" ht="12.75" customHeight="1"/>
    <row r="11767" ht="12.75" customHeight="1"/>
    <row r="11768" ht="12.75" customHeight="1"/>
    <row r="11769" ht="12.75" customHeight="1"/>
    <row r="11770" ht="12.75" customHeight="1"/>
    <row r="11771" ht="12.75" customHeight="1"/>
    <row r="11772" ht="12.75" customHeight="1"/>
    <row r="11773" ht="12.75" customHeight="1"/>
    <row r="11774" ht="12.75" customHeight="1"/>
    <row r="11775" ht="12.75" customHeight="1"/>
    <row r="11776" ht="12.75" customHeight="1"/>
    <row r="11777" ht="12.75" customHeight="1"/>
    <row r="11778" ht="12.75" customHeight="1"/>
    <row r="11779" ht="12.75" customHeight="1"/>
    <row r="11780" ht="12.75" customHeight="1"/>
    <row r="11781" ht="12.75" customHeight="1">
      <c r="F11781" s="74"/>
      <c r="H11781" s="74"/>
    </row>
    <row r="11782" ht="12.75" customHeight="1"/>
    <row r="11783" ht="12.75" customHeight="1"/>
    <row r="11784" ht="12.75" customHeight="1"/>
    <row r="11785" ht="12.75" customHeight="1"/>
    <row r="11786" ht="12.75" customHeight="1"/>
    <row r="11787" ht="12.75" customHeight="1"/>
    <row r="11788" ht="12.75" customHeight="1"/>
    <row r="11789" ht="12.75" customHeight="1"/>
    <row r="11790" ht="12.75" customHeight="1"/>
    <row r="11791" ht="12.75" customHeight="1"/>
    <row r="11792" ht="12.75" customHeight="1"/>
    <row r="11793" ht="12.75" customHeight="1"/>
    <row r="11794" ht="12.75" customHeight="1"/>
    <row r="11795" ht="12.75" customHeight="1"/>
    <row r="11796" ht="12.75" customHeight="1"/>
    <row r="11797" ht="12.75" customHeight="1"/>
    <row r="11798" ht="12.75" customHeight="1"/>
    <row r="11799" ht="12.75" customHeight="1"/>
    <row r="11800" ht="12.75" customHeight="1"/>
    <row r="11801" ht="12.75" customHeight="1"/>
    <row r="11802" ht="12.75" customHeight="1"/>
    <row r="11803" ht="12.75" customHeight="1"/>
    <row r="11804" ht="12.75" customHeight="1"/>
    <row r="11805" ht="12.75" customHeight="1"/>
    <row r="11806" ht="12.75" customHeight="1"/>
    <row r="11807" ht="12.75" customHeight="1"/>
    <row r="11808" ht="12.75" customHeight="1"/>
    <row r="11809" ht="12.75" customHeight="1"/>
    <row r="11810" ht="12.75" customHeight="1"/>
    <row r="11811" ht="12.75" customHeight="1"/>
    <row r="11812" ht="12.75" customHeight="1"/>
    <row r="11813" ht="12.75" customHeight="1"/>
    <row r="11814" ht="12.75" customHeight="1"/>
    <row r="11815" ht="12.75" customHeight="1"/>
    <row r="11816" ht="12.75" customHeight="1"/>
    <row r="11817" ht="12.75" customHeight="1"/>
    <row r="11818" ht="12.75" customHeight="1"/>
    <row r="11819" ht="12.75" customHeight="1"/>
    <row r="11820" ht="12.75" customHeight="1"/>
    <row r="11821" ht="12.75" customHeight="1"/>
    <row r="11822" ht="12.75" customHeight="1"/>
    <row r="11823" ht="12.75" customHeight="1"/>
    <row r="11824" ht="12.75" customHeight="1"/>
    <row r="11825" ht="12.75" customHeight="1"/>
    <row r="11826" ht="12.75" customHeight="1"/>
    <row r="11827" ht="12.75" customHeight="1"/>
    <row r="11828" ht="12.75" customHeight="1"/>
    <row r="11829" ht="12.75" customHeight="1"/>
    <row r="11830" ht="12.75" customHeight="1"/>
    <row r="11831" ht="12.75" customHeight="1"/>
    <row r="11832" ht="12.75" customHeight="1"/>
    <row r="11833" ht="12.75" customHeight="1"/>
    <row r="11834" ht="12.75" customHeight="1"/>
    <row r="11835" ht="12.75" customHeight="1"/>
    <row r="11836" ht="12.75" customHeight="1"/>
    <row r="11837" ht="12.75" customHeight="1"/>
    <row r="11838" ht="12.75" customHeight="1"/>
    <row r="11839" ht="12.75" customHeight="1"/>
    <row r="11840" ht="12.75" customHeight="1"/>
    <row r="11841" ht="12.75" customHeight="1"/>
    <row r="11842" ht="12.75" customHeight="1"/>
    <row r="11843" ht="12.75" customHeight="1"/>
    <row r="11844" ht="12.75" customHeight="1"/>
    <row r="11845" ht="12.75" customHeight="1"/>
    <row r="11846" ht="12.75" customHeight="1"/>
    <row r="11847" ht="12.75" customHeight="1"/>
    <row r="11848" ht="12.75" customHeight="1"/>
    <row r="11849" ht="12.75" customHeight="1"/>
    <row r="11850" ht="12.75" customHeight="1"/>
    <row r="11851" ht="12.75" customHeight="1"/>
    <row r="11852" ht="12.75" customHeight="1"/>
    <row r="11853" ht="12.75" customHeight="1"/>
    <row r="11854" ht="12.75" customHeight="1"/>
    <row r="11855" ht="12.75" customHeight="1"/>
    <row r="11856" ht="12.75" customHeight="1"/>
    <row r="11857" ht="12.75" customHeight="1"/>
    <row r="11858" ht="12.75" customHeight="1"/>
    <row r="11859" ht="12.75" customHeight="1"/>
    <row r="11860" ht="12.75" customHeight="1"/>
    <row r="11861" ht="12.75" customHeight="1"/>
    <row r="11862" ht="12.75" customHeight="1"/>
    <row r="11863" ht="12.75" customHeight="1"/>
    <row r="11864" ht="12.75" customHeight="1"/>
    <row r="11865" ht="12.75" customHeight="1"/>
    <row r="11866" ht="12.75" customHeight="1"/>
    <row r="11867" ht="12.75" customHeight="1"/>
    <row r="11868" ht="12.75" customHeight="1"/>
    <row r="11869" ht="12.75" customHeight="1"/>
    <row r="11870" ht="12.75" customHeight="1"/>
    <row r="11871" ht="12.75" customHeight="1"/>
    <row r="11872" ht="12.75" customHeight="1"/>
    <row r="11873" ht="12.75" customHeight="1"/>
    <row r="11874" ht="12.75" customHeight="1"/>
    <row r="11875" ht="12.75" customHeight="1"/>
    <row r="11876" ht="12.75" customHeight="1"/>
    <row r="11877" ht="12.75" customHeight="1"/>
    <row r="11878" ht="12.75" customHeight="1"/>
    <row r="11879" ht="12.75" customHeight="1"/>
    <row r="11880" ht="12.75" customHeight="1"/>
    <row r="11881" ht="12.75" customHeight="1"/>
    <row r="11882" ht="12.75" customHeight="1"/>
    <row r="11883" ht="12.75" customHeight="1"/>
    <row r="11884" ht="12.75" customHeight="1"/>
    <row r="11885" ht="12.75" customHeight="1"/>
    <row r="11886" ht="12.75" customHeight="1"/>
    <row r="11887" ht="12.75" customHeight="1"/>
    <row r="11888" ht="12.75" customHeight="1"/>
    <row r="11889" ht="12.75" customHeight="1"/>
    <row r="11890" ht="12.75" customHeight="1"/>
    <row r="11891" ht="12.75" customHeight="1"/>
    <row r="11892" ht="12.75" customHeight="1"/>
    <row r="11893" ht="12.75" customHeight="1"/>
    <row r="11894" ht="12.75" customHeight="1"/>
    <row r="11895" ht="12.75" customHeight="1"/>
    <row r="11896" ht="12.75" customHeight="1"/>
    <row r="11897" ht="12.75" customHeight="1"/>
    <row r="11898" ht="12.75" customHeight="1"/>
    <row r="11899" ht="12.75" customHeight="1"/>
    <row r="11900" ht="12.75" customHeight="1"/>
    <row r="11901" ht="12.75" customHeight="1"/>
    <row r="11902" ht="12.75" customHeight="1"/>
    <row r="11903" ht="12.75" customHeight="1"/>
    <row r="11904" ht="12.75" customHeight="1"/>
    <row r="11905" ht="12.75" customHeight="1"/>
    <row r="11906" ht="12.75" customHeight="1"/>
    <row r="11907" ht="12.75" customHeight="1"/>
    <row r="11908" ht="12.75" customHeight="1"/>
    <row r="11909" ht="12.75" customHeight="1"/>
    <row r="11910" ht="12.75" customHeight="1"/>
    <row r="11911" ht="12.75" customHeight="1"/>
    <row r="11912" ht="12.75" customHeight="1"/>
    <row r="11913" ht="12.75" customHeight="1"/>
    <row r="11914" ht="12.75" customHeight="1"/>
    <row r="11915" ht="12.75" customHeight="1"/>
    <row r="11916" ht="12.75" customHeight="1">
      <c r="AG11916" s="74"/>
    </row>
    <row r="11917" ht="12.75" customHeight="1"/>
    <row r="11918" ht="12.75" customHeight="1"/>
    <row r="11919" ht="12.75" customHeight="1"/>
    <row r="11920" ht="12.75" customHeight="1"/>
    <row r="11921" ht="12.75" customHeight="1"/>
    <row r="11922" ht="12.75" customHeight="1"/>
    <row r="11923" ht="12.75" customHeight="1"/>
    <row r="11924" ht="12.75" customHeight="1"/>
    <row r="11925" ht="12.75" customHeight="1"/>
    <row r="11926" ht="12.75" customHeight="1"/>
    <row r="11927" ht="12.75" customHeight="1"/>
    <row r="11928" ht="12.75" customHeight="1"/>
    <row r="11929" ht="12.75" customHeight="1"/>
    <row r="11930" ht="12.75" customHeight="1"/>
    <row r="11931" ht="12.75" customHeight="1"/>
    <row r="11932" ht="12.75" customHeight="1">
      <c r="F11932" s="74"/>
      <c r="H11932" s="74"/>
    </row>
    <row r="11933" ht="12.75" customHeight="1"/>
    <row r="11934" ht="12.75" customHeight="1"/>
    <row r="11935" ht="12.75" customHeight="1"/>
    <row r="11936" ht="12.75" customHeight="1"/>
    <row r="11937" ht="12.75" customHeight="1"/>
    <row r="11938" ht="12.75" customHeight="1"/>
    <row r="11939" ht="12.75" customHeight="1"/>
    <row r="11940" ht="12.75" customHeight="1"/>
    <row r="11941" ht="12.75" customHeight="1"/>
    <row r="11942" ht="12.75" customHeight="1"/>
    <row r="11943" ht="12.75" customHeight="1"/>
    <row r="11944" ht="12.75" customHeight="1"/>
    <row r="11945" ht="12.75" customHeight="1"/>
    <row r="11946" ht="12.75" customHeight="1"/>
    <row r="11947" ht="12.75" customHeight="1"/>
    <row r="11948" ht="12.75" customHeight="1"/>
    <row r="11949" ht="12.75" customHeight="1"/>
    <row r="11950" ht="12.75" customHeight="1"/>
    <row r="11951" ht="12.75" customHeight="1"/>
    <row r="11952" ht="12.75" customHeight="1"/>
    <row r="11953" ht="12.75" customHeight="1"/>
    <row r="11954" ht="12.75" customHeight="1"/>
    <row r="11955" ht="12.75" customHeight="1"/>
    <row r="11956" ht="12.75" customHeight="1"/>
    <row r="11957" ht="12.75" customHeight="1"/>
    <row r="11958" ht="12.75" customHeight="1"/>
    <row r="11959" ht="12.75" customHeight="1"/>
    <row r="11960" ht="12.75" customHeight="1"/>
    <row r="11961" ht="12.75" customHeight="1"/>
    <row r="11962" ht="12.75" customHeight="1"/>
    <row r="11963" ht="12.75" customHeight="1"/>
    <row r="11964" ht="12.75" customHeight="1"/>
    <row r="11965" ht="12.75" customHeight="1"/>
    <row r="11966" ht="12.75" customHeight="1"/>
    <row r="11967" ht="12.75" customHeight="1"/>
    <row r="11968" ht="12.75" customHeight="1"/>
    <row r="11969" ht="12.75" customHeight="1"/>
    <row r="11970" ht="12.75" customHeight="1"/>
    <row r="11971" ht="12.75" customHeight="1"/>
    <row r="11972" ht="12.75" customHeight="1"/>
    <row r="11973" ht="12.75" customHeight="1"/>
    <row r="11974" ht="12.75" customHeight="1"/>
    <row r="11975" ht="12.75" customHeight="1"/>
    <row r="11976" ht="12.75" customHeight="1"/>
    <row r="11977" ht="12.75" customHeight="1"/>
    <row r="11978" ht="12.75" customHeight="1"/>
    <row r="11979" ht="12.75" customHeight="1"/>
    <row r="11980" ht="12.75" customHeight="1"/>
    <row r="11981" ht="12.75" customHeight="1"/>
    <row r="11982" ht="12.75" customHeight="1"/>
    <row r="11983" ht="12.75" customHeight="1"/>
    <row r="11984" ht="12.75" customHeight="1"/>
    <row r="11985" ht="12.75" customHeight="1"/>
    <row r="11986" ht="12.75" customHeight="1"/>
    <row r="11987" ht="12.75" customHeight="1"/>
    <row r="11988" ht="12.75" customHeight="1"/>
    <row r="11989" ht="12.75" customHeight="1"/>
    <row r="11990" ht="12.75" customHeight="1"/>
    <row r="11991" ht="12.75" customHeight="1"/>
    <row r="11992" ht="12.75" customHeight="1"/>
    <row r="11993" ht="12.75" customHeight="1"/>
    <row r="11994" ht="12.75" customHeight="1"/>
    <row r="11995" ht="12.75" customHeight="1"/>
    <row r="11996" ht="12.75" customHeight="1"/>
    <row r="11997" ht="12.75" customHeight="1"/>
    <row r="11998" ht="12.75" customHeight="1"/>
    <row r="11999" ht="12.75" customHeight="1"/>
    <row r="12000" ht="12.75" customHeight="1"/>
    <row r="12001" ht="12.75" customHeight="1"/>
    <row r="12002" ht="12.75" customHeight="1"/>
    <row r="12003" ht="12.75" customHeight="1"/>
    <row r="12004" ht="12.75" customHeight="1"/>
    <row r="12005" ht="12.75" customHeight="1"/>
    <row r="12006" ht="12.75" customHeight="1"/>
    <row r="12007" ht="12.75" customHeight="1"/>
    <row r="12008" ht="12.75" customHeight="1"/>
    <row r="12009" ht="12.75" customHeight="1"/>
    <row r="12010" ht="12.75" customHeight="1"/>
    <row r="12011" ht="12.75" customHeight="1"/>
    <row r="12012" ht="12.75" customHeight="1"/>
    <row r="12013" ht="12.75" customHeight="1"/>
    <row r="12014" ht="12.75" customHeight="1"/>
    <row r="12015" ht="12.75" customHeight="1"/>
    <row r="12016" ht="12.75" customHeight="1"/>
    <row r="12017" ht="12.75" customHeight="1"/>
    <row r="12018" ht="12.75" customHeight="1"/>
    <row r="12019" ht="12.75" customHeight="1"/>
    <row r="12020" ht="12.75" customHeight="1"/>
    <row r="12021" ht="12.75" customHeight="1"/>
    <row r="12022" ht="12.75" customHeight="1"/>
    <row r="12023" ht="12.75" customHeight="1"/>
    <row r="12024" ht="12.75" customHeight="1"/>
    <row r="12025" ht="12.75" customHeight="1"/>
    <row r="12026" ht="12.75" customHeight="1"/>
    <row r="12027" ht="12.75" customHeight="1"/>
    <row r="12028" ht="12.75" customHeight="1"/>
    <row r="12029" ht="12.75" customHeight="1"/>
    <row r="12030" ht="12.75" customHeight="1"/>
    <row r="12031" ht="12.75" customHeight="1"/>
    <row r="12032" ht="12.75" customHeight="1"/>
    <row r="12033" ht="12.75" customHeight="1"/>
    <row r="12034" ht="12.75" customHeight="1"/>
    <row r="12035" ht="12.75" customHeight="1"/>
    <row r="12036" ht="12.75" customHeight="1"/>
    <row r="12037" ht="12.75" customHeight="1"/>
    <row r="12038" ht="12.75" customHeight="1"/>
    <row r="12039" ht="12.75" customHeight="1"/>
    <row r="12040" ht="12.75" customHeight="1">
      <c r="F12040" s="74"/>
      <c r="H12040" s="74"/>
    </row>
    <row r="12041" ht="12.75" customHeight="1">
      <c r="F12041" s="74"/>
      <c r="H12041" s="74"/>
    </row>
    <row r="12042" ht="12.75" customHeight="1"/>
    <row r="12043" ht="12.75" customHeight="1"/>
    <row r="12044" ht="12.75" customHeight="1"/>
    <row r="12045" ht="12.75" customHeight="1"/>
    <row r="12046" ht="12.75" customHeight="1"/>
    <row r="12047" ht="12.75" customHeight="1"/>
    <row r="12048" ht="12.75" customHeight="1"/>
    <row r="12049" ht="12.75" customHeight="1"/>
    <row r="12050" ht="12.75" customHeight="1"/>
    <row r="12051" ht="12.75" customHeight="1"/>
    <row r="12052" ht="12.75" customHeight="1"/>
    <row r="12053" ht="12.75" customHeight="1"/>
    <row r="12054" ht="12.75" customHeight="1"/>
    <row r="12055" ht="12.75" customHeight="1"/>
    <row r="12056" ht="12.75" customHeight="1"/>
    <row r="12057" ht="12.75" customHeight="1"/>
    <row r="12058" ht="12.75" customHeight="1"/>
    <row r="12059" ht="12.75" customHeight="1"/>
    <row r="12060" ht="12.75" customHeight="1"/>
    <row r="12061" ht="12.75" customHeight="1"/>
    <row r="12062" ht="12.75" customHeight="1"/>
    <row r="12063" ht="12.75" customHeight="1"/>
    <row r="12064" ht="12.75" customHeight="1"/>
    <row r="12065" ht="12.75" customHeight="1"/>
    <row r="12066" ht="12.75" customHeight="1"/>
    <row r="12067" ht="12.75" customHeight="1"/>
    <row r="12068" ht="12.75" customHeight="1"/>
    <row r="12069" ht="12.75" customHeight="1"/>
    <row r="12070" ht="12.75" customHeight="1"/>
    <row r="12071" ht="12.75" customHeight="1"/>
    <row r="12072" ht="12.75" customHeight="1"/>
    <row r="12073" ht="12.75" customHeight="1"/>
    <row r="12074" ht="12.75" customHeight="1"/>
    <row r="12075" ht="12.75" customHeight="1"/>
    <row r="12076" ht="12.75" customHeight="1"/>
    <row r="12077" ht="12.75" customHeight="1"/>
    <row r="12078" ht="12.75" customHeight="1"/>
    <row r="12079" ht="12.75" customHeight="1"/>
    <row r="12080" ht="12.75" customHeight="1"/>
    <row r="12081" ht="12.75" customHeight="1"/>
    <row r="12082" ht="12.75" customHeight="1"/>
    <row r="12083" ht="12.75" customHeight="1"/>
    <row r="12084" ht="12.75" customHeight="1"/>
    <row r="12085" ht="12.75" customHeight="1"/>
    <row r="12086" ht="12.75" customHeight="1"/>
    <row r="12087" ht="12.75" customHeight="1"/>
    <row r="12088" ht="12.75" customHeight="1"/>
    <row r="12089" ht="12.75" customHeight="1"/>
    <row r="12090" ht="12.75" customHeight="1"/>
    <row r="12091" ht="12.75" customHeight="1"/>
    <row r="12092" ht="12.75" customHeight="1"/>
    <row r="12093" ht="12.75" customHeight="1"/>
    <row r="12094" ht="12.75" customHeight="1"/>
    <row r="12095" ht="12.75" customHeight="1"/>
    <row r="12096" ht="12.75" customHeight="1"/>
    <row r="12097" ht="12.75" customHeight="1"/>
    <row r="12098" ht="12.75" customHeight="1"/>
    <row r="12099" ht="12.75" customHeight="1"/>
    <row r="12100" ht="12.75" customHeight="1"/>
    <row r="12101" ht="12.75" customHeight="1"/>
    <row r="12102" ht="12.75" customHeight="1"/>
    <row r="12103" ht="12.75" customHeight="1"/>
    <row r="12104" ht="12.75" customHeight="1"/>
    <row r="12105" ht="12.75" customHeight="1"/>
    <row r="12106" ht="12.75" customHeight="1"/>
    <row r="12107" ht="12.75" customHeight="1"/>
    <row r="12108" ht="12.75" customHeight="1"/>
    <row r="12109" ht="12.75" customHeight="1">
      <c r="K12109" s="74"/>
    </row>
    <row r="12110" ht="12.75" customHeight="1"/>
    <row r="12111" ht="12.75" customHeight="1"/>
    <row r="12112" ht="12.75" customHeight="1"/>
    <row r="12113" ht="12.75" customHeight="1"/>
    <row r="12114" ht="12.75" customHeight="1"/>
    <row r="12115" ht="12.75" customHeight="1"/>
    <row r="12116" ht="12.75" customHeight="1"/>
    <row r="12117" ht="12.75" customHeight="1"/>
    <row r="12118" ht="12.75" customHeight="1"/>
    <row r="12119" ht="12.75" customHeight="1"/>
    <row r="12120" ht="12.75" customHeight="1"/>
    <row r="12121" ht="12.75" customHeight="1"/>
    <row r="12122" ht="12.75" customHeight="1"/>
    <row r="12123" ht="12.75" customHeight="1"/>
    <row r="12124" ht="12.75" customHeight="1"/>
    <row r="12125" ht="12.75" customHeight="1"/>
    <row r="12126" ht="12.75" customHeight="1"/>
    <row r="12127" ht="12.75" customHeight="1"/>
    <row r="12128" ht="12.75" customHeight="1"/>
    <row r="12129" ht="12.75" customHeight="1"/>
    <row r="12130" ht="12.75" customHeight="1"/>
    <row r="12131" ht="12.75" customHeight="1"/>
    <row r="12132" ht="12.75" customHeight="1">
      <c r="F12132" s="74"/>
      <c r="H12132" s="74"/>
    </row>
    <row r="12133" ht="12.75" customHeight="1"/>
    <row r="12134" ht="12.75" customHeight="1"/>
    <row r="12135" ht="12.75" customHeight="1"/>
    <row r="12136" ht="12.75" customHeight="1"/>
    <row r="12137" ht="12.75" customHeight="1"/>
    <row r="12138" ht="12.75" customHeight="1">
      <c r="AG12138" s="74"/>
    </row>
    <row r="12139" ht="12.75" customHeight="1"/>
    <row r="12140" ht="12.75" customHeight="1"/>
    <row r="12141" ht="12.75" customHeight="1">
      <c r="AG12141" s="74"/>
    </row>
    <row r="12142" ht="12.75" customHeight="1"/>
    <row r="12143" ht="12.75" customHeight="1"/>
    <row r="12144" ht="12.75" customHeight="1"/>
    <row r="12145" ht="12.75" customHeight="1"/>
    <row r="12146" ht="12.75" customHeight="1"/>
    <row r="12147" ht="12.75" customHeight="1"/>
    <row r="12148" ht="12.75" customHeight="1"/>
    <row r="12149" ht="12.75" customHeight="1"/>
    <row r="12150" ht="12.75" customHeight="1"/>
    <row r="12151" ht="12.75" customHeight="1"/>
    <row r="12152" ht="12.75" customHeight="1"/>
    <row r="12153" ht="12.75" customHeight="1"/>
    <row r="12154" ht="12.75" customHeight="1"/>
    <row r="12155" ht="12.75" customHeight="1"/>
    <row r="12156" ht="12.75" customHeight="1"/>
    <row r="12157" ht="12.75" customHeight="1"/>
    <row r="12158" ht="12.75" customHeight="1"/>
    <row r="12159" ht="12.75" customHeight="1"/>
    <row r="12160" ht="12.75" customHeight="1"/>
    <row r="12161" ht="12.75" customHeight="1"/>
    <row r="12162" ht="12.75" customHeight="1"/>
    <row r="12163" ht="12.75" customHeight="1"/>
    <row r="12164" ht="12.75" customHeight="1"/>
    <row r="12165" ht="12.75" customHeight="1"/>
    <row r="12166" ht="12.75" customHeight="1"/>
    <row r="12167" ht="12.75" customHeight="1"/>
    <row r="12168" ht="12.75" customHeight="1"/>
    <row r="12169" ht="12.75" customHeight="1"/>
    <row r="12170" ht="12.75" customHeight="1"/>
    <row r="12171" ht="12.75" customHeight="1"/>
    <row r="12172" ht="12.75" customHeight="1"/>
    <row r="12173" ht="12.75" customHeight="1"/>
    <row r="12174" ht="12.75" customHeight="1"/>
    <row r="12175" ht="12.75" customHeight="1"/>
    <row r="12176" ht="12.75" customHeight="1"/>
    <row r="12177" ht="12.75" customHeight="1"/>
    <row r="12178" ht="12.75" customHeight="1"/>
    <row r="12179" ht="12.75" customHeight="1"/>
    <row r="12180" ht="12.75" customHeight="1"/>
    <row r="12181" ht="12.75" customHeight="1"/>
    <row r="12182" ht="12.75" customHeight="1"/>
    <row r="12183" ht="12.75" customHeight="1"/>
    <row r="12184" ht="12.75" customHeight="1"/>
    <row r="12185" ht="12.75" customHeight="1"/>
    <row r="12186" ht="12.75" customHeight="1"/>
    <row r="12187" ht="12.75" customHeight="1"/>
    <row r="12188" ht="12.75" customHeight="1"/>
    <row r="12189" ht="12.75" customHeight="1"/>
    <row r="12190" ht="12.75" customHeight="1"/>
    <row r="12191" ht="12.75" customHeight="1"/>
    <row r="12192" ht="12.75" customHeight="1"/>
    <row r="12193" ht="12.75" customHeight="1"/>
    <row r="12194" ht="12.75" customHeight="1"/>
    <row r="12195" ht="12.75" customHeight="1"/>
    <row r="12196" ht="12.75" customHeight="1"/>
    <row r="12197" ht="12.75" customHeight="1"/>
    <row r="12198" ht="12.75" customHeight="1"/>
    <row r="12199" ht="12.75" customHeight="1"/>
    <row r="12200" ht="12.75" customHeight="1"/>
    <row r="12201" ht="12.75" customHeight="1"/>
    <row r="12202" ht="12.75" customHeight="1"/>
    <row r="12203" ht="12.75" customHeight="1"/>
    <row r="12204" ht="12.75" customHeight="1"/>
    <row r="12205" ht="12.75" customHeight="1"/>
    <row r="12206" ht="12.75" customHeight="1"/>
    <row r="12207" ht="12.75" customHeight="1"/>
    <row r="12208" ht="12.75" customHeight="1"/>
    <row r="12209" ht="12.75" customHeight="1"/>
    <row r="12210" ht="12.75" customHeight="1"/>
    <row r="12211" ht="12.75" customHeight="1">
      <c r="F12211" s="74"/>
      <c r="H12211" s="74"/>
    </row>
    <row r="12212" ht="12.75" customHeight="1"/>
    <row r="12213" ht="12.75" customHeight="1"/>
    <row r="12214" ht="12.75" customHeight="1"/>
    <row r="12215" ht="12.75" customHeight="1"/>
    <row r="12216" ht="12.75" customHeight="1"/>
    <row r="12217" ht="12.75" customHeight="1"/>
    <row r="12218" ht="12.75" customHeight="1"/>
    <row r="12219" ht="12.75" customHeight="1"/>
    <row r="12220" ht="12.75" customHeight="1"/>
    <row r="12221" ht="12.75" customHeight="1"/>
    <row r="12222" ht="12.75" customHeight="1"/>
    <row r="12223" ht="12.75" customHeight="1"/>
    <row r="12224" ht="12.75" customHeight="1"/>
    <row r="12225" ht="12.75" customHeight="1"/>
    <row r="12226" ht="12.75" customHeight="1"/>
    <row r="12227" ht="12.75" customHeight="1"/>
    <row r="12228" ht="12.75" customHeight="1"/>
    <row r="12229" ht="12.75" customHeight="1"/>
    <row r="12230" ht="12.75" customHeight="1"/>
    <row r="12231" ht="12.75" customHeight="1"/>
    <row r="12232" ht="12.75" customHeight="1"/>
    <row r="12233" ht="12.75" customHeight="1"/>
    <row r="12234" ht="12.75" customHeight="1"/>
    <row r="12235" ht="12.75" customHeight="1"/>
    <row r="12236" ht="12.75" customHeight="1"/>
    <row r="12237" ht="12.75" customHeight="1"/>
    <row r="12238" ht="12.75" customHeight="1"/>
    <row r="12239" ht="12.75" customHeight="1"/>
    <row r="12240" ht="12.75" customHeight="1"/>
    <row r="12241" ht="12.75" customHeight="1"/>
    <row r="12242" ht="12.75" customHeight="1"/>
    <row r="12243" ht="12.75" customHeight="1"/>
    <row r="12244" ht="12.75" customHeight="1"/>
    <row r="12245" ht="12.75" customHeight="1"/>
    <row r="12246" ht="12.75" customHeight="1"/>
    <row r="12247" ht="12.75" customHeight="1"/>
    <row r="12248" ht="12.75" customHeight="1"/>
    <row r="12249" ht="12.75" customHeight="1"/>
    <row r="12250" ht="12.75" customHeight="1"/>
    <row r="12251" ht="12.75" customHeight="1"/>
    <row r="12252" ht="12.75" customHeight="1"/>
    <row r="12253" ht="12.75" customHeight="1"/>
    <row r="12254" ht="12.75" customHeight="1"/>
    <row r="12255" ht="12.75" customHeight="1"/>
    <row r="12256" ht="12.75" customHeight="1"/>
    <row r="12257" ht="12.75" customHeight="1"/>
    <row r="12258" ht="12.75" customHeight="1"/>
    <row r="12259" ht="12.75" customHeight="1"/>
    <row r="12260" ht="12.75" customHeight="1"/>
    <row r="12261" ht="12.75" customHeight="1"/>
    <row r="12262" ht="12.75" customHeight="1"/>
    <row r="12263" ht="12.75" customHeight="1"/>
    <row r="12264" ht="12.75" customHeight="1"/>
    <row r="12265" ht="12.75" customHeight="1"/>
    <row r="12266" ht="12.75" customHeight="1"/>
    <row r="12267" ht="12.75" customHeight="1"/>
    <row r="12268" ht="12.75" customHeight="1"/>
    <row r="12269" ht="12.75" customHeight="1"/>
    <row r="12270" ht="12.75" customHeight="1"/>
    <row r="12271" ht="12.75" customHeight="1"/>
    <row r="12272" ht="12.75" customHeight="1"/>
    <row r="12273" ht="12.75" customHeight="1"/>
    <row r="12274" ht="12.75" customHeight="1"/>
    <row r="12275" ht="12.75" customHeight="1"/>
    <row r="12276" ht="12.75" customHeight="1"/>
    <row r="12277" ht="12.75" customHeight="1"/>
    <row r="12278" ht="12.75" customHeight="1"/>
    <row r="12279" ht="12.75" customHeight="1"/>
    <row r="12280" ht="12.75" customHeight="1"/>
    <row r="12281" ht="12.75" customHeight="1"/>
    <row r="12282" ht="12.75" customHeight="1"/>
    <row r="12283" ht="12.75" customHeight="1"/>
    <row r="12284" ht="12.75" customHeight="1"/>
    <row r="12285" ht="12.75" customHeight="1"/>
    <row r="12286" ht="12.75" customHeight="1"/>
    <row r="12287" ht="12.75" customHeight="1"/>
    <row r="12288" ht="12.75" customHeight="1"/>
    <row r="12289" ht="12.75" customHeight="1"/>
    <row r="12290" ht="12.75" customHeight="1"/>
    <row r="12291" ht="12.75" customHeight="1"/>
    <row r="12292" ht="12.75" customHeight="1"/>
    <row r="12293" ht="12.75" customHeight="1"/>
    <row r="12294" ht="12.75" customHeight="1"/>
    <row r="12295" ht="12.75" customHeight="1"/>
    <row r="12296" ht="12.75" customHeight="1"/>
    <row r="12297" ht="12.75" customHeight="1"/>
    <row r="12298" ht="12.75" customHeight="1"/>
    <row r="12299" ht="12.75" customHeight="1"/>
    <row r="12300" ht="12.75" customHeight="1"/>
    <row r="12301" ht="12.75" customHeight="1"/>
    <row r="12302" ht="12.75" customHeight="1"/>
    <row r="12303" ht="12.75" customHeight="1"/>
    <row r="12304" ht="12.75" customHeight="1"/>
    <row r="12305" ht="12.75" customHeight="1"/>
    <row r="12306" ht="12.75" customHeight="1"/>
    <row r="12307" ht="12.75" customHeight="1"/>
    <row r="12308" ht="12.75" customHeight="1"/>
    <row r="12309" ht="12.75" customHeight="1"/>
    <row r="12310" ht="12.75" customHeight="1"/>
    <row r="12311" ht="12.75" customHeight="1"/>
    <row r="12312" ht="12.75" customHeight="1"/>
    <row r="12313" ht="12.75" customHeight="1"/>
    <row r="12314" ht="12.75" customHeight="1"/>
    <row r="12315" ht="12.75" customHeight="1"/>
    <row r="12316" ht="12.75" customHeight="1"/>
    <row r="12317" ht="12.75" customHeight="1"/>
    <row r="12318" ht="12.75" customHeight="1"/>
    <row r="12319" ht="12.75" customHeight="1"/>
    <row r="12320" ht="12.75" customHeight="1"/>
    <row r="12321" ht="12.75" customHeight="1"/>
    <row r="12322" ht="12.75" customHeight="1"/>
    <row r="12323" ht="12.75" customHeight="1"/>
    <row r="12324" ht="12.75" customHeight="1"/>
    <row r="12325" ht="12.75" customHeight="1"/>
    <row r="12326" ht="12.75" customHeight="1"/>
    <row r="12327" ht="12.75" customHeight="1"/>
    <row r="12328" ht="12.75" customHeight="1"/>
    <row r="12329" ht="12.75" customHeight="1"/>
    <row r="12330" ht="12.75" customHeight="1"/>
    <row r="12331" ht="12.75" customHeight="1"/>
    <row r="12332" ht="12.75" customHeight="1"/>
    <row r="12333" ht="12.75" customHeight="1"/>
    <row r="12334" ht="12.75" customHeight="1"/>
    <row r="12335" ht="12.75" customHeight="1"/>
    <row r="12336" ht="12.75" customHeight="1"/>
    <row r="12337" ht="12.75" customHeight="1"/>
    <row r="12338" ht="12.75" customHeight="1"/>
    <row r="12339" ht="12.75" customHeight="1"/>
    <row r="12340" ht="12.75" customHeight="1"/>
    <row r="12341" ht="12.75" customHeight="1"/>
    <row r="12342" ht="12.75" customHeight="1"/>
    <row r="12343" ht="12.75" customHeight="1"/>
    <row r="12344" ht="12.75" customHeight="1"/>
    <row r="12345" ht="12.75" customHeight="1"/>
    <row r="12346" ht="12.75" customHeight="1"/>
    <row r="12347" ht="12.75" customHeight="1"/>
    <row r="12348" ht="12.75" customHeight="1"/>
    <row r="12349" ht="12.75" customHeight="1"/>
    <row r="12350" ht="12.75" customHeight="1"/>
    <row r="12351" ht="12.75" customHeight="1"/>
    <row r="12352" ht="12.75" customHeight="1"/>
    <row r="12353" ht="12.75" customHeight="1"/>
    <row r="12354" ht="12.75" customHeight="1"/>
    <row r="12355" ht="12.75" customHeight="1"/>
    <row r="12356" ht="12.75" customHeight="1"/>
    <row r="12357" ht="12.75" customHeight="1"/>
    <row r="12358" ht="12.75" customHeight="1"/>
    <row r="12359" ht="12.75" customHeight="1"/>
    <row r="12360" ht="12.75" customHeight="1"/>
    <row r="12361" ht="12.75" customHeight="1"/>
    <row r="12362" ht="12.75" customHeight="1"/>
    <row r="12363" ht="12.75" customHeight="1"/>
    <row r="12364" ht="12.75" customHeight="1"/>
    <row r="12365" ht="12.75" customHeight="1"/>
    <row r="12366" ht="12.75" customHeight="1"/>
    <row r="12367" ht="12.75" customHeight="1"/>
    <row r="12368" ht="12.75" customHeight="1"/>
    <row r="12369" ht="12.75" customHeight="1"/>
    <row r="12370" ht="12.75" customHeight="1"/>
    <row r="12371" ht="12.75" customHeight="1"/>
    <row r="12372" ht="12.75" customHeight="1"/>
    <row r="12373" ht="12.75" customHeight="1"/>
    <row r="12374" ht="12.75" customHeight="1"/>
    <row r="12375" ht="12.75" customHeight="1"/>
    <row r="12376" ht="12.75" customHeight="1">
      <c r="F12376" s="74"/>
      <c r="H12376" s="74"/>
    </row>
    <row r="12377" ht="12.75" customHeight="1"/>
    <row r="12378" ht="12.75" customHeight="1"/>
    <row r="12379" ht="12.75" customHeight="1">
      <c r="K12379" s="74"/>
    </row>
    <row r="12380" ht="12.75" customHeight="1"/>
    <row r="12381" ht="12.75" customHeight="1"/>
    <row r="12382" ht="12.75" customHeight="1"/>
    <row r="12383" ht="12.75" customHeight="1"/>
    <row r="12384" ht="12.75" customHeight="1"/>
    <row r="12385" ht="12.75" customHeight="1"/>
    <row r="12386" ht="12.75" customHeight="1"/>
    <row r="12387" ht="12.75" customHeight="1"/>
    <row r="12388" ht="12.75" customHeight="1"/>
    <row r="12389" ht="12.75" customHeight="1"/>
    <row r="12390" ht="12.75" customHeight="1"/>
    <row r="12391" ht="12.75" customHeight="1"/>
    <row r="12392" ht="12.75" customHeight="1"/>
    <row r="12393" ht="12.75" customHeight="1"/>
    <row r="12394" ht="12.75" customHeight="1"/>
    <row r="12395" ht="12.75" customHeight="1"/>
    <row r="12396" ht="12.75" customHeight="1"/>
    <row r="12397" ht="12.75" customHeight="1"/>
    <row r="12398" ht="12.75" customHeight="1"/>
    <row r="12399" ht="12.75" customHeight="1"/>
    <row r="12400" ht="12.75" customHeight="1"/>
    <row r="12401" ht="12.75" customHeight="1"/>
    <row r="12402" ht="12.75" customHeight="1"/>
    <row r="12403" ht="12.75" customHeight="1"/>
    <row r="12404" ht="12.75" customHeight="1"/>
    <row r="12405" ht="12.75" customHeight="1"/>
    <row r="12406" ht="12.75" customHeight="1"/>
    <row r="12407" ht="12.75" customHeight="1"/>
    <row r="12408" ht="12.75" customHeight="1"/>
    <row r="12409" ht="12.75" customHeight="1"/>
    <row r="12410" ht="12.75" customHeight="1"/>
    <row r="12411" ht="12.75" customHeight="1"/>
    <row r="12412" ht="12.75" customHeight="1"/>
    <row r="12413" ht="12.75" customHeight="1"/>
    <row r="12414" ht="12.75" customHeight="1"/>
    <row r="12415" ht="12.75" customHeight="1"/>
    <row r="12416" ht="12.75" customHeight="1"/>
    <row r="12417" ht="12.75" customHeight="1"/>
    <row r="12418" ht="12.75" customHeight="1"/>
    <row r="12419" ht="12.75" customHeight="1"/>
    <row r="12420" ht="12.75" customHeight="1"/>
    <row r="12421" ht="12.75" customHeight="1">
      <c r="R12421" s="74"/>
    </row>
    <row r="12422" ht="12.75" customHeight="1"/>
    <row r="12423" ht="12.75" customHeight="1"/>
    <row r="12424" ht="12.75" customHeight="1"/>
    <row r="12425" ht="12.75" customHeight="1"/>
    <row r="12426" ht="12.75" customHeight="1"/>
    <row r="12427" ht="12.75" customHeight="1"/>
    <row r="12428" ht="12.75" customHeight="1"/>
    <row r="12429" ht="12.75" customHeight="1"/>
    <row r="12430" ht="12.75" customHeight="1"/>
    <row r="12431" ht="12.75" customHeight="1"/>
    <row r="12432" ht="12.75" customHeight="1"/>
    <row r="12433" ht="12.75" customHeight="1"/>
    <row r="12434" ht="12.75" customHeight="1"/>
    <row r="12435" ht="12.75" customHeight="1"/>
    <row r="12436" ht="12.75" customHeight="1"/>
    <row r="12437" ht="12.75" customHeight="1"/>
    <row r="12438" ht="12.75" customHeight="1"/>
    <row r="12439" ht="12.75" customHeight="1"/>
    <row r="12440" ht="12.75" customHeight="1"/>
    <row r="12441" ht="12.75" customHeight="1"/>
    <row r="12442" ht="12.75" customHeight="1"/>
    <row r="12443" ht="12.75" customHeight="1"/>
    <row r="12444" ht="12.75" customHeight="1"/>
    <row r="12445" ht="12.75" customHeight="1"/>
    <row r="12446" ht="12.75" customHeight="1">
      <c r="F12446" s="74"/>
      <c r="H12446" s="74"/>
    </row>
    <row r="12447" ht="12.75" customHeight="1">
      <c r="F12447" s="74"/>
      <c r="H12447" s="74"/>
    </row>
    <row r="12448" ht="12.75" customHeight="1">
      <c r="F12448" s="74"/>
      <c r="H12448" s="74"/>
    </row>
    <row r="12449" ht="12.75" customHeight="1"/>
    <row r="12450" ht="12.75" customHeight="1">
      <c r="F12450" s="74"/>
      <c r="H12450" s="74"/>
    </row>
    <row r="12451" ht="12.75" customHeight="1"/>
    <row r="12452" ht="12.75" customHeight="1"/>
    <row r="12453" ht="12.75" customHeight="1"/>
    <row r="12454" ht="12.75" customHeight="1"/>
    <row r="12455" ht="12.75" customHeight="1"/>
    <row r="12456" ht="12.75" customHeight="1"/>
    <row r="12457" ht="12.75" customHeight="1"/>
    <row r="12458" ht="12.75" customHeight="1"/>
    <row r="12459" ht="12.75" customHeight="1"/>
    <row r="12460" ht="12.75" customHeight="1"/>
    <row r="12461" ht="12.75" customHeight="1"/>
    <row r="12462" ht="12.75" customHeight="1"/>
    <row r="12463" ht="12.75" customHeight="1"/>
    <row r="12464" ht="12.75" customHeight="1"/>
    <row r="12465" ht="12.75" customHeight="1"/>
    <row r="12466" ht="12.75" customHeight="1"/>
    <row r="12467" ht="12.75" customHeight="1"/>
    <row r="12468" ht="12.75" customHeight="1"/>
    <row r="12469" ht="12.75" customHeight="1"/>
    <row r="12470" ht="12.75" customHeight="1"/>
    <row r="12471" ht="12.75" customHeight="1"/>
    <row r="12472" ht="12.75" customHeight="1"/>
    <row r="12473" ht="12.75" customHeight="1"/>
    <row r="12474" ht="12.75" customHeight="1"/>
    <row r="12475" ht="12.75" customHeight="1"/>
    <row r="12476" ht="12.75" customHeight="1"/>
    <row r="12477" ht="12.75" customHeight="1"/>
    <row r="12478" ht="12.75" customHeight="1"/>
    <row r="12479" ht="12.75" customHeight="1"/>
    <row r="12480" ht="12.75" customHeight="1"/>
    <row r="12481" ht="12.75" customHeight="1"/>
    <row r="12482" ht="12.75" customHeight="1"/>
    <row r="12483" ht="12.75" customHeight="1"/>
    <row r="12484" ht="12.75" customHeight="1"/>
    <row r="12485" ht="12.75" customHeight="1"/>
    <row r="12486" ht="12.75" customHeight="1"/>
    <row r="12487" ht="12.75" customHeight="1"/>
    <row r="12488" ht="12.75" customHeight="1"/>
    <row r="12489" ht="12.75" customHeight="1"/>
    <row r="12490" ht="12.75" customHeight="1"/>
    <row r="12491" ht="12.75" customHeight="1"/>
    <row r="12492" ht="12.75" customHeight="1"/>
    <row r="12493" ht="12.75" customHeight="1"/>
    <row r="12494" ht="12.75" customHeight="1"/>
    <row r="12495" ht="12.75" customHeight="1"/>
    <row r="12496" ht="12.75" customHeight="1"/>
    <row r="12497" ht="12.75" customHeight="1"/>
    <row r="12498" ht="12.75" customHeight="1"/>
    <row r="12499" ht="12.75" customHeight="1"/>
    <row r="12500" ht="12.75" customHeight="1"/>
    <row r="12501" ht="12.75" customHeight="1"/>
    <row r="12502" ht="12.75" customHeight="1"/>
    <row r="12503" ht="12.75" customHeight="1"/>
    <row r="12504" ht="12.75" customHeight="1"/>
    <row r="12505" ht="12.75" customHeight="1"/>
    <row r="12506" ht="12.75" customHeight="1"/>
    <row r="12507" ht="12.75" customHeight="1"/>
    <row r="12508" ht="12.75" customHeight="1"/>
    <row r="12509" ht="12.75" customHeight="1"/>
    <row r="12510" ht="12.75" customHeight="1"/>
    <row r="12511" ht="12.75" customHeight="1"/>
    <row r="12512" ht="12.75" customHeight="1"/>
    <row r="12513" ht="12.75" customHeight="1"/>
    <row r="12514" ht="12.75" customHeight="1"/>
    <row r="12515" ht="12.75" customHeight="1"/>
    <row r="12516" ht="12.75" customHeight="1"/>
    <row r="12517" ht="12.75" customHeight="1"/>
    <row r="12518" ht="12.75" customHeight="1"/>
    <row r="12519" ht="12.75" customHeight="1"/>
    <row r="12520" ht="12.75" customHeight="1"/>
    <row r="12521" ht="12.75" customHeight="1"/>
    <row r="12522" ht="12.75" customHeight="1"/>
    <row r="12523" ht="12.75" customHeight="1"/>
    <row r="12524" ht="12.75" customHeight="1"/>
    <row r="12525" ht="12.75" customHeight="1"/>
    <row r="12526" ht="12.75" customHeight="1"/>
    <row r="12527" ht="12.75" customHeight="1"/>
    <row r="12528" ht="12.75" customHeight="1"/>
    <row r="12529" ht="12.75" customHeight="1"/>
    <row r="12530" ht="12.75" customHeight="1"/>
    <row r="12531" ht="12.75" customHeight="1"/>
    <row r="12532" ht="12.75" customHeight="1"/>
    <row r="12533" ht="12.75" customHeight="1"/>
    <row r="12534" ht="12.75" customHeight="1"/>
    <row r="12535" ht="12.75" customHeight="1"/>
    <row r="12536" ht="12.75" customHeight="1"/>
    <row r="12537" ht="12.75" customHeight="1"/>
    <row r="12538" ht="12.75" customHeight="1"/>
    <row r="12539" ht="12.75" customHeight="1"/>
    <row r="12540" ht="12.75" customHeight="1"/>
    <row r="12541" ht="12.75" customHeight="1"/>
    <row r="12542" ht="12.75" customHeight="1"/>
    <row r="12543" ht="12.75" customHeight="1"/>
    <row r="12544" ht="12.75" customHeight="1"/>
    <row r="12545" ht="12.75" customHeight="1"/>
    <row r="12546" ht="12.75" customHeight="1"/>
    <row r="12547" ht="12.75" customHeight="1"/>
    <row r="12548" ht="12.75" customHeight="1"/>
    <row r="12549" ht="12.75" customHeight="1"/>
    <row r="12550" ht="12.75" customHeight="1"/>
    <row r="12551" ht="12.75" customHeight="1"/>
    <row r="12552" ht="12.75" customHeight="1"/>
    <row r="12553" ht="12.75" customHeight="1"/>
    <row r="12554" ht="12.75" customHeight="1"/>
    <row r="12555" ht="12.75" customHeight="1"/>
    <row r="12556" ht="12.75" customHeight="1"/>
    <row r="12557" ht="12.75" customHeight="1"/>
    <row r="12558" ht="12.75" customHeight="1"/>
    <row r="12559" ht="12.75" customHeight="1"/>
    <row r="12560" ht="12.75" customHeight="1"/>
    <row r="12561" ht="12.75" customHeight="1"/>
    <row r="12562" ht="12.75" customHeight="1"/>
    <row r="12563" ht="12.75" customHeight="1"/>
    <row r="12564" ht="12.75" customHeight="1"/>
    <row r="12565" ht="12.75" customHeight="1"/>
    <row r="12566" ht="12.75" customHeight="1"/>
    <row r="12567" ht="12.75" customHeight="1"/>
    <row r="12568" ht="12.75" customHeight="1"/>
    <row r="12569" ht="12.75" customHeight="1"/>
    <row r="12570" ht="12.75" customHeight="1"/>
    <row r="12571" ht="12.75" customHeight="1"/>
    <row r="12572" ht="12.75" customHeight="1"/>
    <row r="12573" ht="12.75" customHeight="1"/>
    <row r="12574" ht="12.75" customHeight="1"/>
    <row r="12575" ht="12.75" customHeight="1"/>
    <row r="12576" ht="12.75" customHeight="1"/>
    <row r="12577" ht="12.75" customHeight="1"/>
    <row r="12578" ht="12.75" customHeight="1"/>
    <row r="12579" ht="12.75" customHeight="1"/>
    <row r="12580" ht="12.75" customHeight="1"/>
    <row r="12581" ht="12.75" customHeight="1"/>
    <row r="12582" ht="12.75" customHeight="1"/>
    <row r="12583" ht="12.75" customHeight="1"/>
    <row r="12584" ht="12.75" customHeight="1"/>
    <row r="12585" ht="12.75" customHeight="1"/>
    <row r="12586" ht="12.75" customHeight="1"/>
    <row r="12587" ht="12.75" customHeight="1"/>
    <row r="12588" ht="12.75" customHeight="1"/>
    <row r="12589" ht="12.75" customHeight="1"/>
    <row r="12590" ht="12.75" customHeight="1"/>
    <row r="12591" ht="12.75" customHeight="1"/>
    <row r="12592" ht="12.75" customHeight="1"/>
    <row r="12593" ht="12.75" customHeight="1"/>
    <row r="12594" ht="12.75" customHeight="1"/>
    <row r="12595" ht="12.75" customHeight="1"/>
    <row r="12596" ht="12.75" customHeight="1"/>
    <row r="12597" ht="12.75" customHeight="1"/>
    <row r="12598" ht="12.75" customHeight="1"/>
    <row r="12599" ht="12.75" customHeight="1"/>
    <row r="12600" ht="12.75" customHeight="1"/>
    <row r="12601" ht="12.75" customHeight="1"/>
    <row r="12602" ht="12.75" customHeight="1"/>
    <row r="12603" ht="12.75" customHeight="1"/>
    <row r="12604" ht="12.75" customHeight="1"/>
    <row r="12605" ht="12.75" customHeight="1"/>
    <row r="12606" ht="12.75" customHeight="1"/>
    <row r="12607" ht="12.75" customHeight="1"/>
    <row r="12608" ht="12.75" customHeight="1"/>
    <row r="12609" ht="12.75" customHeight="1"/>
    <row r="12610" ht="12.75" customHeight="1"/>
    <row r="12611" ht="12.75" customHeight="1"/>
    <row r="12612" ht="12.75" customHeight="1"/>
    <row r="12613" ht="12.75" customHeight="1"/>
    <row r="12614" ht="12.75" customHeight="1"/>
    <row r="12615" ht="12.75" customHeight="1"/>
    <row r="12616" ht="12.75" customHeight="1"/>
    <row r="12617" ht="12.75" customHeight="1"/>
    <row r="12618" ht="12.75" customHeight="1"/>
    <row r="12619" ht="12.75" customHeight="1"/>
    <row r="12620" ht="12.75" customHeight="1"/>
    <row r="12621" ht="12.75" customHeight="1"/>
    <row r="12622" ht="12.75" customHeight="1"/>
    <row r="12623" ht="12.75" customHeight="1"/>
    <row r="12624" ht="12.75" customHeight="1"/>
    <row r="12625" ht="12.75" customHeight="1"/>
    <row r="12626" ht="12.75" customHeight="1"/>
    <row r="12627" ht="12.75" customHeight="1"/>
    <row r="12628" ht="12.75" customHeight="1"/>
    <row r="12629" ht="12.75" customHeight="1"/>
    <row r="12630" ht="12.75" customHeight="1"/>
    <row r="12631" ht="12.75" customHeight="1"/>
    <row r="12632" ht="12.75" customHeight="1"/>
    <row r="12633" ht="12.75" customHeight="1"/>
    <row r="12634" ht="12.75" customHeight="1"/>
    <row r="12635" ht="12.75" customHeight="1"/>
    <row r="12636" ht="12.75" customHeight="1"/>
    <row r="12637" ht="12.75" customHeight="1"/>
    <row r="12638" ht="12.75" customHeight="1"/>
    <row r="12639" ht="12.75" customHeight="1"/>
    <row r="12640" ht="12.75" customHeight="1"/>
    <row r="12641" ht="12.75" customHeight="1"/>
    <row r="12642" ht="12.75" customHeight="1"/>
    <row r="12643" ht="12.75" customHeight="1"/>
    <row r="12644" ht="12.75" customHeight="1"/>
    <row r="12645" ht="12.75" customHeight="1"/>
    <row r="12646" ht="12.75" customHeight="1"/>
    <row r="12647" ht="12.75" customHeight="1"/>
    <row r="12648" ht="12.75" customHeight="1"/>
    <row r="12649" ht="12.75" customHeight="1"/>
    <row r="12650" ht="12.75" customHeight="1"/>
    <row r="12651" ht="12.75" customHeight="1"/>
    <row r="12652" ht="12.75" customHeight="1"/>
    <row r="12653" ht="12.75" customHeight="1"/>
    <row r="12654" ht="12.75" customHeight="1"/>
    <row r="12655" ht="12.75" customHeight="1"/>
    <row r="12656" ht="12.75" customHeight="1"/>
    <row r="12657" ht="12.75" customHeight="1"/>
    <row r="12658" ht="12.75" customHeight="1"/>
    <row r="12659" ht="12.75" customHeight="1"/>
    <row r="12660" ht="12.75" customHeight="1"/>
    <row r="12661" ht="12.75" customHeight="1"/>
    <row r="12662" ht="12.75" customHeight="1"/>
    <row r="12663" ht="12.75" customHeight="1"/>
    <row r="12664" ht="12.75" customHeight="1"/>
    <row r="12665" ht="12.75" customHeight="1"/>
    <row r="12666" ht="12.75" customHeight="1"/>
    <row r="12667" ht="12.75" customHeight="1"/>
    <row r="12668" ht="12.75" customHeight="1"/>
    <row r="12669" ht="12.75" customHeight="1"/>
    <row r="12670" ht="12.75" customHeight="1"/>
    <row r="12671" ht="12.75" customHeight="1"/>
    <row r="12672" ht="12.75" customHeight="1"/>
    <row r="12673" ht="12.75" customHeight="1"/>
    <row r="12674" ht="12.75" customHeight="1"/>
    <row r="12675" ht="12.75" customHeight="1"/>
    <row r="12676" ht="12.75" customHeight="1"/>
    <row r="12677" ht="12.75" customHeight="1"/>
    <row r="12678" ht="12.75" customHeight="1"/>
    <row r="12679" ht="12.75" customHeight="1"/>
    <row r="12680" ht="12.75" customHeight="1"/>
    <row r="12681" ht="12.75" customHeight="1"/>
    <row r="12682" ht="12.75" customHeight="1"/>
    <row r="12683" ht="12.75" customHeight="1"/>
    <row r="12684" ht="12.75" customHeight="1"/>
    <row r="12685" ht="12.75" customHeight="1"/>
    <row r="12686" ht="12.75" customHeight="1"/>
    <row r="12687" ht="12.75" customHeight="1"/>
    <row r="12688" ht="12.75" customHeight="1"/>
    <row r="12689" ht="12.75" customHeight="1"/>
    <row r="12690" ht="12.75" customHeight="1"/>
    <row r="12691" ht="12.75" customHeight="1"/>
    <row r="12692" ht="12.75" customHeight="1"/>
    <row r="12693" ht="12.75" customHeight="1"/>
    <row r="12694" ht="12.75" customHeight="1"/>
    <row r="12695" ht="12.75" customHeight="1"/>
    <row r="12696" ht="12.75" customHeight="1"/>
    <row r="12697" ht="12.75" customHeight="1"/>
    <row r="12698" ht="12.75" customHeight="1"/>
    <row r="12699" ht="12.75" customHeight="1"/>
    <row r="12700" ht="12.75" customHeight="1"/>
    <row r="12701" ht="12.75" customHeight="1"/>
    <row r="12702" ht="12.75" customHeight="1"/>
    <row r="12703" ht="12.75" customHeight="1"/>
    <row r="12704" ht="12.75" customHeight="1"/>
    <row r="12705" ht="12.75" customHeight="1"/>
    <row r="12706" ht="12.75" customHeight="1"/>
    <row r="12707" ht="12.75" customHeight="1"/>
    <row r="12708" ht="12.75" customHeight="1"/>
    <row r="12709" ht="12.75" customHeight="1"/>
    <row r="12710" ht="12.75" customHeight="1"/>
    <row r="12711" ht="12.75" customHeight="1"/>
    <row r="12712" ht="12.75" customHeight="1"/>
    <row r="12713" ht="12.75" customHeight="1"/>
    <row r="12714" ht="12.75" customHeight="1"/>
    <row r="12715" ht="12.75" customHeight="1"/>
    <row r="12716" ht="12.75" customHeight="1"/>
    <row r="12717" ht="12.75" customHeight="1"/>
    <row r="12718" ht="12.75" customHeight="1"/>
    <row r="12719" ht="12.75" customHeight="1"/>
    <row r="12720" ht="12.75" customHeight="1"/>
    <row r="12721" ht="12.75" customHeight="1"/>
    <row r="12722" ht="12.75" customHeight="1"/>
    <row r="12723" ht="12.75" customHeight="1"/>
    <row r="12724" ht="12.75" customHeight="1"/>
    <row r="12725" ht="12.75" customHeight="1"/>
    <row r="12726" ht="12.75" customHeight="1"/>
    <row r="12727" ht="12.75" customHeight="1"/>
    <row r="12728" ht="12.75" customHeight="1"/>
    <row r="12729" ht="12.75" customHeight="1"/>
    <row r="12730" ht="12.75" customHeight="1"/>
    <row r="12731" ht="12.75" customHeight="1"/>
    <row r="12732" ht="12.75" customHeight="1"/>
    <row r="12733" ht="12.75" customHeight="1"/>
    <row r="12734" ht="12.75" customHeight="1"/>
    <row r="12735" ht="12.75" customHeight="1"/>
    <row r="12736" ht="12.75" customHeight="1"/>
    <row r="12737" ht="12.75" customHeight="1"/>
    <row r="12738" ht="12.75" customHeight="1"/>
    <row r="12739" ht="12.75" customHeight="1"/>
    <row r="12740" ht="12.75" customHeight="1"/>
    <row r="12741" ht="12.75" customHeight="1"/>
    <row r="12742" ht="12.75" customHeight="1"/>
    <row r="12743" ht="12.75" customHeight="1"/>
    <row r="12744" ht="12.75" customHeight="1"/>
    <row r="12745" ht="12.75" customHeight="1"/>
    <row r="12746" ht="12.75" customHeight="1"/>
    <row r="12747" ht="12.75" customHeight="1"/>
    <row r="12748" ht="12.75" customHeight="1"/>
    <row r="12749" ht="12.75" customHeight="1"/>
    <row r="12750" ht="12.75" customHeight="1"/>
    <row r="12751" ht="12.75" customHeight="1"/>
    <row r="12752" ht="12.75" customHeight="1"/>
    <row r="12753" ht="12.75" customHeight="1"/>
    <row r="12754" ht="12.75" customHeight="1"/>
    <row r="12755" ht="12.75" customHeight="1"/>
    <row r="12756" ht="12.75" customHeight="1"/>
    <row r="12757" ht="12.75" customHeight="1"/>
    <row r="12758" ht="12.75" customHeight="1"/>
    <row r="12759" ht="12.75" customHeight="1"/>
    <row r="12760" ht="12.75" customHeight="1"/>
    <row r="12761" ht="12.75" customHeight="1"/>
    <row r="12762" ht="12.75" customHeight="1"/>
    <row r="12763" ht="12.75" customHeight="1"/>
    <row r="12764" ht="12.75" customHeight="1"/>
    <row r="12765" ht="12.75" customHeight="1"/>
    <row r="12766" ht="12.75" customHeight="1"/>
    <row r="12767" ht="12.75" customHeight="1"/>
    <row r="12768" ht="12.75" customHeight="1"/>
    <row r="12769" ht="12.75" customHeight="1"/>
    <row r="12770" ht="12.75" customHeight="1"/>
    <row r="12771" ht="12.75" customHeight="1"/>
    <row r="12772" ht="12.75" customHeight="1"/>
    <row r="12773" ht="12.75" customHeight="1"/>
    <row r="12774" ht="12.75" customHeight="1"/>
    <row r="12775" ht="12.75" customHeight="1"/>
    <row r="12776" ht="12.75" customHeight="1"/>
    <row r="12777" ht="12.75" customHeight="1"/>
    <row r="12778" ht="12.75" customHeight="1"/>
    <row r="12779" ht="12.75" customHeight="1"/>
    <row r="12780" ht="12.75" customHeight="1"/>
    <row r="12781" ht="12.75" customHeight="1"/>
    <row r="12782" ht="12.75" customHeight="1"/>
    <row r="12783" ht="12.75" customHeight="1"/>
    <row r="12784" ht="12.75" customHeight="1"/>
    <row r="12785" ht="12.75" customHeight="1"/>
    <row r="12786" ht="12.75" customHeight="1"/>
    <row r="12787" ht="12.75" customHeight="1"/>
    <row r="12788" ht="12.75" customHeight="1"/>
    <row r="12789" ht="12.75" customHeight="1"/>
    <row r="12790" ht="12.75" customHeight="1"/>
    <row r="12791" ht="12.75" customHeight="1"/>
    <row r="12792" ht="12.75" customHeight="1"/>
    <row r="12793" ht="12.75" customHeight="1"/>
    <row r="12794" ht="12.75" customHeight="1"/>
    <row r="12795" ht="12.75" customHeight="1"/>
    <row r="12796" ht="12.75" customHeight="1"/>
    <row r="12797" ht="12.75" customHeight="1"/>
    <row r="12798" ht="12.75" customHeight="1"/>
    <row r="12799" ht="12.75" customHeight="1"/>
    <row r="12800" ht="12.75" customHeight="1"/>
    <row r="12801" ht="12.75" customHeight="1"/>
    <row r="12802" ht="12.75" customHeight="1"/>
    <row r="12803" ht="12.75" customHeight="1"/>
    <row r="12804" ht="12.75" customHeight="1"/>
    <row r="12805" ht="12.75" customHeight="1"/>
    <row r="12806" ht="12.75" customHeight="1"/>
    <row r="12807" ht="12.75" customHeight="1"/>
    <row r="12808" ht="12.75" customHeight="1"/>
    <row r="12809" ht="12.75" customHeight="1"/>
    <row r="12810" ht="12.75" customHeight="1"/>
    <row r="12811" ht="12.75" customHeight="1"/>
    <row r="12812" ht="12.75" customHeight="1"/>
    <row r="12813" ht="12.75" customHeight="1"/>
    <row r="12814" ht="12.75" customHeight="1"/>
    <row r="12815" ht="12.75" customHeight="1"/>
    <row r="12816" ht="12.75" customHeight="1"/>
    <row r="12817" ht="12.75" customHeight="1"/>
    <row r="12818" ht="12.75" customHeight="1"/>
    <row r="12819" ht="12.75" customHeight="1"/>
    <row r="12820" ht="12.75" customHeight="1"/>
    <row r="12821" ht="12.75" customHeight="1"/>
    <row r="12822" ht="12.75" customHeight="1"/>
    <row r="12823" ht="12.75" customHeight="1"/>
    <row r="12824" ht="12.75" customHeight="1"/>
    <row r="12825" ht="12.75" customHeight="1"/>
    <row r="12826" ht="12.75" customHeight="1"/>
    <row r="12827" ht="12.75" customHeight="1"/>
    <row r="12828" ht="12.75" customHeight="1"/>
    <row r="12829" ht="12.75" customHeight="1"/>
    <row r="12830" ht="12.75" customHeight="1"/>
    <row r="12831" ht="12.75" customHeight="1"/>
    <row r="12832" ht="12.75" customHeight="1"/>
    <row r="12833" ht="12.75" customHeight="1"/>
    <row r="12834" ht="12.75" customHeight="1"/>
    <row r="12835" ht="12.75" customHeight="1"/>
    <row r="12836" ht="12.75" customHeight="1"/>
    <row r="12837" ht="12.75" customHeight="1"/>
    <row r="12838" ht="12.75" customHeight="1"/>
    <row r="12839" ht="12.75" customHeight="1"/>
    <row r="12840" ht="12.75" customHeight="1"/>
    <row r="12841" ht="12.75" customHeight="1"/>
    <row r="12842" ht="12.75" customHeight="1"/>
    <row r="12843" ht="12.75" customHeight="1"/>
    <row r="12844" ht="12.75" customHeight="1"/>
    <row r="12845" ht="12.75" customHeight="1"/>
    <row r="12846" ht="12.75" customHeight="1"/>
    <row r="12847" ht="12.75" customHeight="1"/>
    <row r="12848" ht="12.75" customHeight="1"/>
    <row r="12849" ht="12.75" customHeight="1"/>
    <row r="12850" ht="12.75" customHeight="1"/>
    <row r="12851" ht="12.75" customHeight="1"/>
    <row r="12852" ht="12.75" customHeight="1"/>
    <row r="12853" ht="12.75" customHeight="1"/>
    <row r="12854" ht="12.75" customHeight="1"/>
    <row r="12855" ht="12.75" customHeight="1"/>
    <row r="12856" ht="12.75" customHeight="1"/>
    <row r="12857" ht="12.75" customHeight="1"/>
    <row r="12858" ht="12.75" customHeight="1"/>
    <row r="12859" ht="12.75" customHeight="1"/>
    <row r="12860" ht="12.75" customHeight="1"/>
    <row r="12861" ht="12.75" customHeight="1"/>
    <row r="12862" ht="12.75" customHeight="1"/>
    <row r="12863" ht="12.75" customHeight="1"/>
    <row r="12864" ht="12.75" customHeight="1"/>
    <row r="12865" ht="12.75" customHeight="1"/>
    <row r="12866" ht="12.75" customHeight="1"/>
    <row r="12867" ht="12.75" customHeight="1"/>
    <row r="12868" ht="12.75" customHeight="1"/>
    <row r="12869" ht="12.75" customHeight="1"/>
    <row r="12870" ht="12.75" customHeight="1"/>
    <row r="12871" ht="12.75" customHeight="1"/>
    <row r="12872" ht="12.75" customHeight="1"/>
    <row r="12873" ht="12.75" customHeight="1"/>
    <row r="12874" ht="12.75" customHeight="1"/>
    <row r="12875" ht="12.75" customHeight="1"/>
    <row r="12876" ht="12.75" customHeight="1"/>
    <row r="12877" ht="12.75" customHeight="1"/>
    <row r="12878" ht="12.75" customHeight="1"/>
    <row r="12879" ht="12.75" customHeight="1"/>
    <row r="12880" ht="12.75" customHeight="1"/>
    <row r="12881" ht="12.75" customHeight="1"/>
    <row r="12882" ht="12.75" customHeight="1"/>
    <row r="12883" ht="12.75" customHeight="1"/>
    <row r="12884" ht="12.75" customHeight="1"/>
    <row r="12885" ht="12.75" customHeight="1"/>
    <row r="12886" ht="12.75" customHeight="1"/>
    <row r="12887" ht="12.75" customHeight="1"/>
    <row r="12888" ht="12.75" customHeight="1"/>
    <row r="12889" ht="12.75" customHeight="1"/>
    <row r="12890" ht="12.75" customHeight="1"/>
    <row r="12891" ht="12.75" customHeight="1"/>
    <row r="12892" ht="12.75" customHeight="1"/>
    <row r="12893" ht="12.75" customHeight="1"/>
    <row r="12894" ht="12.75" customHeight="1"/>
    <row r="12895" ht="12.75" customHeight="1"/>
    <row r="12896" ht="12.75" customHeight="1"/>
    <row r="12897" ht="12.75" customHeight="1"/>
    <row r="12898" ht="12.75" customHeight="1"/>
    <row r="12899" ht="12.75" customHeight="1"/>
    <row r="12900" ht="12.75" customHeight="1"/>
    <row r="12901" ht="12.75" customHeight="1"/>
    <row r="12902" ht="12.75" customHeight="1"/>
    <row r="12903" ht="12.75" customHeight="1"/>
    <row r="12904" ht="12.75" customHeight="1"/>
    <row r="12905" ht="12.75" customHeight="1"/>
    <row r="12906" ht="12.75" customHeight="1"/>
    <row r="12907" ht="12.75" customHeight="1"/>
    <row r="12908" ht="12.75" customHeight="1"/>
    <row r="12909" ht="12.75" customHeight="1"/>
    <row r="12910" ht="12.75" customHeight="1"/>
    <row r="12911" ht="12.75" customHeight="1"/>
    <row r="12912" ht="12.75" customHeight="1"/>
    <row r="12913" ht="12.75" customHeight="1"/>
    <row r="12914" ht="12.75" customHeight="1"/>
    <row r="12915" ht="12.75" customHeight="1"/>
    <row r="12916" ht="12.75" customHeight="1"/>
    <row r="12917" ht="12.75" customHeight="1"/>
    <row r="12918" ht="12.75" customHeight="1"/>
    <row r="12919" ht="12.75" customHeight="1"/>
    <row r="12920" ht="12.75" customHeight="1"/>
    <row r="12921" ht="12.75" customHeight="1"/>
    <row r="12922" ht="12.75" customHeight="1"/>
    <row r="12923" ht="12.75" customHeight="1"/>
    <row r="12924" ht="12.75" customHeight="1"/>
    <row r="12925" ht="12.75" customHeight="1"/>
    <row r="12926" ht="12.75" customHeight="1"/>
    <row r="12927" ht="12.75" customHeight="1"/>
    <row r="12928" ht="12.75" customHeight="1"/>
    <row r="12929" ht="12.75" customHeight="1"/>
    <row r="12930" ht="12.75" customHeight="1"/>
    <row r="12931" ht="12.75" customHeight="1"/>
    <row r="12932" ht="12.75" customHeight="1"/>
    <row r="12933" ht="12.75" customHeight="1"/>
    <row r="12934" ht="12.75" customHeight="1"/>
    <row r="12935" ht="12.75" customHeight="1"/>
    <row r="12936" ht="12.75" customHeight="1"/>
    <row r="12937" ht="12.75" customHeight="1"/>
    <row r="12938" ht="12.75" customHeight="1"/>
    <row r="12939" ht="12.75" customHeight="1"/>
    <row r="12940" ht="12.75" customHeight="1"/>
    <row r="12941" ht="12.75" customHeight="1"/>
    <row r="12942" ht="12.75" customHeight="1"/>
    <row r="12943" ht="12.75" customHeight="1"/>
    <row r="12944" ht="12.75" customHeight="1"/>
    <row r="12945" ht="12.75" customHeight="1"/>
    <row r="12946" ht="12.75" customHeight="1"/>
    <row r="12947" ht="12.75" customHeight="1"/>
    <row r="12948" ht="12.75" customHeight="1"/>
    <row r="12949" ht="12.75" customHeight="1"/>
    <row r="12950" ht="12.75" customHeight="1"/>
    <row r="12951" ht="12.75" customHeight="1"/>
    <row r="12952" ht="12.75" customHeight="1"/>
    <row r="12953" ht="12.75" customHeight="1"/>
    <row r="12954" ht="12.75" customHeight="1"/>
    <row r="12955" ht="12.75" customHeight="1"/>
    <row r="12956" ht="12.75" customHeight="1"/>
    <row r="12957" ht="12.75" customHeight="1"/>
    <row r="12958" ht="12.75" customHeight="1"/>
    <row r="12959" ht="12.75" customHeight="1"/>
    <row r="12960" ht="12.75" customHeight="1"/>
    <row r="12961" ht="12.75" customHeight="1"/>
    <row r="12962" ht="12.75" customHeight="1"/>
    <row r="12963" ht="12.75" customHeight="1"/>
    <row r="12964" ht="12.75" customHeight="1"/>
    <row r="12965" ht="12.75" customHeight="1"/>
    <row r="12966" ht="12.75" customHeight="1"/>
    <row r="12967" ht="12.75" customHeight="1"/>
    <row r="12968" ht="12.75" customHeight="1"/>
    <row r="12969" ht="12.75" customHeight="1"/>
    <row r="12970" ht="12.75" customHeight="1"/>
    <row r="12971" ht="12.75" customHeight="1"/>
    <row r="12972" ht="12.75" customHeight="1"/>
    <row r="12973" ht="12.75" customHeight="1"/>
    <row r="12974" ht="12.75" customHeight="1"/>
    <row r="12975" ht="12.75" customHeight="1"/>
    <row r="12976" ht="12.75" customHeight="1"/>
    <row r="12977" ht="12.75" customHeight="1"/>
    <row r="12978" ht="12.75" customHeight="1"/>
    <row r="12979" ht="12.75" customHeight="1"/>
    <row r="12980" ht="12.75" customHeight="1"/>
    <row r="12981" ht="12.75" customHeight="1"/>
    <row r="12982" ht="12.75" customHeight="1"/>
    <row r="12983" ht="12.75" customHeight="1"/>
    <row r="12984" ht="12.75" customHeight="1"/>
    <row r="12985" ht="12.75" customHeight="1"/>
    <row r="12986" ht="12.75" customHeight="1"/>
    <row r="12987" ht="12.75" customHeight="1"/>
    <row r="12988" ht="12.75" customHeight="1"/>
    <row r="12989" ht="12.75" customHeight="1"/>
    <row r="12990" ht="12.75" customHeight="1"/>
    <row r="12991" ht="12.75" customHeight="1"/>
    <row r="12992" ht="12.75" customHeight="1"/>
    <row r="12993" ht="12.75" customHeight="1"/>
    <row r="12994" ht="12.75" customHeight="1"/>
    <row r="12995" ht="12.75" customHeight="1"/>
    <row r="12996" ht="12.75" customHeight="1"/>
    <row r="12997" ht="12.75" customHeight="1"/>
    <row r="12998" ht="12.75" customHeight="1"/>
    <row r="12999" ht="12.75" customHeight="1"/>
    <row r="13000" ht="12.75" customHeight="1"/>
    <row r="13001" ht="12.75" customHeight="1"/>
    <row r="13002" ht="12.75" customHeight="1"/>
    <row r="13003" ht="12.75" customHeight="1"/>
    <row r="13004" ht="12.75" customHeight="1"/>
    <row r="13005" ht="12.75" customHeight="1"/>
    <row r="13006" ht="12.75" customHeight="1"/>
    <row r="13007" ht="12.75" customHeight="1"/>
    <row r="13008" ht="12.75" customHeight="1"/>
    <row r="13009" ht="12.75" customHeight="1"/>
    <row r="13010" ht="12.75" customHeight="1"/>
    <row r="13011" ht="12.75" customHeight="1"/>
    <row r="13012" ht="12.75" customHeight="1"/>
    <row r="13013" ht="12.75" customHeight="1"/>
    <row r="13014" ht="12.75" customHeight="1"/>
    <row r="13015" ht="12.75" customHeight="1"/>
    <row r="13016" ht="12.75" customHeight="1"/>
    <row r="13017" ht="12.75" customHeight="1"/>
    <row r="13018" ht="12.75" customHeight="1"/>
    <row r="13019" ht="12.75" customHeight="1"/>
    <row r="13020" ht="12.75" customHeight="1"/>
    <row r="13021" ht="12.75" customHeight="1"/>
    <row r="13022" ht="12.75" customHeight="1"/>
    <row r="13023" ht="12.75" customHeight="1"/>
    <row r="13024" ht="12.75" customHeight="1"/>
    <row r="13025" ht="12.75" customHeight="1"/>
    <row r="13026" ht="12.75" customHeight="1"/>
    <row r="13027" ht="12.75" customHeight="1"/>
    <row r="13028" ht="12.75" customHeight="1"/>
    <row r="13029" ht="12.75" customHeight="1"/>
    <row r="13030" ht="12.75" customHeight="1"/>
    <row r="13031" ht="12.75" customHeight="1"/>
    <row r="13032" ht="12.75" customHeight="1"/>
    <row r="13033" ht="12.75" customHeight="1"/>
    <row r="13034" ht="12.75" customHeight="1"/>
    <row r="13035" ht="12.75" customHeight="1"/>
    <row r="13036" ht="12.75" customHeight="1"/>
    <row r="13037" ht="12.75" customHeight="1"/>
    <row r="13038" ht="12.75" customHeight="1"/>
    <row r="13039" ht="12.75" customHeight="1"/>
    <row r="13040" ht="12.75" customHeight="1"/>
    <row r="13041" ht="12.75" customHeight="1"/>
    <row r="13042" ht="12.75" customHeight="1"/>
    <row r="13043" ht="12.75" customHeight="1"/>
    <row r="13044" ht="12.75" customHeight="1"/>
    <row r="13045" ht="12.75" customHeight="1"/>
    <row r="13046" ht="12.75" customHeight="1"/>
    <row r="13047" ht="12.75" customHeight="1"/>
    <row r="13048" ht="12.75" customHeight="1"/>
    <row r="13049" ht="12.75" customHeight="1"/>
    <row r="13050" ht="12.75" customHeight="1"/>
    <row r="13051" ht="12.75" customHeight="1"/>
    <row r="13052" ht="12.75" customHeight="1"/>
    <row r="13053" ht="12.75" customHeight="1"/>
    <row r="13054" ht="12.75" customHeight="1"/>
    <row r="13055" ht="12.75" customHeight="1"/>
    <row r="13056" ht="12.75" customHeight="1"/>
    <row r="13057" ht="12.75" customHeight="1"/>
    <row r="13058" ht="12.75" customHeight="1"/>
    <row r="13059" ht="12.75" customHeight="1"/>
    <row r="13060" ht="12.75" customHeight="1"/>
    <row r="13061" ht="12.75" customHeight="1"/>
    <row r="13062" ht="12.75" customHeight="1"/>
    <row r="13063" ht="12.75" customHeight="1"/>
    <row r="13064" ht="12.75" customHeight="1"/>
    <row r="13065" ht="12.75" customHeight="1"/>
    <row r="13066" ht="12.75" customHeight="1"/>
    <row r="13067" ht="12.75" customHeight="1"/>
    <row r="13068" ht="12.75" customHeight="1"/>
    <row r="13069" ht="12.75" customHeight="1"/>
    <row r="13070" ht="12.75" customHeight="1"/>
    <row r="13071" ht="12.75" customHeight="1"/>
    <row r="13072" ht="12.75" customHeight="1"/>
    <row r="13073" ht="12.75" customHeight="1"/>
    <row r="13074" ht="12.75" customHeight="1"/>
    <row r="13075" ht="12.75" customHeight="1"/>
    <row r="13076" ht="12.75" customHeight="1"/>
    <row r="13077" ht="12.75" customHeight="1"/>
    <row r="13078" ht="12.75" customHeight="1"/>
    <row r="13079" ht="12.75" customHeight="1"/>
    <row r="13080" ht="12.75" customHeight="1"/>
    <row r="13081" ht="12.75" customHeight="1"/>
    <row r="13082" ht="12.75" customHeight="1"/>
    <row r="13083" ht="12.75" customHeight="1"/>
    <row r="13084" ht="12.75" customHeight="1"/>
    <row r="13085" ht="12.75" customHeight="1"/>
    <row r="13086" ht="12.75" customHeight="1"/>
    <row r="13087" ht="12.75" customHeight="1"/>
    <row r="13088" ht="12.75" customHeight="1"/>
    <row r="13089" ht="12.75" customHeight="1"/>
    <row r="13090" ht="12.75" customHeight="1"/>
    <row r="13091" ht="12.75" customHeight="1"/>
    <row r="13092" ht="12.75" customHeight="1"/>
    <row r="13093" ht="12.75" customHeight="1"/>
    <row r="13094" ht="12.75" customHeight="1"/>
    <row r="13095" ht="12.75" customHeight="1"/>
    <row r="13096" ht="12.75" customHeight="1"/>
    <row r="13097" ht="12.75" customHeight="1"/>
    <row r="13098" ht="12.75" customHeight="1"/>
    <row r="13099" ht="12.75" customHeight="1"/>
    <row r="13100" ht="12.75" customHeight="1"/>
    <row r="13101" ht="12.75" customHeight="1"/>
    <row r="13102" ht="12.75" customHeight="1"/>
    <row r="13103" ht="12.75" customHeight="1"/>
    <row r="13104" ht="12.75" customHeight="1"/>
    <row r="13105" ht="12.75" customHeight="1"/>
    <row r="13106" ht="12.75" customHeight="1"/>
    <row r="13107" ht="12.75" customHeight="1">
      <c r="F13107" s="74"/>
      <c r="H13107" s="74"/>
    </row>
    <row r="13108" ht="12.75" customHeight="1">
      <c r="F13108" s="74"/>
      <c r="H13108" s="74"/>
    </row>
    <row r="13109" ht="12.75" customHeight="1">
      <c r="F13109" s="74"/>
      <c r="H13109" s="74"/>
    </row>
    <row r="13110" ht="12.75" customHeight="1">
      <c r="F13110" s="74"/>
      <c r="H13110" s="74"/>
    </row>
    <row r="13111" ht="12.75" customHeight="1">
      <c r="F13111" s="74"/>
      <c r="H13111" s="74"/>
    </row>
    <row r="13112" ht="12.75" customHeight="1">
      <c r="F13112" s="74"/>
      <c r="H13112" s="74"/>
    </row>
    <row r="13113" ht="12.75" customHeight="1">
      <c r="F13113" s="74"/>
      <c r="H13113" s="74"/>
    </row>
    <row r="13114" ht="12.75" customHeight="1">
      <c r="F13114" s="74"/>
      <c r="H13114" s="74"/>
    </row>
    <row r="13115" ht="12.75" customHeight="1">
      <c r="F13115" s="74"/>
      <c r="H13115" s="74"/>
    </row>
    <row r="13116" ht="12.75" customHeight="1">
      <c r="F13116" s="74"/>
      <c r="H13116" s="74"/>
    </row>
    <row r="13117" ht="12.75" customHeight="1">
      <c r="F13117" s="74"/>
      <c r="H13117" s="74"/>
    </row>
    <row r="13118" ht="12.75" customHeight="1">
      <c r="F13118" s="74"/>
      <c r="H13118" s="74"/>
    </row>
    <row r="13119" ht="12.75" customHeight="1">
      <c r="F13119" s="74"/>
      <c r="H13119" s="74"/>
    </row>
    <row r="13120" ht="12.75" customHeight="1">
      <c r="F13120" s="74"/>
      <c r="H13120" s="74"/>
    </row>
    <row r="13121" ht="12.75" customHeight="1">
      <c r="F13121" s="74"/>
      <c r="H13121" s="74"/>
    </row>
    <row r="13122" ht="12.75" customHeight="1">
      <c r="F13122" s="74"/>
      <c r="H13122" s="74"/>
    </row>
    <row r="13123" ht="12.75" customHeight="1">
      <c r="F13123" s="74"/>
      <c r="H13123" s="74"/>
    </row>
    <row r="13124" ht="12.75" customHeight="1">
      <c r="F13124" s="74"/>
      <c r="H13124" s="74"/>
    </row>
    <row r="13125" ht="12.75" customHeight="1">
      <c r="F13125" s="74"/>
      <c r="H13125" s="74"/>
    </row>
    <row r="13126" ht="12.75" customHeight="1">
      <c r="F13126" s="74"/>
      <c r="H13126" s="74"/>
    </row>
    <row r="13127" ht="12.75" customHeight="1">
      <c r="F13127" s="74"/>
      <c r="H13127" s="74"/>
    </row>
    <row r="13128" ht="12.75" customHeight="1">
      <c r="F13128" s="74"/>
      <c r="H13128" s="74"/>
    </row>
    <row r="13129" ht="12.75" customHeight="1">
      <c r="F13129" s="74"/>
      <c r="H13129" s="74"/>
    </row>
    <row r="13130" ht="12.75" customHeight="1">
      <c r="F13130" s="74"/>
      <c r="H13130" s="74"/>
    </row>
    <row r="13131" ht="12.75" customHeight="1">
      <c r="F13131" s="74"/>
      <c r="H13131" s="74"/>
    </row>
    <row r="13132" ht="12.75" customHeight="1"/>
    <row r="13133" ht="12.75" customHeight="1">
      <c r="F13133" s="74"/>
      <c r="H13133" s="74"/>
    </row>
    <row r="13134" ht="12.75" customHeight="1">
      <c r="F13134" s="74"/>
      <c r="H13134" s="74"/>
    </row>
    <row r="13135" ht="12.75" customHeight="1">
      <c r="F13135" s="74"/>
      <c r="H13135" s="74"/>
    </row>
    <row r="13136" ht="12.75" customHeight="1">
      <c r="F13136" s="74"/>
      <c r="H13136" s="74"/>
    </row>
    <row r="13137" ht="12.75" customHeight="1">
      <c r="F13137" s="74"/>
      <c r="H13137" s="74"/>
    </row>
    <row r="13138" ht="12.75" customHeight="1"/>
    <row r="13139" ht="12.75" customHeight="1"/>
    <row r="13140" ht="12.75" customHeight="1">
      <c r="F13140" s="74"/>
      <c r="H13140" s="74"/>
    </row>
    <row r="13141" ht="12.75" customHeight="1">
      <c r="F13141" s="74"/>
      <c r="H13141" s="74"/>
    </row>
    <row r="13142" ht="12.75" customHeight="1">
      <c r="F13142" s="74"/>
      <c r="H13142" s="74"/>
    </row>
    <row r="13143" ht="12.75" customHeight="1">
      <c r="F13143" s="74"/>
      <c r="H13143" s="74"/>
    </row>
    <row r="13144" ht="12.75" customHeight="1"/>
    <row r="13145" ht="12.75" customHeight="1">
      <c r="F13145" s="74"/>
      <c r="H13145" s="74"/>
    </row>
    <row r="13146" ht="12.75" customHeight="1"/>
    <row r="13147" ht="12.75" customHeight="1"/>
    <row r="13148" ht="12.75" customHeight="1"/>
    <row r="13149" ht="12.75" customHeight="1"/>
    <row r="13150" ht="12.75" customHeight="1"/>
    <row r="13151" ht="12.75" customHeight="1"/>
    <row r="13152" ht="12.75" customHeight="1"/>
    <row r="13153" ht="12.75" customHeight="1">
      <c r="F13153" s="74"/>
      <c r="H13153" s="74"/>
    </row>
    <row r="13154" ht="12.75" customHeight="1"/>
    <row r="13155" ht="12.75" customHeight="1"/>
    <row r="13156" ht="12.75" customHeight="1"/>
    <row r="13157" ht="12.75" customHeight="1"/>
    <row r="13158" ht="12.75" customHeight="1"/>
    <row r="13159" ht="12.75" customHeight="1"/>
    <row r="13160" ht="12.75" customHeight="1"/>
    <row r="13161" ht="12.75" customHeight="1"/>
    <row r="13162" ht="12.75" customHeight="1">
      <c r="F13162" s="74"/>
      <c r="H13162" s="74"/>
    </row>
    <row r="13163" ht="12.75" customHeight="1"/>
    <row r="13164" ht="12.75" customHeight="1"/>
    <row r="13165" ht="12.75" customHeight="1"/>
    <row r="13166" ht="12.75" customHeight="1">
      <c r="F13166" s="74"/>
      <c r="H13166" s="74"/>
    </row>
    <row r="13167" ht="12.75" customHeight="1">
      <c r="F13167" s="74"/>
      <c r="H13167" s="74"/>
    </row>
    <row r="13168" ht="12.75" customHeight="1">
      <c r="F13168" s="74"/>
      <c r="H13168" s="74"/>
    </row>
    <row r="13169" ht="12.75" customHeight="1">
      <c r="F13169" s="74"/>
      <c r="H13169" s="74"/>
    </row>
    <row r="13170" ht="12.75" customHeight="1">
      <c r="F13170" s="74"/>
      <c r="H13170" s="74"/>
    </row>
    <row r="13171" ht="12.75" customHeight="1">
      <c r="F13171" s="74"/>
      <c r="H13171" s="74"/>
    </row>
    <row r="13172" ht="12.75" customHeight="1">
      <c r="F13172" s="74"/>
      <c r="H13172" s="74"/>
    </row>
    <row r="13173" ht="12.75" customHeight="1"/>
    <row r="13174" ht="12.75" customHeight="1"/>
    <row r="13175" ht="12.75" customHeight="1">
      <c r="F13175" s="74"/>
      <c r="H13175" s="74"/>
    </row>
    <row r="13176" ht="12.75" customHeight="1"/>
    <row r="13177" ht="12.75" customHeight="1"/>
    <row r="13178" ht="12.75" customHeight="1"/>
    <row r="13179" ht="12.75" customHeight="1"/>
    <row r="13180" ht="12.75" customHeight="1"/>
    <row r="13181" ht="12.75" customHeight="1"/>
    <row r="13182" ht="12.75" customHeight="1"/>
    <row r="13183" ht="12.75" customHeight="1"/>
    <row r="13184" ht="12.75" customHeight="1"/>
    <row r="13185" ht="12.75" customHeight="1"/>
    <row r="13186" ht="12.75" customHeight="1"/>
    <row r="13187" ht="12.75" customHeight="1"/>
    <row r="13188" ht="12.75" customHeight="1"/>
    <row r="13189" ht="12.75" customHeight="1"/>
    <row r="13190" ht="12.75" customHeight="1"/>
    <row r="13191" ht="12.75" customHeight="1"/>
    <row r="13192" ht="12.75" customHeight="1"/>
    <row r="13193" ht="12.75" customHeight="1"/>
    <row r="13194" ht="12.75" customHeight="1"/>
    <row r="13195" ht="12.75" customHeight="1"/>
    <row r="13196" ht="12.75" customHeight="1"/>
    <row r="13197" ht="12.75" customHeight="1"/>
    <row r="13198" ht="12.75" customHeight="1"/>
    <row r="13199" ht="12.75" customHeight="1"/>
    <row r="13200" ht="12.75" customHeight="1"/>
    <row r="13201" ht="12.75" customHeight="1"/>
    <row r="13202" ht="12.75" customHeight="1"/>
    <row r="13203" ht="12.75" customHeight="1"/>
    <row r="13204" ht="12.75" customHeight="1"/>
    <row r="13205" ht="12.75" customHeight="1"/>
    <row r="13206" ht="12.75" customHeight="1"/>
    <row r="13207" ht="12.75" customHeight="1"/>
    <row r="13208" ht="12.75" customHeight="1"/>
    <row r="13209" ht="12.75" customHeight="1"/>
    <row r="13210" ht="12.75" customHeight="1"/>
    <row r="13211" ht="12.75" customHeight="1"/>
    <row r="13212" ht="12.75" customHeight="1"/>
    <row r="13213" ht="12.75" customHeight="1"/>
    <row r="13214" ht="12.75" customHeight="1"/>
    <row r="13215" ht="12.75" customHeight="1"/>
    <row r="13216" ht="12.75" customHeight="1"/>
    <row r="13217" ht="12.75" customHeight="1"/>
    <row r="13218" ht="12.75" customHeight="1"/>
    <row r="13219" ht="12.75" customHeight="1"/>
    <row r="13220" ht="12.75" customHeight="1"/>
    <row r="13221" ht="12.75" customHeight="1"/>
    <row r="13222" ht="12.75" customHeight="1"/>
    <row r="13223" ht="12.75" customHeight="1"/>
    <row r="13224" ht="12.75" customHeight="1"/>
    <row r="13225" ht="12.75" customHeight="1"/>
    <row r="13226" ht="12.75" customHeight="1"/>
    <row r="13227" ht="12.75" customHeight="1"/>
    <row r="13228" ht="12.75" customHeight="1"/>
    <row r="13229" ht="12.75" customHeight="1"/>
    <row r="13230" ht="12.75" customHeight="1"/>
    <row r="13231" ht="12.75" customHeight="1">
      <c r="F13231" s="74"/>
      <c r="H13231" s="74"/>
    </row>
    <row r="13232" ht="12.75" customHeight="1"/>
    <row r="13233" ht="12.75" customHeight="1"/>
    <row r="13234" ht="12.75" customHeight="1"/>
    <row r="13235" ht="12.75" customHeight="1"/>
    <row r="13236" ht="12.75" customHeight="1"/>
    <row r="13237" ht="12.75" customHeight="1"/>
    <row r="13238" ht="12.75" customHeight="1"/>
    <row r="13239" ht="12.75" customHeight="1"/>
    <row r="13240" ht="12.75" customHeight="1"/>
    <row r="13241" ht="12.75" customHeight="1"/>
    <row r="13242" ht="12.75" customHeight="1"/>
    <row r="13243" ht="12.75" customHeight="1"/>
    <row r="13244" ht="12.75" customHeight="1"/>
    <row r="13245" ht="12.75" customHeight="1"/>
    <row r="13246" ht="12.75" customHeight="1"/>
    <row r="13247" ht="12.75" customHeight="1"/>
    <row r="13248" ht="12.75" customHeight="1"/>
    <row r="13249" ht="12.75" customHeight="1"/>
    <row r="13250" ht="12.75" customHeight="1"/>
    <row r="13251" ht="12.75" customHeight="1"/>
    <row r="13252" ht="12.75" customHeight="1"/>
    <row r="13253" ht="12.75" customHeight="1"/>
    <row r="13254" ht="12.75" customHeight="1"/>
    <row r="13255" ht="12.75" customHeight="1"/>
    <row r="13256" ht="12.75" customHeight="1"/>
    <row r="13257" ht="12.75" customHeight="1"/>
    <row r="13258" ht="12.75" customHeight="1"/>
    <row r="13259" ht="12.75" customHeight="1"/>
    <row r="13260" ht="12.75" customHeight="1"/>
    <row r="13261" ht="12.75" customHeight="1"/>
    <row r="13262" ht="12.75" customHeight="1"/>
    <row r="13263" ht="12.75" customHeight="1"/>
    <row r="13264" ht="12.75" customHeight="1"/>
    <row r="13265" ht="12.75" customHeight="1"/>
    <row r="13266" ht="12.75" customHeight="1"/>
    <row r="13267" ht="12.75" customHeight="1"/>
    <row r="13268" ht="12.75" customHeight="1"/>
    <row r="13269" ht="12.75" customHeight="1"/>
    <row r="13270" ht="12.75" customHeight="1"/>
    <row r="13271" ht="12.75" customHeight="1"/>
    <row r="13272" ht="12.75" customHeight="1"/>
    <row r="13273" ht="12.75" customHeight="1"/>
    <row r="13274" ht="12.75" customHeight="1"/>
    <row r="13275" ht="12.75" customHeight="1"/>
    <row r="13276" ht="12.75" customHeight="1"/>
    <row r="13277" ht="12.75" customHeight="1"/>
    <row r="13278" ht="12.75" customHeight="1"/>
    <row r="13279" ht="12.75" customHeight="1"/>
    <row r="13280" ht="12.75" customHeight="1"/>
    <row r="13281" ht="12.75" customHeight="1"/>
    <row r="13282" ht="12.75" customHeight="1"/>
    <row r="13283" ht="12.75" customHeight="1"/>
    <row r="13284" ht="12.75" customHeight="1"/>
    <row r="13285" ht="12.75" customHeight="1"/>
    <row r="13286" ht="12.75" customHeight="1"/>
    <row r="13287" ht="12.75" customHeight="1"/>
    <row r="13288" ht="12.75" customHeight="1"/>
    <row r="13289" ht="12.75" customHeight="1"/>
    <row r="13290" ht="12.75" customHeight="1"/>
    <row r="13291" ht="12.75" customHeight="1"/>
    <row r="13292" ht="12.75" customHeight="1"/>
    <row r="13293" ht="12.75" customHeight="1"/>
    <row r="13294" ht="12.75" customHeight="1"/>
    <row r="13295" ht="12.75" customHeight="1"/>
    <row r="13296" ht="12.75" customHeight="1"/>
    <row r="13297" ht="12.75" customHeight="1"/>
    <row r="13298" ht="12.75" customHeight="1"/>
    <row r="13299" ht="12.75" customHeight="1"/>
    <row r="13300" ht="12.75" customHeight="1"/>
    <row r="13301" ht="12.75" customHeight="1"/>
    <row r="13302" ht="12.75" customHeight="1"/>
    <row r="13303" ht="12.75" customHeight="1"/>
    <row r="13304" ht="12.75" customHeight="1"/>
    <row r="13305" ht="12.75" customHeight="1"/>
    <row r="13306" ht="12.75" customHeight="1"/>
    <row r="13307" ht="12.75" customHeight="1"/>
    <row r="13308" ht="12.75" customHeight="1"/>
    <row r="13309" ht="12.75" customHeight="1"/>
    <row r="13310" ht="12.75" customHeight="1"/>
    <row r="13311" ht="12.75" customHeight="1"/>
    <row r="13312" ht="12.75" customHeight="1"/>
    <row r="13313" ht="12.75" customHeight="1"/>
    <row r="13314" ht="12.75" customHeight="1"/>
    <row r="13315" ht="12.75" customHeight="1"/>
    <row r="13316" ht="12.75" customHeight="1"/>
    <row r="13317" ht="12.75" customHeight="1"/>
    <row r="13318" ht="12.75" customHeight="1"/>
    <row r="13319" ht="12.75" customHeight="1"/>
    <row r="13320" ht="12.75" customHeight="1"/>
    <row r="13321" ht="12.75" customHeight="1"/>
    <row r="13322" ht="12.75" customHeight="1"/>
    <row r="13323" ht="12.75" customHeight="1"/>
    <row r="13324" ht="12.75" customHeight="1"/>
    <row r="13325" ht="12.75" customHeight="1"/>
    <row r="13326" ht="12.75" customHeight="1"/>
    <row r="13327" ht="12.75" customHeight="1"/>
    <row r="13328" ht="12.75" customHeight="1"/>
    <row r="13329" ht="12.75" customHeight="1"/>
    <row r="13330" ht="12.75" customHeight="1"/>
    <row r="13331" ht="12.75" customHeight="1"/>
    <row r="13332" ht="12.75" customHeight="1"/>
    <row r="13333" ht="12.75" customHeight="1"/>
    <row r="13334" ht="12.75" customHeight="1"/>
    <row r="13335" ht="12.75" customHeight="1"/>
    <row r="13336" ht="12.75" customHeight="1"/>
    <row r="13337" ht="12.75" customHeight="1"/>
    <row r="13338" ht="12.75" customHeight="1"/>
    <row r="13339" ht="12.75" customHeight="1"/>
    <row r="13340" ht="12.75" customHeight="1"/>
    <row r="13341" ht="12.75" customHeight="1"/>
    <row r="13342" ht="12.75" customHeight="1"/>
    <row r="13343" ht="12.75" customHeight="1"/>
    <row r="13344" ht="12.75" customHeight="1"/>
    <row r="13345" ht="12.75" customHeight="1"/>
    <row r="13346" ht="12.75" customHeight="1"/>
    <row r="13347" ht="12.75" customHeight="1"/>
    <row r="13348" ht="12.75" customHeight="1"/>
    <row r="13349" ht="12.75" customHeight="1"/>
    <row r="13350" ht="12.75" customHeight="1"/>
    <row r="13351" ht="12.75" customHeight="1"/>
    <row r="13352" ht="12.75" customHeight="1"/>
    <row r="13353" ht="12.75" customHeight="1"/>
    <row r="13354" ht="12.75" customHeight="1"/>
    <row r="13355" ht="12.75" customHeight="1"/>
    <row r="13356" ht="12.75" customHeight="1"/>
    <row r="13357" ht="12.75" customHeight="1"/>
    <row r="13358" ht="12.75" customHeight="1"/>
    <row r="13359" ht="12.75" customHeight="1"/>
    <row r="13360" ht="12.75" customHeight="1"/>
    <row r="13361" ht="12.75" customHeight="1"/>
    <row r="13362" ht="12.75" customHeight="1"/>
    <row r="13363" ht="12.75" customHeight="1"/>
    <row r="13364" ht="12.75" customHeight="1"/>
    <row r="13365" ht="12.75" customHeight="1"/>
    <row r="13366" ht="12.75" customHeight="1"/>
    <row r="13367" ht="12.75" customHeight="1"/>
    <row r="13368" ht="12.75" customHeight="1"/>
    <row r="13369" ht="12.75" customHeight="1"/>
    <row r="13370" ht="12.75" customHeight="1"/>
    <row r="13371" ht="12.75" customHeight="1"/>
    <row r="13372" ht="12.75" customHeight="1"/>
    <row r="13373" ht="12.75" customHeight="1"/>
    <row r="13374" ht="12.75" customHeight="1"/>
    <row r="13375" ht="12.75" customHeight="1"/>
    <row r="13376" ht="12.75" customHeight="1"/>
    <row r="13377" ht="12.75" customHeight="1"/>
    <row r="13378" ht="12.75" customHeight="1"/>
    <row r="13379" ht="12.75" customHeight="1"/>
    <row r="13380" ht="12.75" customHeight="1"/>
    <row r="13381" ht="12.75" customHeight="1"/>
    <row r="13382" ht="12.75" customHeight="1"/>
    <row r="13383" ht="12.75" customHeight="1"/>
    <row r="13384" ht="12.75" customHeight="1"/>
    <row r="13385" ht="12.75" customHeight="1"/>
    <row r="13386" ht="12.75" customHeight="1"/>
    <row r="13387" ht="12.75" customHeight="1"/>
    <row r="13388" ht="12.75" customHeight="1"/>
    <row r="13389" ht="12.75" customHeight="1"/>
    <row r="13390" ht="12.75" customHeight="1"/>
    <row r="13391" ht="12.75" customHeight="1"/>
    <row r="13392" ht="12.75" customHeight="1"/>
    <row r="13393" ht="12.75" customHeight="1"/>
    <row r="13394" ht="12.75" customHeight="1"/>
    <row r="13395" ht="12.75" customHeight="1"/>
    <row r="13396" ht="12.75" customHeight="1"/>
    <row r="13397" ht="12.75" customHeight="1"/>
    <row r="13398" ht="12.75" customHeight="1"/>
    <row r="13399" ht="12.75" customHeight="1"/>
    <row r="13400" ht="12.75" customHeight="1"/>
    <row r="13401" ht="12.75" customHeight="1"/>
    <row r="13402" ht="12.75" customHeight="1"/>
    <row r="13403" ht="12.75" customHeight="1"/>
    <row r="13404" ht="12.75" customHeight="1"/>
    <row r="13405" ht="12.75" customHeight="1"/>
    <row r="13406" ht="12.75" customHeight="1"/>
    <row r="13407" ht="12.75" customHeight="1"/>
    <row r="13408" ht="12.75" customHeight="1"/>
    <row r="13409" ht="12.75" customHeight="1"/>
    <row r="13410" ht="12.75" customHeight="1"/>
    <row r="13411" ht="12.75" customHeight="1"/>
    <row r="13412" ht="12.75" customHeight="1"/>
    <row r="13413" ht="12.75" customHeight="1"/>
    <row r="13414" ht="12.75" customHeight="1"/>
    <row r="13415" ht="12.75" customHeight="1"/>
    <row r="13416" ht="12.75" customHeight="1"/>
    <row r="13417" ht="12.75" customHeight="1"/>
    <row r="13418" ht="12.75" customHeight="1"/>
    <row r="13419" ht="12.75" customHeight="1"/>
    <row r="13420" ht="12.75" customHeight="1"/>
    <row r="13421" ht="12.75" customHeight="1"/>
    <row r="13422" ht="12.75" customHeight="1"/>
    <row r="13423" ht="12.75" customHeight="1"/>
    <row r="13424" ht="12.75" customHeight="1"/>
    <row r="13425" ht="12.75" customHeight="1"/>
    <row r="13426" ht="12.75" customHeight="1"/>
    <row r="13427" ht="12.75" customHeight="1"/>
    <row r="13428" ht="12.75" customHeight="1"/>
    <row r="13429" ht="12.75" customHeight="1"/>
    <row r="13430" ht="12.75" customHeight="1"/>
    <row r="13431" ht="12.75" customHeight="1"/>
    <row r="13432" ht="12.75" customHeight="1"/>
    <row r="13433" ht="12.75" customHeight="1"/>
    <row r="13434" ht="12.75" customHeight="1"/>
    <row r="13435" ht="12.75" customHeight="1"/>
    <row r="13436" ht="12.75" customHeight="1"/>
    <row r="13437" ht="12.75" customHeight="1"/>
    <row r="13438" ht="12.75" customHeight="1"/>
    <row r="13439" ht="12.75" customHeight="1"/>
    <row r="13440" ht="12.75" customHeight="1"/>
    <row r="13441" ht="12.75" customHeight="1"/>
    <row r="13442" ht="12.75" customHeight="1"/>
    <row r="13443" ht="12.75" customHeight="1"/>
    <row r="13444" ht="12.75" customHeight="1"/>
    <row r="13445" ht="12.75" customHeight="1"/>
    <row r="13446" ht="12.75" customHeight="1"/>
    <row r="13447" ht="12.75" customHeight="1"/>
    <row r="13448" ht="12.75" customHeight="1"/>
    <row r="13449" ht="12.75" customHeight="1"/>
    <row r="13450" ht="12.75" customHeight="1"/>
    <row r="13451" ht="12.75" customHeight="1"/>
    <row r="13452" ht="12.75" customHeight="1"/>
    <row r="13453" ht="12.75" customHeight="1"/>
    <row r="13454" ht="12.75" customHeight="1"/>
    <row r="13455" ht="12.75" customHeight="1"/>
    <row r="13456" ht="12.75" customHeight="1"/>
    <row r="13457" ht="12.75" customHeight="1"/>
    <row r="13458" ht="12.75" customHeight="1"/>
    <row r="13459" ht="12.75" customHeight="1"/>
    <row r="13460" ht="12.75" customHeight="1"/>
    <row r="13461" ht="12.75" customHeight="1">
      <c r="R13461" s="74"/>
    </row>
    <row r="13462" ht="12.75" customHeight="1">
      <c r="R13462" s="74"/>
    </row>
    <row r="13463" ht="12.75" customHeight="1">
      <c r="R13463" s="74"/>
    </row>
    <row r="13464" ht="12.75" customHeight="1">
      <c r="R13464" s="74"/>
    </row>
    <row r="13465" ht="12.75" customHeight="1">
      <c r="R13465" s="74"/>
    </row>
    <row r="13466" ht="12.75" customHeight="1"/>
    <row r="13467" ht="12.75" customHeight="1"/>
    <row r="13468" ht="12.75" customHeight="1"/>
    <row r="13469" ht="12.75" customHeight="1"/>
    <row r="13470" ht="12.75" customHeight="1"/>
    <row r="13471" ht="12.75" customHeight="1">
      <c r="R13471" s="74"/>
    </row>
    <row r="13472" ht="12.75" customHeight="1">
      <c r="R13472" s="74"/>
    </row>
    <row r="13473" ht="12.75" customHeight="1">
      <c r="R13473" s="74"/>
    </row>
    <row r="13474" ht="12.75" customHeight="1">
      <c r="R13474" s="74"/>
    </row>
    <row r="13475" ht="12.75" customHeight="1">
      <c r="R13475" s="74"/>
    </row>
    <row r="13476" ht="12.75" customHeight="1"/>
    <row r="13477" ht="12.75" customHeight="1"/>
    <row r="13478" ht="12.75" customHeight="1"/>
    <row r="13479" ht="12.75" customHeight="1"/>
    <row r="13480" ht="12.75" customHeight="1"/>
    <row r="13481" ht="12.75" customHeight="1"/>
    <row r="13482" ht="12.75" customHeight="1"/>
    <row r="13483" ht="12.75" customHeight="1"/>
    <row r="13484" ht="12.75" customHeight="1"/>
    <row r="13485" ht="12.75" customHeight="1"/>
    <row r="13486" ht="12.75" customHeight="1"/>
    <row r="13487" ht="12.75" customHeight="1"/>
    <row r="13488" ht="12.75" customHeight="1"/>
    <row r="13489" ht="12.75" customHeight="1"/>
    <row r="13490" ht="12.75" customHeight="1"/>
    <row r="13491" ht="12.75" customHeight="1"/>
    <row r="13492" ht="12.75" customHeight="1"/>
    <row r="13493" ht="12.75" customHeight="1"/>
    <row r="13494" ht="12.75" customHeight="1"/>
    <row r="13495" ht="12.75" customHeight="1"/>
    <row r="13496" ht="12.75" customHeight="1"/>
    <row r="13497" ht="12.75" customHeight="1"/>
    <row r="13498" ht="12.75" customHeight="1"/>
    <row r="13499" ht="12.75" customHeight="1"/>
    <row r="13500" ht="12.75" customHeight="1"/>
    <row r="13501" ht="12.75" customHeight="1">
      <c r="R13501" s="74"/>
    </row>
    <row r="13502" ht="12.75" customHeight="1">
      <c r="R13502" s="74"/>
    </row>
    <row r="13503" ht="12.75" customHeight="1">
      <c r="R13503" s="74"/>
    </row>
    <row r="13504" ht="12.75" customHeight="1">
      <c r="R13504" s="74"/>
    </row>
    <row r="13505" ht="12.75" customHeight="1">
      <c r="R13505" s="74"/>
    </row>
    <row r="13506" ht="12.75" customHeight="1"/>
    <row r="13507" ht="12.75" customHeight="1"/>
    <row r="13508" ht="12.75" customHeight="1"/>
    <row r="13509" ht="12.75" customHeight="1"/>
    <row r="13510" ht="12.75" customHeight="1"/>
    <row r="13511" ht="12.75" customHeight="1"/>
    <row r="13512" ht="12.75" customHeight="1"/>
    <row r="13513" ht="12.75" customHeight="1"/>
    <row r="13514" ht="12.75" customHeight="1"/>
    <row r="13515" ht="12.75" customHeight="1"/>
    <row r="13516" ht="12.75" customHeight="1"/>
    <row r="13517" ht="12.75" customHeight="1"/>
    <row r="13518" ht="12.75" customHeight="1"/>
    <row r="13519" ht="12.75" customHeight="1"/>
    <row r="13520" ht="12.75" customHeight="1"/>
    <row r="13521" ht="12.75" customHeight="1"/>
    <row r="13522" ht="12.75" customHeight="1"/>
    <row r="13523" ht="12.75" customHeight="1"/>
    <row r="13524" ht="12.75" customHeight="1"/>
    <row r="13525" ht="12.75" customHeight="1"/>
    <row r="13526" ht="12.75" customHeight="1"/>
    <row r="13527" ht="12.75" customHeight="1"/>
    <row r="13528" ht="12.75" customHeight="1"/>
    <row r="13529" ht="12.75" customHeight="1"/>
    <row r="13530" ht="12.75" customHeight="1"/>
    <row r="13531" ht="12.75" customHeight="1"/>
    <row r="13532" ht="12.75" customHeight="1"/>
    <row r="13533" ht="12.75" customHeight="1"/>
    <row r="13534" ht="12.75" customHeight="1"/>
    <row r="13535" ht="12.75" customHeight="1"/>
    <row r="13536" ht="12.75" customHeight="1"/>
    <row r="13537" ht="12.75" customHeight="1"/>
    <row r="13538" ht="12.75" customHeight="1"/>
    <row r="13539" ht="12.75" customHeight="1"/>
    <row r="13540" ht="12.75" customHeight="1"/>
    <row r="13541" ht="12.75" customHeight="1"/>
    <row r="13542" ht="12.75" customHeight="1"/>
    <row r="13543" ht="12.75" customHeight="1"/>
    <row r="13544" ht="12.75" customHeight="1"/>
    <row r="13545" ht="12.75" customHeight="1"/>
    <row r="13546" ht="12.75" customHeight="1">
      <c r="R13546" s="74"/>
    </row>
    <row r="13547" ht="12.75" customHeight="1">
      <c r="R13547" s="74"/>
    </row>
    <row r="13548" ht="12.75" customHeight="1">
      <c r="R13548" s="74"/>
    </row>
    <row r="13549" ht="12.75" customHeight="1">
      <c r="R13549" s="74"/>
    </row>
    <row r="13550" ht="12.75" customHeight="1">
      <c r="R13550" s="74"/>
    </row>
    <row r="13551" ht="12.75" customHeight="1"/>
    <row r="13552" ht="12.75" customHeight="1"/>
    <row r="13553" ht="12.75" customHeight="1"/>
    <row r="13554" ht="12.75" customHeight="1"/>
    <row r="13555" ht="12.75" customHeight="1"/>
    <row r="13556" ht="12.75" customHeight="1"/>
    <row r="13557" ht="12.75" customHeight="1"/>
    <row r="13558" ht="12.75" customHeight="1"/>
    <row r="13559" ht="12.75" customHeight="1"/>
    <row r="13560" ht="12.75" customHeight="1"/>
    <row r="13561" ht="12.75" customHeight="1"/>
    <row r="13562" ht="12.75" customHeight="1"/>
    <row r="13563" ht="12.75" customHeight="1"/>
    <row r="13564" ht="12.75" customHeight="1"/>
    <row r="13565" ht="12.75" customHeight="1"/>
    <row r="13566" ht="12.75" customHeight="1">
      <c r="R13566" s="74"/>
    </row>
    <row r="13567" ht="12.75" customHeight="1">
      <c r="R13567" s="74"/>
    </row>
    <row r="13568" ht="12.75" customHeight="1">
      <c r="R13568" s="74"/>
    </row>
    <row r="13569" ht="12.75" customHeight="1">
      <c r="R13569" s="74"/>
    </row>
    <row r="13570" ht="12.75" customHeight="1">
      <c r="R13570" s="74"/>
    </row>
    <row r="13571" ht="12.75" customHeight="1">
      <c r="R13571" s="74"/>
    </row>
    <row r="13572" ht="12.75" customHeight="1">
      <c r="R13572" s="74"/>
    </row>
    <row r="13573" ht="12.75" customHeight="1">
      <c r="R13573" s="74"/>
    </row>
    <row r="13574" ht="12.75" customHeight="1">
      <c r="R13574" s="74"/>
    </row>
    <row r="13575" ht="12.75" customHeight="1">
      <c r="R13575" s="74"/>
    </row>
    <row r="13576" ht="12.75" customHeight="1">
      <c r="R13576" s="74"/>
    </row>
    <row r="13577" ht="12.75" customHeight="1">
      <c r="R13577" s="74"/>
    </row>
    <row r="13578" ht="12.75" customHeight="1">
      <c r="R13578" s="74"/>
    </row>
    <row r="13579" ht="12.75" customHeight="1">
      <c r="R13579" s="74"/>
    </row>
    <row r="13580" ht="12.75" customHeight="1">
      <c r="R13580" s="74"/>
    </row>
    <row r="13581" ht="12.75" customHeight="1"/>
    <row r="13582" ht="12.75" customHeight="1"/>
    <row r="13583" ht="12.75" customHeight="1"/>
    <row r="13584" ht="12.75" customHeight="1"/>
    <row r="13585" ht="12.75" customHeight="1"/>
    <row r="13586" ht="12.75" customHeight="1"/>
    <row r="13587" ht="12.75" customHeight="1"/>
    <row r="13588" ht="12.75" customHeight="1"/>
    <row r="13589" ht="12.75" customHeight="1"/>
    <row r="13590" ht="12.75" customHeight="1"/>
    <row r="13591" ht="12.75" customHeight="1"/>
    <row r="13592" ht="12.75" customHeight="1"/>
    <row r="13593" ht="12.75" customHeight="1"/>
    <row r="13594" ht="12.75" customHeight="1"/>
    <row r="13595" ht="12.75" customHeight="1"/>
    <row r="13596" ht="12.75" customHeight="1"/>
    <row r="13597" ht="12.75" customHeight="1"/>
    <row r="13598" ht="12.75" customHeight="1"/>
    <row r="13599" ht="12.75" customHeight="1"/>
    <row r="13600" ht="12.75" customHeight="1"/>
    <row r="13601" ht="12.75" customHeight="1"/>
    <row r="13602" ht="12.75" customHeight="1"/>
    <row r="13603" ht="12.75" customHeight="1"/>
    <row r="13604" ht="12.75" customHeight="1"/>
    <row r="13605" ht="12.75" customHeight="1"/>
    <row r="13606" ht="12.75" customHeight="1">
      <c r="R13606" s="74"/>
    </row>
    <row r="13607" ht="12.75" customHeight="1">
      <c r="R13607" s="74"/>
    </row>
    <row r="13608" ht="12.75" customHeight="1">
      <c r="R13608" s="74"/>
    </row>
    <row r="13609" ht="12.75" customHeight="1">
      <c r="R13609" s="74"/>
    </row>
    <row r="13610" ht="12.75" customHeight="1">
      <c r="R13610" s="74"/>
    </row>
    <row r="13611" ht="12.75" customHeight="1">
      <c r="R13611" s="74"/>
    </row>
    <row r="13612" ht="12.75" customHeight="1">
      <c r="R13612" s="74"/>
    </row>
    <row r="13613" ht="12.75" customHeight="1">
      <c r="R13613" s="74"/>
    </row>
    <row r="13614" ht="12.75" customHeight="1"/>
    <row r="13615" ht="12.75" customHeight="1"/>
    <row r="13616" ht="12.75" customHeight="1"/>
    <row r="13617" ht="12.75" customHeight="1"/>
    <row r="13618" ht="12.75" customHeight="1"/>
    <row r="13619" ht="12.75" customHeight="1"/>
    <row r="13620" ht="12.75" customHeight="1"/>
    <row r="13621" ht="12.75" customHeight="1"/>
    <row r="13622" ht="12.75" customHeight="1"/>
    <row r="13623" ht="12.75" customHeight="1"/>
    <row r="13624" ht="12.75" customHeight="1"/>
    <row r="13625" ht="12.75" customHeight="1"/>
    <row r="13626" ht="12.75" customHeight="1"/>
    <row r="13627" ht="12.75" customHeight="1"/>
    <row r="13628" ht="12.75" customHeight="1"/>
    <row r="13629" ht="12.75" customHeight="1"/>
    <row r="13630" ht="12.75" customHeight="1">
      <c r="R13630" s="74"/>
    </row>
    <row r="13631" ht="12.75" customHeight="1">
      <c r="R13631" s="74"/>
    </row>
    <row r="13632" ht="12.75" customHeight="1">
      <c r="R13632" s="74"/>
    </row>
    <row r="13633" ht="12.75" customHeight="1">
      <c r="R13633" s="74"/>
    </row>
    <row r="13634" ht="12.75" customHeight="1">
      <c r="R13634" s="74"/>
    </row>
    <row r="13635" ht="12.75" customHeight="1"/>
    <row r="13636" ht="12.75" customHeight="1"/>
    <row r="13637" ht="12.75" customHeight="1"/>
    <row r="13638" ht="12.75" customHeight="1"/>
    <row r="13639" ht="12.75" customHeight="1"/>
    <row r="13640" ht="12.75" customHeight="1">
      <c r="R13640" s="74"/>
    </row>
    <row r="13641" ht="12.75" customHeight="1">
      <c r="R13641" s="74"/>
    </row>
    <row r="13642" ht="12.75" customHeight="1">
      <c r="R13642" s="74"/>
    </row>
    <row r="13643" ht="12.75" customHeight="1">
      <c r="R13643" s="74"/>
    </row>
    <row r="13644" ht="12.75" customHeight="1">
      <c r="R13644" s="74"/>
    </row>
    <row r="13645" ht="12.75" customHeight="1"/>
    <row r="13646" ht="12.75" customHeight="1"/>
    <row r="13647" ht="12.75" customHeight="1"/>
    <row r="13648" ht="12.75" customHeight="1"/>
    <row r="13649" ht="12.75" customHeight="1"/>
    <row r="13650" ht="12.75" customHeight="1"/>
    <row r="13651" ht="12.75" customHeight="1"/>
    <row r="13652" ht="12.75" customHeight="1"/>
    <row r="13653" ht="12.75" customHeight="1"/>
    <row r="13654" ht="12.75" customHeight="1"/>
    <row r="13655" ht="12.75" customHeight="1"/>
    <row r="13656" ht="12.75" customHeight="1"/>
    <row r="13657" ht="12.75" customHeight="1"/>
    <row r="13658" ht="12.75" customHeight="1"/>
    <row r="13659" ht="12.75" customHeight="1"/>
    <row r="13660" ht="12.75" customHeight="1"/>
    <row r="13661" ht="12.75" customHeight="1"/>
    <row r="13662" ht="12.75" customHeight="1"/>
    <row r="13663" ht="12.75" customHeight="1"/>
    <row r="13664" ht="12.75" customHeight="1"/>
    <row r="13665" ht="12.75" customHeight="1"/>
    <row r="13666" ht="12.75" customHeight="1"/>
    <row r="13667" ht="12.75" customHeight="1"/>
    <row r="13668" ht="12.75" customHeight="1"/>
    <row r="13669" ht="12.75" customHeight="1"/>
    <row r="13670" ht="12.75" customHeight="1"/>
    <row r="13671" ht="12.75" customHeight="1"/>
    <row r="13672" ht="12.75" customHeight="1"/>
    <row r="13673" ht="12.75" customHeight="1"/>
    <row r="13674" ht="12.75" customHeight="1"/>
    <row r="13675" ht="12.75" customHeight="1"/>
    <row r="13676" ht="12.75" customHeight="1"/>
    <row r="13677" ht="12.75" customHeight="1"/>
    <row r="13678" ht="12.75" customHeight="1"/>
    <row r="13679" ht="12.75" customHeight="1"/>
    <row r="13680" ht="12.75" customHeight="1"/>
    <row r="13681" ht="12.75" customHeight="1"/>
    <row r="13682" ht="12.75" customHeight="1"/>
    <row r="13683" ht="12.75" customHeight="1"/>
    <row r="13684" ht="12.75" customHeight="1"/>
    <row r="13685" ht="12.75" customHeight="1"/>
    <row r="13686" ht="12.75" customHeight="1"/>
    <row r="13687" ht="12.75" customHeight="1"/>
    <row r="13688" ht="12.75" customHeight="1"/>
    <row r="13689" ht="12.75" customHeight="1"/>
    <row r="13690" ht="12.75" customHeight="1">
      <c r="R13690" s="74"/>
    </row>
    <row r="13691" ht="12.75" customHeight="1">
      <c r="R13691" s="74"/>
    </row>
    <row r="13692" ht="12.75" customHeight="1">
      <c r="R13692" s="74"/>
    </row>
    <row r="13693" ht="12.75" customHeight="1">
      <c r="R13693" s="74"/>
    </row>
    <row r="13694" ht="12.75" customHeight="1">
      <c r="R13694" s="74"/>
    </row>
    <row r="13695" ht="12.75" customHeight="1">
      <c r="R13695" s="74"/>
    </row>
    <row r="13696" ht="12.75" customHeight="1">
      <c r="R13696" s="74"/>
    </row>
    <row r="13697" ht="12.75" customHeight="1">
      <c r="R13697" s="74"/>
    </row>
    <row r="13698" ht="12.75" customHeight="1">
      <c r="R13698" s="74"/>
    </row>
    <row r="13699" ht="12.75" customHeight="1">
      <c r="R13699" s="74"/>
    </row>
    <row r="13700" ht="12.75" customHeight="1"/>
    <row r="13701" ht="12.75" customHeight="1"/>
    <row r="13702" ht="12.75" customHeight="1"/>
    <row r="13703" ht="12.75" customHeight="1"/>
    <row r="13704" ht="12.75" customHeight="1"/>
    <row r="13705" ht="12.75" customHeight="1"/>
    <row r="13706" ht="12.75" customHeight="1"/>
    <row r="13707" ht="12.75" customHeight="1"/>
    <row r="13708" ht="12.75" customHeight="1"/>
    <row r="13709" ht="12.75" customHeight="1"/>
    <row r="13710" ht="12.75" customHeight="1"/>
    <row r="13711" ht="12.75" customHeight="1"/>
    <row r="13712" ht="12.75" customHeight="1"/>
    <row r="13713" ht="12.75" customHeight="1"/>
    <row r="13714" ht="12.75" customHeight="1"/>
    <row r="13715" ht="12.75" customHeight="1"/>
    <row r="13716" ht="12.75" customHeight="1"/>
    <row r="13717" ht="12.75" customHeight="1"/>
    <row r="13718" ht="12.75" customHeight="1"/>
    <row r="13719" ht="12.75" customHeight="1"/>
    <row r="13720" ht="12.75" customHeight="1"/>
    <row r="13721" ht="12.75" customHeight="1"/>
    <row r="13722" ht="12.75" customHeight="1"/>
    <row r="13723" ht="12.75" customHeight="1"/>
    <row r="13724" ht="12.75" customHeight="1"/>
    <row r="13725" ht="12.75" customHeight="1">
      <c r="R13725" s="74"/>
    </row>
    <row r="13726" ht="12.75" customHeight="1">
      <c r="R13726" s="74"/>
    </row>
    <row r="13727" ht="12.75" customHeight="1">
      <c r="R13727" s="74"/>
    </row>
    <row r="13728" ht="12.75" customHeight="1">
      <c r="R13728" s="74"/>
    </row>
    <row r="13729" ht="12.75" customHeight="1">
      <c r="R13729" s="74"/>
    </row>
    <row r="13730" ht="12.75" customHeight="1"/>
    <row r="13731" ht="12.75" customHeight="1"/>
    <row r="13732" ht="12.75" customHeight="1"/>
    <row r="13733" ht="12.75" customHeight="1"/>
    <row r="13734" ht="12.75" customHeight="1"/>
    <row r="13735" ht="12.75" customHeight="1"/>
    <row r="13736" ht="12.75" customHeight="1"/>
    <row r="13737" ht="12.75" customHeight="1"/>
    <row r="13738" ht="12.75" customHeight="1"/>
    <row r="13739" ht="12.75" customHeight="1"/>
    <row r="13740" ht="12.75" customHeight="1"/>
    <row r="13741" ht="12.75" customHeight="1"/>
    <row r="13742" ht="12.75" customHeight="1">
      <c r="R13742" s="74"/>
    </row>
    <row r="13743" ht="12.75" customHeight="1">
      <c r="R13743" s="74"/>
    </row>
    <row r="13744" ht="12.75" customHeight="1">
      <c r="R13744" s="74"/>
    </row>
    <row r="13745" ht="12.75" customHeight="1">
      <c r="R13745" s="74"/>
    </row>
    <row r="13746" ht="12.75" customHeight="1">
      <c r="R13746" s="74"/>
    </row>
    <row r="13747" ht="12.75" customHeight="1"/>
    <row r="13748" ht="12.75" customHeight="1"/>
    <row r="13749" ht="12.75" customHeight="1"/>
    <row r="13750" ht="12.75" customHeight="1"/>
    <row r="13751" ht="12.75" customHeight="1"/>
    <row r="13752" ht="12.75" customHeight="1">
      <c r="R13752" s="74"/>
    </row>
    <row r="13753" ht="12.75" customHeight="1">
      <c r="R13753" s="74"/>
    </row>
    <row r="13754" ht="12.75" customHeight="1">
      <c r="R13754" s="74"/>
    </row>
    <row r="13755" ht="12.75" customHeight="1">
      <c r="R13755" s="74"/>
    </row>
    <row r="13756" ht="12.75" customHeight="1">
      <c r="R13756" s="74"/>
    </row>
    <row r="13757" ht="12.75" customHeight="1"/>
    <row r="13758" ht="12.75" customHeight="1"/>
    <row r="13759" ht="12.75" customHeight="1"/>
    <row r="13760" ht="12.75" customHeight="1"/>
    <row r="13761" ht="12.75" customHeight="1"/>
    <row r="13762" ht="12.75" customHeight="1"/>
    <row r="13763" ht="12.75" customHeight="1"/>
    <row r="13764" ht="12.75" customHeight="1"/>
    <row r="13765" ht="12.75" customHeight="1"/>
    <row r="13766" ht="12.75" customHeight="1"/>
    <row r="13767" ht="12.75" customHeight="1">
      <c r="R13767" s="74"/>
    </row>
    <row r="13768" ht="12.75" customHeight="1">
      <c r="R13768" s="74"/>
    </row>
    <row r="13769" ht="12.75" customHeight="1">
      <c r="R13769" s="74"/>
    </row>
    <row r="13770" ht="12.75" customHeight="1">
      <c r="R13770" s="74"/>
    </row>
    <row r="13771" ht="12.75" customHeight="1">
      <c r="R13771" s="74"/>
    </row>
    <row r="13772" ht="12.75" customHeight="1"/>
    <row r="13773" ht="12.75" customHeight="1"/>
    <row r="13774" ht="12.75" customHeight="1"/>
    <row r="13775" ht="12.75" customHeight="1"/>
    <row r="13776" ht="12.75" customHeight="1"/>
    <row r="13777" ht="12.75" customHeight="1"/>
    <row r="13778" ht="12.75" customHeight="1"/>
    <row r="13779" ht="12.75" customHeight="1"/>
    <row r="13780" ht="12.75" customHeight="1"/>
    <row r="13781" ht="12.75" customHeight="1"/>
    <row r="13782" ht="12.75" customHeight="1"/>
    <row r="13783" ht="12.75" customHeight="1"/>
    <row r="13784" ht="12.75" customHeight="1"/>
    <row r="13785" ht="12.75" customHeight="1"/>
    <row r="13786" ht="12.75" customHeight="1"/>
    <row r="13787" ht="12.75" customHeight="1"/>
    <row r="13788" ht="12.75" customHeight="1"/>
    <row r="13789" ht="12.75" customHeight="1"/>
    <row r="13790" ht="12.75" customHeight="1"/>
    <row r="13791" ht="12.75" customHeight="1"/>
    <row r="13792" ht="12.75" customHeight="1"/>
    <row r="13793" ht="12.75" customHeight="1"/>
    <row r="13794" ht="12.75" customHeight="1"/>
    <row r="13795" ht="12.75" customHeight="1"/>
    <row r="13796" ht="12.75" customHeight="1"/>
    <row r="13797" ht="12.75" customHeight="1"/>
    <row r="13798" ht="12.75" customHeight="1"/>
    <row r="13799" ht="12.75" customHeight="1"/>
    <row r="13800" ht="12.75" customHeight="1"/>
    <row r="13801" ht="12.75" customHeight="1"/>
    <row r="13802" ht="12.75" customHeight="1"/>
    <row r="13803" ht="12.75" customHeight="1"/>
    <row r="13804" ht="12.75" customHeight="1"/>
    <row r="13805" ht="12.75" customHeight="1"/>
    <row r="13806" ht="12.75" customHeight="1"/>
    <row r="13807" ht="12.75" customHeight="1"/>
    <row r="13808" ht="12.75" customHeight="1"/>
    <row r="13809" ht="12.75" customHeight="1"/>
    <row r="13810" ht="12.75" customHeight="1"/>
    <row r="13811" ht="12.75" customHeight="1"/>
    <row r="13812" ht="12.75" customHeight="1"/>
    <row r="13813" ht="12.75" customHeight="1"/>
    <row r="13814" ht="12.75" customHeight="1"/>
    <row r="13815" ht="12.75" customHeight="1"/>
    <row r="13816" ht="12.75" customHeight="1"/>
    <row r="13817" ht="12.75" customHeight="1"/>
    <row r="13818" ht="12.75" customHeight="1"/>
    <row r="13819" ht="12.75" customHeight="1"/>
    <row r="13820" ht="12.75" customHeight="1"/>
    <row r="13821" ht="12.75" customHeight="1"/>
    <row r="13822" ht="12.75" customHeight="1"/>
    <row r="13823" ht="12.75" customHeight="1"/>
    <row r="13824" ht="12.75" customHeight="1"/>
    <row r="13825" ht="12.75" customHeight="1"/>
    <row r="13826" ht="12.75" customHeight="1"/>
    <row r="13827" ht="12.75" customHeight="1"/>
    <row r="13828" ht="12.75" customHeight="1"/>
    <row r="13829" ht="12.75" customHeight="1"/>
    <row r="13830" ht="12.75" customHeight="1"/>
    <row r="13831" ht="12.75" customHeight="1"/>
    <row r="13832" ht="12.75" customHeight="1"/>
    <row r="13833" ht="12.75" customHeight="1"/>
    <row r="13834" ht="12.75" customHeight="1"/>
    <row r="13835" ht="12.75" customHeight="1"/>
    <row r="13836" ht="12.75" customHeight="1"/>
    <row r="13837" ht="12.75" customHeight="1"/>
    <row r="13838" ht="12.75" customHeight="1"/>
    <row r="13839" ht="12.75" customHeight="1"/>
    <row r="13840" ht="12.75" customHeight="1"/>
    <row r="13841" ht="12.75" customHeight="1"/>
    <row r="13842" ht="12.75" customHeight="1"/>
    <row r="13843" ht="12.75" customHeight="1"/>
    <row r="13844" ht="12.75" customHeight="1"/>
    <row r="13845" ht="12.75" customHeight="1"/>
    <row r="13846" ht="12.75" customHeight="1"/>
    <row r="13847" ht="12.75" customHeight="1">
      <c r="R13847" s="74"/>
    </row>
    <row r="13848" ht="12.75" customHeight="1">
      <c r="R13848" s="74"/>
    </row>
    <row r="13849" ht="12.75" customHeight="1">
      <c r="R13849" s="74"/>
    </row>
    <row r="13850" ht="12.75" customHeight="1">
      <c r="R13850" s="74"/>
    </row>
    <row r="13851" ht="12.75" customHeight="1">
      <c r="R13851" s="74"/>
    </row>
    <row r="13852" ht="12.75" customHeight="1"/>
    <row r="13853" ht="12.75" customHeight="1"/>
    <row r="13854" ht="12.75" customHeight="1"/>
    <row r="13855" ht="12.75" customHeight="1"/>
    <row r="13856" ht="12.75" customHeight="1"/>
    <row r="13857" ht="12.75" customHeight="1"/>
    <row r="13858" ht="12.75" customHeight="1"/>
    <row r="13859" ht="12.75" customHeight="1"/>
    <row r="13860" ht="12.75" customHeight="1"/>
    <row r="13861" ht="12.75" customHeight="1"/>
    <row r="13862" ht="12.75" customHeight="1">
      <c r="R13862" s="74"/>
    </row>
    <row r="13863" ht="12.75" customHeight="1">
      <c r="R13863" s="74"/>
    </row>
    <row r="13864" ht="12.75" customHeight="1">
      <c r="R13864" s="74"/>
    </row>
    <row r="13865" ht="12.75" customHeight="1">
      <c r="R13865" s="74"/>
    </row>
    <row r="13866" ht="12.75" customHeight="1">
      <c r="R13866" s="74"/>
    </row>
    <row r="13867" ht="12.75" customHeight="1"/>
    <row r="13868" ht="12.75" customHeight="1"/>
    <row r="13869" ht="12.75" customHeight="1"/>
    <row r="13870" ht="12.75" customHeight="1"/>
    <row r="13871" ht="12.75" customHeight="1"/>
    <row r="13872" ht="12.75" customHeight="1"/>
    <row r="13873" ht="12.75" customHeight="1"/>
    <row r="13874" ht="12.75" customHeight="1"/>
    <row r="13875" ht="12.75" customHeight="1"/>
    <row r="13876" ht="12.75" customHeight="1"/>
    <row r="13877" ht="12.75" customHeight="1"/>
    <row r="13878" ht="12.75" customHeight="1"/>
    <row r="13879" ht="12.75" customHeight="1"/>
    <row r="13880" ht="12.75" customHeight="1"/>
    <row r="13881" ht="12.75" customHeight="1"/>
    <row r="13882" ht="12.75" customHeight="1">
      <c r="R13882" s="74"/>
    </row>
    <row r="13883" ht="12.75" customHeight="1">
      <c r="R13883" s="74"/>
    </row>
    <row r="13884" ht="12.75" customHeight="1">
      <c r="R13884" s="74"/>
    </row>
    <row r="13885" ht="12.75" customHeight="1">
      <c r="R13885" s="74"/>
    </row>
    <row r="13886" ht="12.75" customHeight="1">
      <c r="R13886" s="74"/>
    </row>
    <row r="13887" ht="12.75" customHeight="1"/>
    <row r="13888" ht="12.75" customHeight="1"/>
    <row r="13889" ht="12.75" customHeight="1"/>
    <row r="13890" ht="12.75" customHeight="1"/>
    <row r="13891" ht="12.75" customHeight="1"/>
    <row r="13892" ht="12.75" customHeight="1">
      <c r="R13892" s="74"/>
    </row>
    <row r="13893" ht="12.75" customHeight="1">
      <c r="R13893" s="74"/>
    </row>
    <row r="13894" ht="12.75" customHeight="1">
      <c r="R13894" s="74"/>
    </row>
    <row r="13895" ht="12.75" customHeight="1">
      <c r="R13895" s="74"/>
    </row>
    <row r="13896" ht="12.75" customHeight="1">
      <c r="R13896" s="74"/>
    </row>
    <row r="13897" ht="12.75" customHeight="1">
      <c r="R13897" s="74"/>
    </row>
    <row r="13898" ht="12.75" customHeight="1">
      <c r="R13898" s="74"/>
    </row>
    <row r="13899" ht="12.75" customHeight="1">
      <c r="R13899" s="74"/>
    </row>
    <row r="13900" ht="12.75" customHeight="1">
      <c r="R13900" s="74"/>
    </row>
    <row r="13901" ht="12.75" customHeight="1">
      <c r="R13901" s="74"/>
    </row>
    <row r="13902" ht="12.75" customHeight="1"/>
    <row r="13903" ht="12.75" customHeight="1"/>
    <row r="13904" ht="12.75" customHeight="1"/>
    <row r="13905" ht="12.75" customHeight="1"/>
    <row r="13906" ht="12.75" customHeight="1"/>
    <row r="13907" ht="12.75" customHeight="1">
      <c r="R13907" s="74"/>
    </row>
    <row r="13908" ht="12.75" customHeight="1">
      <c r="R13908" s="74"/>
    </row>
    <row r="13909" ht="12.75" customHeight="1">
      <c r="R13909" s="74"/>
    </row>
    <row r="13910" ht="12.75" customHeight="1">
      <c r="R13910" s="74"/>
    </row>
    <row r="13911" ht="12.75" customHeight="1">
      <c r="R13911" s="74"/>
    </row>
    <row r="13912" ht="12.75" customHeight="1"/>
    <row r="13913" ht="12.75" customHeight="1"/>
    <row r="13914" ht="12.75" customHeight="1"/>
    <row r="13915" ht="12.75" customHeight="1"/>
    <row r="13916" ht="12.75" customHeight="1"/>
    <row r="13917" ht="12.75" customHeight="1"/>
    <row r="13918" ht="12.75" customHeight="1"/>
    <row r="13919" ht="12.75" customHeight="1"/>
    <row r="13920" ht="12.75" customHeight="1"/>
    <row r="13921" ht="12.75" customHeight="1"/>
    <row r="13922" ht="12.75" customHeight="1"/>
    <row r="13923" ht="12.75" customHeight="1"/>
    <row r="13924" ht="12.75" customHeight="1"/>
    <row r="13925" ht="12.75" customHeight="1"/>
    <row r="13926" ht="12.75" customHeight="1"/>
    <row r="13927" ht="12.75" customHeight="1"/>
    <row r="13928" ht="12.75" customHeight="1"/>
    <row r="13929" ht="12.75" customHeight="1"/>
    <row r="13930" ht="12.75" customHeight="1"/>
    <row r="13931" ht="12.75" customHeight="1"/>
    <row r="13932" ht="12.75" customHeight="1"/>
    <row r="13933" ht="12.75" customHeight="1"/>
    <row r="13934" ht="12.75" customHeight="1"/>
    <row r="13935" ht="12.75" customHeight="1"/>
    <row r="13936" ht="12.75" customHeight="1"/>
    <row r="13937" ht="12.75" customHeight="1"/>
    <row r="13938" ht="12.75" customHeight="1"/>
    <row r="13939" ht="12.75" customHeight="1"/>
    <row r="13940" ht="12.75" customHeight="1"/>
    <row r="13941" ht="12.75" customHeight="1"/>
    <row r="13942" ht="12.75" customHeight="1"/>
    <row r="13943" ht="12.75" customHeight="1"/>
    <row r="13944" ht="12.75" customHeight="1"/>
    <row r="13945" ht="12.75" customHeight="1"/>
    <row r="13946" ht="12.75" customHeight="1"/>
    <row r="13947" ht="12.75" customHeight="1"/>
    <row r="13948" ht="12.75" customHeight="1"/>
    <row r="13949" ht="12.75" customHeight="1"/>
    <row r="13950" ht="12.75" customHeight="1"/>
    <row r="13951" ht="12.75" customHeight="1"/>
    <row r="13952" ht="12.75" customHeight="1"/>
    <row r="13953" ht="12.75" customHeight="1"/>
    <row r="13954" ht="12.75" customHeight="1"/>
    <row r="13955" ht="12.75" customHeight="1"/>
    <row r="13956" ht="12.75" customHeight="1"/>
    <row r="13957" ht="12.75" customHeight="1"/>
    <row r="13958" ht="12.75" customHeight="1"/>
    <row r="13959" ht="12.75" customHeight="1"/>
    <row r="13960" ht="12.75" customHeight="1"/>
    <row r="13961" ht="12.75" customHeight="1"/>
    <row r="13962" ht="12.75" customHeight="1"/>
    <row r="13963" ht="12.75" customHeight="1"/>
    <row r="13964" ht="12.75" customHeight="1"/>
    <row r="13965" ht="12.75" customHeight="1"/>
    <row r="13966" ht="12.75" customHeight="1"/>
    <row r="13967" ht="12.75" customHeight="1"/>
    <row r="13968" ht="12.75" customHeight="1"/>
    <row r="13969" ht="12.75" customHeight="1"/>
    <row r="13970" ht="12.75" customHeight="1"/>
    <row r="13971" ht="12.75" customHeight="1"/>
    <row r="13972" ht="12.75" customHeight="1"/>
    <row r="13973" ht="12.75" customHeight="1"/>
    <row r="13974" ht="12.75" customHeight="1"/>
    <row r="13975" ht="12.75" customHeight="1"/>
    <row r="13976" ht="12.75" customHeight="1"/>
    <row r="13977" ht="12.75" customHeight="1"/>
    <row r="13978" ht="12.75" customHeight="1"/>
    <row r="13979" ht="12.75" customHeight="1"/>
    <row r="13980" ht="12.75" customHeight="1"/>
    <row r="13981" ht="12.75" customHeight="1"/>
    <row r="13982" ht="12.75" customHeight="1"/>
    <row r="13983" ht="12.75" customHeight="1"/>
    <row r="13984" ht="12.75" customHeight="1"/>
    <row r="13985" ht="12.75" customHeight="1"/>
    <row r="13986" ht="12.75" customHeight="1"/>
    <row r="13987" ht="12.75" customHeight="1"/>
    <row r="13988" ht="12.75" customHeight="1"/>
    <row r="13989" ht="12.75" customHeight="1"/>
    <row r="13990" ht="12.75" customHeight="1"/>
    <row r="13991" ht="12.75" customHeight="1"/>
    <row r="13992" ht="12.75" customHeight="1"/>
    <row r="13993" ht="12.75" customHeight="1"/>
    <row r="13994" ht="12.75" customHeight="1"/>
    <row r="13995" ht="12.75" customHeight="1"/>
    <row r="13996" ht="12.75" customHeight="1"/>
    <row r="13997" ht="12.75" customHeight="1"/>
    <row r="13998" ht="12.75" customHeight="1"/>
    <row r="13999" ht="12.75" customHeight="1"/>
    <row r="14000" ht="12.75" customHeight="1"/>
    <row r="14001" ht="12.75" customHeight="1"/>
    <row r="14002" ht="12.75" customHeight="1"/>
    <row r="14003" ht="12.75" customHeight="1"/>
    <row r="14004" ht="12.75" customHeight="1"/>
    <row r="14005" ht="12.75" customHeight="1"/>
    <row r="14006" ht="12.75" customHeight="1"/>
    <row r="14007" ht="12.75" customHeight="1"/>
    <row r="14008" ht="12.75" customHeight="1"/>
    <row r="14009" ht="12.75" customHeight="1"/>
    <row r="14010" ht="12.75" customHeight="1"/>
    <row r="14011" ht="12.75" customHeight="1"/>
    <row r="14012" ht="12.75" customHeight="1"/>
    <row r="14013" ht="12.75" customHeight="1"/>
    <row r="14014" ht="12.75" customHeight="1"/>
    <row r="14015" ht="12.75" customHeight="1"/>
    <row r="14016" ht="12.75" customHeight="1"/>
    <row r="14017" ht="12.75" customHeight="1"/>
    <row r="14018" ht="12.75" customHeight="1"/>
    <row r="14019" ht="12.75" customHeight="1"/>
    <row r="14020" ht="12.75" customHeight="1"/>
    <row r="14021" ht="12.75" customHeight="1"/>
    <row r="14022" ht="12.75" customHeight="1"/>
    <row r="14023" ht="12.75" customHeight="1"/>
    <row r="14024" ht="12.75" customHeight="1"/>
    <row r="14025" ht="12.75" customHeight="1"/>
    <row r="14026" ht="12.75" customHeight="1"/>
    <row r="14027" ht="12.75" customHeight="1"/>
    <row r="14028" ht="12.75" customHeight="1"/>
    <row r="14029" ht="12.75" customHeight="1"/>
    <row r="14030" ht="12.75" customHeight="1"/>
    <row r="14031" ht="12.75" customHeight="1"/>
    <row r="14032" ht="12.75" customHeight="1"/>
    <row r="14033" ht="12.75" customHeight="1"/>
    <row r="14034" ht="12.75" customHeight="1"/>
    <row r="14035" ht="12.75" customHeight="1"/>
    <row r="14036" ht="12.75" customHeight="1"/>
    <row r="14037" ht="12.75" customHeight="1"/>
    <row r="14038" ht="12.75" customHeight="1"/>
    <row r="14039" ht="12.75" customHeight="1"/>
    <row r="14040" ht="12.75" customHeight="1"/>
    <row r="14041" ht="12.75" customHeight="1"/>
    <row r="14042" ht="12.75" customHeight="1"/>
    <row r="14043" ht="12.75" customHeight="1"/>
    <row r="14044" ht="12.75" customHeight="1"/>
    <row r="14045" ht="12.75" customHeight="1"/>
    <row r="14046" ht="12.75" customHeight="1"/>
    <row r="14047" ht="12.75" customHeight="1"/>
    <row r="14048" ht="12.75" customHeight="1"/>
    <row r="14049" ht="12.75" customHeight="1"/>
    <row r="14050" ht="12.75" customHeight="1"/>
    <row r="14051" ht="12.75" customHeight="1"/>
    <row r="14052" ht="12.75" customHeight="1"/>
    <row r="14053" ht="12.75" customHeight="1"/>
    <row r="14054" ht="12.75" customHeight="1"/>
    <row r="14055" ht="12.75" customHeight="1"/>
    <row r="14056" ht="12.75" customHeight="1"/>
    <row r="14057" ht="12.75" customHeight="1"/>
    <row r="14058" ht="12.75" customHeight="1"/>
    <row r="14059" ht="12.75" customHeight="1"/>
    <row r="14060" ht="12.75" customHeight="1"/>
    <row r="14061" ht="12.75" customHeight="1"/>
    <row r="14062" ht="12.75" customHeight="1"/>
    <row r="14063" ht="12.75" customHeight="1"/>
    <row r="14064" ht="12.75" customHeight="1"/>
    <row r="14065" ht="12.75" customHeight="1"/>
    <row r="14066" ht="12.75" customHeight="1"/>
    <row r="14067" ht="12.75" customHeight="1"/>
    <row r="14068" ht="12.75" customHeight="1"/>
    <row r="14069" ht="12.75" customHeight="1"/>
    <row r="14070" ht="12.75" customHeight="1"/>
    <row r="14071" ht="12.75" customHeight="1"/>
    <row r="14072" ht="12.75" customHeight="1"/>
    <row r="14073" ht="12.75" customHeight="1"/>
    <row r="14074" ht="12.75" customHeight="1"/>
    <row r="14075" ht="12.75" customHeight="1"/>
    <row r="14076" ht="12.75" customHeight="1"/>
    <row r="14077" ht="12.75" customHeight="1"/>
    <row r="14078" ht="12.75" customHeight="1"/>
    <row r="14079" ht="12.75" customHeight="1"/>
    <row r="14080" ht="12.75" customHeight="1"/>
    <row r="14081" ht="12.75" customHeight="1"/>
    <row r="14082" ht="12.75" customHeight="1"/>
    <row r="14083" ht="12.75" customHeight="1"/>
    <row r="14084" ht="12.75" customHeight="1"/>
    <row r="14085" ht="12.75" customHeight="1"/>
    <row r="14086" ht="12.75" customHeight="1"/>
    <row r="14087" ht="12.75" customHeight="1"/>
    <row r="14088" ht="12.75" customHeight="1"/>
    <row r="14089" ht="12.75" customHeight="1"/>
    <row r="14090" ht="12.75" customHeight="1"/>
    <row r="14091" ht="12.75" customHeight="1"/>
    <row r="14092" ht="12.75" customHeight="1"/>
    <row r="14093" ht="12.75" customHeight="1"/>
    <row r="14094" ht="12.75" customHeight="1"/>
    <row r="14095" ht="12.75" customHeight="1"/>
    <row r="14096" ht="12.75" customHeight="1"/>
    <row r="14097" ht="12.75" customHeight="1"/>
    <row r="14098" ht="12.75" customHeight="1"/>
    <row r="14099" ht="12.75" customHeight="1"/>
    <row r="14100" ht="12.75" customHeight="1"/>
    <row r="14101" ht="12.75" customHeight="1"/>
    <row r="14102" ht="12.75" customHeight="1">
      <c r="R14102" s="74"/>
    </row>
    <row r="14103" ht="12.75" customHeight="1">
      <c r="R14103" s="74"/>
    </row>
    <row r="14104" ht="12.75" customHeight="1">
      <c r="R14104" s="74"/>
    </row>
    <row r="14105" ht="12.75" customHeight="1">
      <c r="R14105" s="74"/>
    </row>
    <row r="14106" ht="12.75" customHeight="1">
      <c r="R14106" s="74"/>
    </row>
    <row r="14107" ht="12.75" customHeight="1">
      <c r="R14107" s="74"/>
    </row>
    <row r="14108" ht="12.75" customHeight="1">
      <c r="R14108" s="74"/>
    </row>
    <row r="14109" ht="12.75" customHeight="1">
      <c r="R14109" s="74"/>
    </row>
    <row r="14110" ht="12.75" customHeight="1">
      <c r="R14110" s="74"/>
    </row>
    <row r="14111" ht="12.75" customHeight="1">
      <c r="R14111" s="74"/>
    </row>
    <row r="14112" ht="12.75" customHeight="1">
      <c r="R14112" s="74"/>
    </row>
    <row r="14113" ht="12.75" customHeight="1">
      <c r="R14113" s="74"/>
    </row>
    <row r="14114" ht="12.75" customHeight="1">
      <c r="R14114" s="74"/>
    </row>
    <row r="14115" ht="12.75" customHeight="1">
      <c r="R14115" s="74"/>
    </row>
    <row r="14116" ht="12.75" customHeight="1">
      <c r="R14116" s="74"/>
    </row>
    <row r="14117" ht="12.75" customHeight="1">
      <c r="R14117" s="74"/>
    </row>
    <row r="14118" ht="12.75" customHeight="1">
      <c r="R14118" s="74"/>
    </row>
    <row r="14119" ht="12.75" customHeight="1">
      <c r="R14119" s="74"/>
    </row>
    <row r="14120" ht="12.75" customHeight="1">
      <c r="R14120" s="74"/>
    </row>
    <row r="14121" ht="12.75" customHeight="1">
      <c r="R14121" s="74"/>
    </row>
    <row r="14122" ht="12.75" customHeight="1">
      <c r="R14122" s="74"/>
    </row>
    <row r="14123" ht="12.75" customHeight="1">
      <c r="R14123" s="74"/>
    </row>
    <row r="14124" ht="12.75" customHeight="1">
      <c r="R14124" s="74"/>
    </row>
    <row r="14125" ht="12.75" customHeight="1">
      <c r="R14125" s="74"/>
    </row>
    <row r="14126" ht="12.75" customHeight="1">
      <c r="R14126" s="74"/>
    </row>
    <row r="14127" ht="12.75" customHeight="1"/>
    <row r="14128" ht="12.75" customHeight="1"/>
    <row r="14129" ht="12.75" customHeight="1"/>
    <row r="14130" ht="12.75" customHeight="1"/>
    <row r="14131" ht="12.75" customHeight="1"/>
    <row r="14132" ht="12.75" customHeight="1"/>
    <row r="14133" ht="12.75" customHeight="1"/>
    <row r="14134" ht="12.75" customHeight="1"/>
    <row r="14135" ht="12.75" customHeight="1"/>
    <row r="14136" ht="12.75" customHeight="1"/>
    <row r="14137" ht="12.75" customHeight="1"/>
    <row r="14138" ht="12.75" customHeight="1"/>
    <row r="14139" ht="12.75" customHeight="1"/>
    <row r="14140" ht="12.75" customHeight="1"/>
    <row r="14141" ht="12.75" customHeight="1"/>
    <row r="14142" ht="12.75" customHeight="1"/>
    <row r="14143" ht="12.75" customHeight="1"/>
    <row r="14144" ht="12.75" customHeight="1"/>
    <row r="14145" ht="12.75" customHeight="1"/>
    <row r="14146" ht="12.75" customHeight="1"/>
    <row r="14147" ht="12.75" customHeight="1"/>
    <row r="14148" ht="12.75" customHeight="1"/>
    <row r="14149" ht="12.75" customHeight="1"/>
    <row r="14150" ht="12.75" customHeight="1"/>
    <row r="14151" ht="12.75" customHeight="1"/>
    <row r="14152" ht="12.75" customHeight="1"/>
    <row r="14153" ht="12.75" customHeight="1"/>
    <row r="14154" ht="12.75" customHeight="1"/>
    <row r="14155" ht="12.75" customHeight="1"/>
    <row r="14156" ht="12.75" customHeight="1"/>
    <row r="14157" ht="12.75" customHeight="1"/>
    <row r="14158" ht="12.75" customHeight="1"/>
    <row r="14159" ht="12.75" customHeight="1"/>
    <row r="14160" ht="12.75" customHeight="1"/>
    <row r="14161" ht="12.75" customHeight="1"/>
    <row r="14162" ht="12.75" customHeight="1"/>
    <row r="14163" ht="12.75" customHeight="1"/>
    <row r="14164" ht="12.75" customHeight="1"/>
    <row r="14165" ht="12.75" customHeight="1"/>
    <row r="14166" ht="12.75" customHeight="1"/>
    <row r="14167" ht="12.75" customHeight="1"/>
    <row r="14168" ht="12.75" customHeight="1"/>
    <row r="14169" ht="12.75" customHeight="1"/>
    <row r="14170" ht="12.75" customHeight="1"/>
    <row r="14171" ht="12.75" customHeight="1"/>
    <row r="14172" ht="12.75" customHeight="1"/>
    <row r="14173" ht="12.75" customHeight="1"/>
    <row r="14174" ht="12.75" customHeight="1"/>
    <row r="14175" ht="12.75" customHeight="1"/>
    <row r="14176" ht="12.75" customHeight="1"/>
    <row r="14177" ht="12.75" customHeight="1"/>
    <row r="14178" ht="12.75" customHeight="1"/>
    <row r="14179" ht="12.75" customHeight="1"/>
    <row r="14180" ht="12.75" customHeight="1"/>
    <row r="14181" ht="12.75" customHeight="1"/>
    <row r="14182" ht="12.75" customHeight="1"/>
    <row r="14183" ht="12.75" customHeight="1"/>
    <row r="14184" ht="12.75" customHeight="1"/>
    <row r="14185" ht="12.75" customHeight="1"/>
    <row r="14186" ht="12.75" customHeight="1"/>
    <row r="14187" ht="12.75" customHeight="1"/>
    <row r="14188" ht="12.75" customHeight="1"/>
    <row r="14189" ht="12.75" customHeight="1"/>
    <row r="14190" ht="12.75" customHeight="1"/>
    <row r="14191" ht="12.75" customHeight="1"/>
    <row r="14192" ht="12.75" customHeight="1"/>
    <row r="14193" ht="12.75" customHeight="1"/>
    <row r="14194" ht="12.75" customHeight="1"/>
    <row r="14195" ht="12.75" customHeight="1"/>
    <row r="14196" ht="12.75" customHeight="1"/>
    <row r="14197" ht="12.75" customHeight="1"/>
    <row r="14198" ht="12.75" customHeight="1"/>
    <row r="14199" ht="12.75" customHeight="1"/>
    <row r="14200" ht="12.75" customHeight="1"/>
    <row r="14201" ht="12.75" customHeight="1"/>
    <row r="14202" ht="12.75" customHeight="1"/>
    <row r="14203" ht="12.75" customHeight="1"/>
    <row r="14204" ht="12.75" customHeight="1"/>
    <row r="14205" ht="12.75" customHeight="1"/>
    <row r="14206" ht="12.75" customHeight="1"/>
    <row r="14207" ht="12.75" customHeight="1"/>
    <row r="14208" ht="12.75" customHeight="1"/>
    <row r="14209" ht="12.75" customHeight="1"/>
    <row r="14210" ht="12.75" customHeight="1"/>
    <row r="14211" ht="12.75" customHeight="1"/>
    <row r="14212" ht="12.75" customHeight="1"/>
    <row r="14213" ht="12.75" customHeight="1"/>
    <row r="14214" ht="12.75" customHeight="1"/>
    <row r="14215" ht="12.75" customHeight="1"/>
    <row r="14216" ht="12.75" customHeight="1"/>
    <row r="14217" ht="12.75" customHeight="1"/>
    <row r="14218" ht="12.75" customHeight="1"/>
    <row r="14219" ht="12.75" customHeight="1"/>
    <row r="14220" ht="12.75" customHeight="1"/>
    <row r="14221" ht="12.75" customHeight="1"/>
    <row r="14222" ht="12.75" customHeight="1"/>
    <row r="14223" ht="12.75" customHeight="1"/>
    <row r="14224" ht="12.75" customHeight="1"/>
    <row r="14225" ht="12.75" customHeight="1"/>
    <row r="14226" ht="12.75" customHeight="1"/>
    <row r="14227" ht="12.75" customHeight="1"/>
    <row r="14228" ht="12.75" customHeight="1"/>
    <row r="14229" ht="12.75" customHeight="1"/>
    <row r="14230" ht="12.75" customHeight="1"/>
    <row r="14231" ht="12.75" customHeight="1"/>
    <row r="14232" ht="12.75" customHeight="1"/>
    <row r="14233" ht="12.75" customHeight="1"/>
    <row r="14234" ht="12.75" customHeight="1"/>
    <row r="14235" ht="12.75" customHeight="1"/>
    <row r="14236" ht="12.75" customHeight="1"/>
    <row r="14237" ht="12.75" customHeight="1"/>
    <row r="14238" ht="12.75" customHeight="1"/>
    <row r="14239" ht="12.75" customHeight="1"/>
    <row r="14240" ht="12.75" customHeight="1"/>
    <row r="14241" ht="12.75" customHeight="1"/>
    <row r="14242" ht="12.75" customHeight="1"/>
    <row r="14243" ht="12.75" customHeight="1"/>
    <row r="14244" ht="12.75" customHeight="1"/>
    <row r="14245" ht="12.75" customHeight="1"/>
    <row r="14246" ht="12.75" customHeight="1"/>
    <row r="14247" ht="12.75" customHeight="1"/>
    <row r="14248" ht="12.75" customHeight="1"/>
    <row r="14249" ht="12.75" customHeight="1"/>
    <row r="14250" ht="12.75" customHeight="1"/>
    <row r="14251" ht="12.75" customHeight="1"/>
    <row r="14252" ht="12.75" customHeight="1"/>
    <row r="14253" ht="12.75" customHeight="1"/>
    <row r="14254" ht="12.75" customHeight="1"/>
    <row r="14255" ht="12.75" customHeight="1"/>
    <row r="14256" ht="12.75" customHeight="1"/>
    <row r="14257" ht="12.75" customHeight="1"/>
    <row r="14258" ht="12.75" customHeight="1"/>
    <row r="14259" ht="12.75" customHeight="1"/>
    <row r="14260" ht="12.75" customHeight="1"/>
    <row r="14261" ht="12.75" customHeight="1"/>
    <row r="14262" ht="12.75" customHeight="1"/>
    <row r="14263" ht="12.75" customHeight="1"/>
    <row r="14264" ht="12.75" customHeight="1"/>
    <row r="14265" ht="12.75" customHeight="1"/>
    <row r="14266" ht="12.75" customHeight="1"/>
    <row r="14267" ht="12.75" customHeight="1"/>
    <row r="14268" ht="12.75" customHeight="1"/>
    <row r="14269" ht="12.75" customHeight="1"/>
    <row r="14270" ht="12.75" customHeight="1"/>
    <row r="14271" ht="12.75" customHeight="1"/>
    <row r="14272" ht="12.75" customHeight="1"/>
    <row r="14273" ht="12.75" customHeight="1"/>
    <row r="14274" ht="12.75" customHeight="1"/>
    <row r="14275" ht="12.75" customHeight="1"/>
    <row r="14276" ht="12.75" customHeight="1"/>
    <row r="14277" ht="12.75" customHeight="1"/>
    <row r="14278" ht="12.75" customHeight="1"/>
    <row r="14279" ht="12.75" customHeight="1"/>
    <row r="14280" ht="12.75" customHeight="1"/>
    <row r="14281" ht="12.75" customHeight="1"/>
    <row r="14282" ht="12.75" customHeight="1"/>
    <row r="14283" ht="12.75" customHeight="1"/>
    <row r="14284" ht="12.75" customHeight="1"/>
    <row r="14285" ht="12.75" customHeight="1"/>
    <row r="14286" ht="12.75" customHeight="1"/>
    <row r="14287" ht="12.75" customHeight="1"/>
    <row r="14288" ht="12.75" customHeight="1"/>
    <row r="14289" ht="12.75" customHeight="1"/>
    <row r="14290" ht="12.75" customHeight="1"/>
    <row r="14291" ht="12.75" customHeight="1"/>
    <row r="14292" ht="12.75" customHeight="1"/>
    <row r="14293" ht="12.75" customHeight="1"/>
    <row r="14294" ht="12.75" customHeight="1"/>
    <row r="14295" ht="12.75" customHeight="1"/>
    <row r="14296" ht="12.75" customHeight="1"/>
    <row r="14297" ht="12.75" customHeight="1"/>
    <row r="14298" ht="12.75" customHeight="1"/>
    <row r="14299" ht="12.75" customHeight="1"/>
    <row r="14300" ht="12.75" customHeight="1"/>
    <row r="14301" ht="12.75" customHeight="1"/>
    <row r="14302" ht="12.75" customHeight="1"/>
    <row r="14303" ht="12.75" customHeight="1"/>
    <row r="14304" ht="12.75" customHeight="1"/>
    <row r="14305" ht="12.75" customHeight="1"/>
    <row r="14306" ht="12.75" customHeight="1"/>
    <row r="14307" ht="12.75" customHeight="1"/>
    <row r="14308" ht="12.75" customHeight="1"/>
    <row r="14309" ht="12.75" customHeight="1"/>
    <row r="14310" ht="12.75" customHeight="1"/>
    <row r="14311" ht="12.75" customHeight="1"/>
    <row r="14312" ht="12.75" customHeight="1"/>
    <row r="14313" ht="12.75" customHeight="1"/>
    <row r="14314" ht="12.75" customHeight="1"/>
    <row r="14315" ht="12.75" customHeight="1"/>
    <row r="14316" ht="12.75" customHeight="1"/>
    <row r="14317" ht="12.75" customHeight="1"/>
    <row r="14318" ht="12.75" customHeight="1"/>
    <row r="14319" ht="12.75" customHeight="1"/>
    <row r="14320" ht="12.75" customHeight="1"/>
    <row r="14321" ht="12.75" customHeight="1"/>
    <row r="14322" ht="12.75" customHeight="1">
      <c r="R14322" s="74"/>
    </row>
    <row r="14323" ht="12.75" customHeight="1">
      <c r="R14323" s="74"/>
    </row>
    <row r="14324" ht="12.75" customHeight="1">
      <c r="R14324" s="74"/>
    </row>
    <row r="14325" ht="12.75" customHeight="1">
      <c r="R14325" s="74"/>
    </row>
    <row r="14326" ht="12.75" customHeight="1">
      <c r="R14326" s="74"/>
    </row>
    <row r="14327" ht="12.75" customHeight="1">
      <c r="R14327" s="74"/>
    </row>
    <row r="14328" ht="12.75" customHeight="1">
      <c r="R14328" s="74"/>
    </row>
    <row r="14329" ht="12.75" customHeight="1">
      <c r="R14329" s="74"/>
    </row>
    <row r="14330" ht="12.75" customHeight="1">
      <c r="R14330" s="74"/>
    </row>
    <row r="14331" ht="12.75" customHeight="1">
      <c r="R14331" s="74"/>
    </row>
    <row r="14332" ht="12.75" customHeight="1">
      <c r="R14332" s="74"/>
    </row>
    <row r="14333" ht="12.75" customHeight="1">
      <c r="R14333" s="74"/>
    </row>
    <row r="14334" ht="12.75" customHeight="1">
      <c r="R14334" s="74"/>
    </row>
    <row r="14335" ht="12.75" customHeight="1">
      <c r="R14335" s="74"/>
    </row>
    <row r="14336" ht="12.75" customHeight="1">
      <c r="R14336" s="74"/>
    </row>
    <row r="14337" ht="12.75" customHeight="1">
      <c r="R14337" s="74"/>
    </row>
    <row r="14338" ht="12.75" customHeight="1">
      <c r="R14338" s="74"/>
    </row>
    <row r="14339" ht="12.75" customHeight="1">
      <c r="R14339" s="74"/>
    </row>
    <row r="14340" ht="12.75" customHeight="1">
      <c r="R14340" s="74"/>
    </row>
    <row r="14341" ht="12.75" customHeight="1">
      <c r="R14341" s="74"/>
    </row>
    <row r="14342" ht="12.75" customHeight="1"/>
    <row r="14343" ht="12.75" customHeight="1"/>
    <row r="14344" ht="12.75" customHeight="1"/>
    <row r="14345" ht="12.75" customHeight="1"/>
    <row r="14346" ht="12.75" customHeight="1"/>
    <row r="14347" ht="12.75" customHeight="1">
      <c r="R14347" s="74"/>
    </row>
    <row r="14348" ht="12.75" customHeight="1">
      <c r="R14348" s="74"/>
    </row>
    <row r="14349" ht="12.75" customHeight="1">
      <c r="R14349" s="74"/>
    </row>
    <row r="14350" ht="12.75" customHeight="1">
      <c r="R14350" s="74"/>
    </row>
    <row r="14351" ht="12.75" customHeight="1">
      <c r="R14351" s="74"/>
    </row>
    <row r="14352" ht="12.75" customHeight="1">
      <c r="R14352" s="74"/>
    </row>
    <row r="14353" ht="12.75" customHeight="1">
      <c r="R14353" s="74"/>
    </row>
    <row r="14354" ht="12.75" customHeight="1">
      <c r="R14354" s="74"/>
    </row>
    <row r="14355" ht="12.75" customHeight="1">
      <c r="R14355" s="74"/>
    </row>
    <row r="14356" ht="12.75" customHeight="1">
      <c r="R14356" s="74"/>
    </row>
    <row r="14357" ht="12.75" customHeight="1">
      <c r="R14357" s="74"/>
    </row>
    <row r="14358" ht="12.75" customHeight="1">
      <c r="R14358" s="74"/>
    </row>
    <row r="14359" ht="12.75" customHeight="1">
      <c r="R14359" s="74"/>
    </row>
    <row r="14360" ht="12.75" customHeight="1">
      <c r="R14360" s="74"/>
    </row>
    <row r="14361" ht="12.75" customHeight="1">
      <c r="R14361" s="74"/>
    </row>
    <row r="14362" ht="12.75" customHeight="1"/>
    <row r="14363" ht="12.75" customHeight="1"/>
    <row r="14364" ht="12.75" customHeight="1"/>
    <row r="14365" ht="12.75" customHeight="1"/>
    <row r="14366" ht="12.75" customHeight="1"/>
    <row r="14367" ht="12.75" customHeight="1"/>
    <row r="14368" ht="12.75" customHeight="1"/>
    <row r="14369" ht="12.75" customHeight="1"/>
    <row r="14370" ht="12.75" customHeight="1"/>
    <row r="14371" ht="12.75" customHeight="1"/>
    <row r="14372" ht="12.75" customHeight="1"/>
    <row r="14373" ht="12.75" customHeight="1"/>
    <row r="14374" ht="12.75" customHeight="1"/>
    <row r="14375" ht="12.75" customHeight="1"/>
    <row r="14376" ht="12.75" customHeight="1"/>
    <row r="14377" ht="12.75" customHeight="1"/>
    <row r="14378" ht="12.75" customHeight="1"/>
    <row r="14379" ht="12.75" customHeight="1"/>
    <row r="14380" ht="12.75" customHeight="1"/>
    <row r="14381" ht="12.75" customHeight="1"/>
    <row r="14382" ht="12.75" customHeight="1"/>
    <row r="14383" ht="12.75" customHeight="1"/>
    <row r="14384" ht="12.75" customHeight="1"/>
    <row r="14385" ht="12.75" customHeight="1"/>
    <row r="14386" ht="12.75" customHeight="1"/>
    <row r="14387" ht="12.75" customHeight="1">
      <c r="R14387" s="74"/>
    </row>
    <row r="14388" ht="12.75" customHeight="1">
      <c r="R14388" s="74"/>
    </row>
    <row r="14389" ht="12.75" customHeight="1">
      <c r="R14389" s="74"/>
    </row>
    <row r="14390" ht="12.75" customHeight="1">
      <c r="R14390" s="74"/>
    </row>
    <row r="14391" ht="12.75" customHeight="1">
      <c r="R14391" s="74"/>
    </row>
    <row r="14392" ht="12.75" customHeight="1"/>
    <row r="14393" ht="12.75" customHeight="1"/>
    <row r="14394" ht="12.75" customHeight="1"/>
    <row r="14395" ht="12.75" customHeight="1"/>
    <row r="14396" ht="12.75" customHeight="1"/>
    <row r="14397" ht="12.75" customHeight="1">
      <c r="R14397" s="74"/>
    </row>
    <row r="14398" ht="12.75" customHeight="1">
      <c r="R14398" s="74"/>
    </row>
    <row r="14399" ht="12.75" customHeight="1">
      <c r="R14399" s="74"/>
    </row>
    <row r="14400" ht="12.75" customHeight="1">
      <c r="R14400" s="74"/>
    </row>
    <row r="14401" ht="12.75" customHeight="1">
      <c r="R14401" s="74"/>
    </row>
    <row r="14402" ht="12.75" customHeight="1"/>
    <row r="14403" ht="12.75" customHeight="1"/>
    <row r="14404" ht="12.75" customHeight="1"/>
    <row r="14405" ht="12.75" customHeight="1"/>
    <row r="14406" ht="12.75" customHeight="1"/>
    <row r="14407" ht="12.75" customHeight="1"/>
    <row r="14408" ht="12.75" customHeight="1"/>
    <row r="14409" ht="12.75" customHeight="1"/>
    <row r="14410" ht="12.75" customHeight="1"/>
    <row r="14411" ht="12.75" customHeight="1"/>
    <row r="14412" ht="12.75" customHeight="1"/>
    <row r="14413" ht="12.75" customHeight="1"/>
    <row r="14414" ht="12.75" customHeight="1"/>
    <row r="14415" ht="12.75" customHeight="1"/>
    <row r="14416" ht="12.75" customHeight="1"/>
    <row r="14417" ht="12.75" customHeight="1"/>
    <row r="14418" ht="12.75" customHeight="1"/>
    <row r="14419" ht="12.75" customHeight="1"/>
    <row r="14420" ht="12.75" customHeight="1"/>
    <row r="14421" ht="12.75" customHeight="1"/>
    <row r="14422" ht="12.75" customHeight="1"/>
    <row r="14423" ht="12.75" customHeight="1"/>
    <row r="14424" ht="12.75" customHeight="1"/>
    <row r="14425" ht="12.75" customHeight="1"/>
    <row r="14426" ht="12.75" customHeight="1"/>
    <row r="14427" ht="12.75" customHeight="1"/>
    <row r="14428" ht="12.75" customHeight="1"/>
    <row r="14429" ht="12.75" customHeight="1"/>
    <row r="14430" ht="12.75" customHeight="1"/>
    <row r="14431" ht="12.75" customHeight="1"/>
    <row r="14432" ht="12.75" customHeight="1"/>
    <row r="14433" ht="12.75" customHeight="1"/>
    <row r="14434" ht="12.75" customHeight="1"/>
    <row r="14435" ht="12.75" customHeight="1"/>
    <row r="14436" ht="12.75" customHeight="1"/>
    <row r="14437" ht="12.75" customHeight="1"/>
    <row r="14438" ht="12.75" customHeight="1"/>
    <row r="14439" ht="12.75" customHeight="1"/>
    <row r="14440" ht="12.75" customHeight="1"/>
    <row r="14441" ht="12.75" customHeight="1"/>
    <row r="14442" ht="12.75" customHeight="1">
      <c r="R14442" s="74"/>
    </row>
    <row r="14443" ht="12.75" customHeight="1">
      <c r="R14443" s="74"/>
    </row>
    <row r="14444" ht="12.75" customHeight="1">
      <c r="R14444" s="74"/>
    </row>
    <row r="14445" ht="12.75" customHeight="1">
      <c r="R14445" s="74"/>
    </row>
    <row r="14446" ht="12.75" customHeight="1">
      <c r="R14446" s="74"/>
    </row>
    <row r="14447" ht="12.75" customHeight="1">
      <c r="R14447" s="74"/>
    </row>
    <row r="14448" ht="12.75" customHeight="1">
      <c r="R14448" s="74"/>
    </row>
    <row r="14449" ht="12.75" customHeight="1">
      <c r="R14449" s="74"/>
    </row>
    <row r="14450" ht="12.75" customHeight="1">
      <c r="R14450" s="74"/>
    </row>
    <row r="14451" ht="12.75" customHeight="1">
      <c r="R14451" s="74"/>
    </row>
    <row r="14452" ht="12.75" customHeight="1">
      <c r="R14452" s="74"/>
    </row>
    <row r="14453" ht="12.75" customHeight="1">
      <c r="R14453" s="74"/>
    </row>
    <row r="14454" ht="12.75" customHeight="1">
      <c r="R14454" s="74"/>
    </row>
    <row r="14455" ht="12.75" customHeight="1">
      <c r="R14455" s="74"/>
    </row>
    <row r="14456" ht="12.75" customHeight="1">
      <c r="R14456" s="74"/>
    </row>
    <row r="14457" ht="12.75" customHeight="1">
      <c r="R14457" s="74"/>
    </row>
    <row r="14458" ht="12.75" customHeight="1">
      <c r="R14458" s="74"/>
    </row>
    <row r="14459" ht="12.75" customHeight="1">
      <c r="R14459" s="74"/>
    </row>
    <row r="14460" ht="12.75" customHeight="1">
      <c r="R14460" s="74"/>
    </row>
    <row r="14461" ht="12.75" customHeight="1">
      <c r="R14461" s="74"/>
    </row>
    <row r="14462" ht="12.75" customHeight="1">
      <c r="R14462" s="74"/>
    </row>
    <row r="14463" ht="12.75" customHeight="1">
      <c r="R14463" s="74"/>
    </row>
    <row r="14464" ht="12.75" customHeight="1">
      <c r="R14464" s="74"/>
    </row>
    <row r="14465" ht="12.75" customHeight="1">
      <c r="R14465" s="74"/>
    </row>
    <row r="14466" ht="12.75" customHeight="1">
      <c r="R14466" s="74"/>
    </row>
    <row r="14467" ht="12.75" customHeight="1">
      <c r="R14467" s="74"/>
    </row>
    <row r="14468" ht="12.75" customHeight="1">
      <c r="R14468" s="74"/>
    </row>
    <row r="14469" ht="12.75" customHeight="1">
      <c r="R14469" s="74"/>
    </row>
    <row r="14470" ht="12.75" customHeight="1">
      <c r="R14470" s="74"/>
    </row>
    <row r="14471" ht="12.75" customHeight="1">
      <c r="R14471" s="74"/>
    </row>
    <row r="14472" ht="12.75" customHeight="1">
      <c r="R14472" s="74"/>
    </row>
    <row r="14473" ht="12.75" customHeight="1">
      <c r="R14473" s="74"/>
    </row>
    <row r="14474" ht="12.75" customHeight="1">
      <c r="R14474" s="74"/>
    </row>
    <row r="14475" ht="12.75" customHeight="1">
      <c r="R14475" s="74"/>
    </row>
    <row r="14476" ht="12.75" customHeight="1">
      <c r="R14476" s="74"/>
    </row>
    <row r="14477" ht="12.75" customHeight="1">
      <c r="R14477" s="74"/>
    </row>
    <row r="14478" ht="12.75" customHeight="1">
      <c r="R14478" s="74"/>
    </row>
    <row r="14479" ht="12.75" customHeight="1">
      <c r="R14479" s="74"/>
    </row>
    <row r="14480" ht="12.75" customHeight="1"/>
    <row r="14481" ht="12.75" customHeight="1"/>
    <row r="14482" ht="12.75" customHeight="1"/>
    <row r="14483" ht="12.75" customHeight="1"/>
    <row r="14484" ht="12.75" customHeight="1"/>
    <row r="14485" ht="12.75" customHeight="1"/>
    <row r="14486" ht="12.75" customHeight="1"/>
    <row r="14487" ht="12.75" customHeight="1"/>
    <row r="14488" ht="12.75" customHeight="1"/>
    <row r="14489" ht="12.75" customHeight="1"/>
    <row r="14490" ht="12.75" customHeight="1"/>
    <row r="14491" ht="12.75" customHeight="1"/>
    <row r="14492" ht="12.75" customHeight="1"/>
    <row r="14493" ht="12.75" customHeight="1"/>
    <row r="14494" ht="12.75" customHeight="1"/>
    <row r="14495" ht="12.75" customHeight="1"/>
    <row r="14496" ht="12.75" customHeight="1"/>
    <row r="14497" ht="12.75" customHeight="1"/>
    <row r="14498" ht="12.75" customHeight="1"/>
    <row r="14499" ht="12.75" customHeight="1"/>
    <row r="14500" ht="12.75" customHeight="1"/>
    <row r="14501" ht="12.75" customHeight="1"/>
    <row r="14502" ht="12.75" customHeight="1"/>
    <row r="14503" ht="12.75" customHeight="1"/>
    <row r="14504" ht="12.75" customHeight="1"/>
    <row r="14505" ht="12.75" customHeight="1"/>
    <row r="14506" ht="12.75" customHeight="1"/>
    <row r="14507" ht="12.75" customHeight="1"/>
    <row r="14508" ht="12.75" customHeight="1"/>
    <row r="14509" ht="12.75" customHeight="1"/>
    <row r="14510" ht="12.75" customHeight="1">
      <c r="R14510" s="74"/>
    </row>
    <row r="14511" ht="12.75" customHeight="1">
      <c r="R14511" s="74"/>
    </row>
    <row r="14512" ht="12.75" customHeight="1">
      <c r="R14512" s="74"/>
    </row>
    <row r="14513" ht="12.75" customHeight="1">
      <c r="R14513" s="74"/>
    </row>
    <row r="14514" ht="12.75" customHeight="1">
      <c r="R14514" s="74"/>
    </row>
    <row r="14515" ht="12.75" customHeight="1">
      <c r="R14515" s="74"/>
    </row>
    <row r="14516" ht="12.75" customHeight="1">
      <c r="R14516" s="74"/>
    </row>
    <row r="14517" ht="12.75" customHeight="1">
      <c r="R14517" s="74"/>
    </row>
    <row r="14518" ht="12.75" customHeight="1">
      <c r="R14518" s="74"/>
    </row>
    <row r="14519" ht="12.75" customHeight="1">
      <c r="R14519" s="74"/>
    </row>
    <row r="14520" ht="12.75" customHeight="1">
      <c r="R14520" s="74"/>
    </row>
    <row r="14521" ht="12.75" customHeight="1">
      <c r="R14521" s="74"/>
    </row>
    <row r="14522" ht="12.75" customHeight="1">
      <c r="R14522" s="74"/>
    </row>
    <row r="14523" ht="12.75" customHeight="1">
      <c r="R14523" s="74"/>
    </row>
    <row r="14524" ht="12.75" customHeight="1">
      <c r="R14524" s="74"/>
    </row>
    <row r="14525" ht="12.75" customHeight="1">
      <c r="R14525" s="74"/>
    </row>
    <row r="14526" ht="12.75" customHeight="1">
      <c r="R14526" s="74"/>
    </row>
    <row r="14527" ht="12.75" customHeight="1">
      <c r="R14527" s="74"/>
    </row>
    <row r="14528" ht="12.75" customHeight="1">
      <c r="R14528" s="74"/>
    </row>
    <row r="14529" ht="12.75" customHeight="1">
      <c r="R14529" s="74"/>
    </row>
    <row r="14530" ht="12.75" customHeight="1"/>
    <row r="14531" ht="12.75" customHeight="1"/>
    <row r="14532" ht="12.75" customHeight="1"/>
    <row r="14533" ht="12.75" customHeight="1"/>
    <row r="14534" ht="12.75" customHeight="1"/>
    <row r="14535" ht="12.75" customHeight="1"/>
    <row r="14536" ht="12.75" customHeight="1"/>
    <row r="14537" ht="12.75" customHeight="1"/>
    <row r="14538" ht="12.75" customHeight="1"/>
    <row r="14539" ht="12.75" customHeight="1"/>
    <row r="14540" ht="12.75" customHeight="1"/>
    <row r="14541" ht="12.75" customHeight="1"/>
    <row r="14542" ht="12.75" customHeight="1"/>
    <row r="14543" ht="12.75" customHeight="1"/>
    <row r="14544" ht="12.75" customHeight="1"/>
    <row r="14545" ht="12.75" customHeight="1">
      <c r="R14545" s="74"/>
    </row>
    <row r="14546" ht="12.75" customHeight="1">
      <c r="R14546" s="74"/>
    </row>
    <row r="14547" ht="12.75" customHeight="1">
      <c r="R14547" s="74"/>
    </row>
    <row r="14548" ht="12.75" customHeight="1">
      <c r="R14548" s="74"/>
    </row>
    <row r="14549" ht="12.75" customHeight="1">
      <c r="R14549" s="74"/>
    </row>
    <row r="14550" ht="12.75" customHeight="1"/>
    <row r="14551" ht="12.75" customHeight="1"/>
    <row r="14552" ht="12.75" customHeight="1"/>
    <row r="14553" ht="12.75" customHeight="1"/>
    <row r="14554" ht="12.75" customHeight="1"/>
    <row r="14555" ht="12.75" customHeight="1"/>
    <row r="14556" ht="12.75" customHeight="1"/>
    <row r="14557" ht="12.75" customHeight="1"/>
    <row r="14558" ht="12.75" customHeight="1"/>
    <row r="14559" ht="12.75" customHeight="1"/>
    <row r="14560" ht="12.75" customHeight="1">
      <c r="R14560" s="74"/>
    </row>
    <row r="14561" ht="12.75" customHeight="1">
      <c r="R14561" s="74"/>
    </row>
    <row r="14562" ht="12.75" customHeight="1">
      <c r="R14562" s="74"/>
    </row>
    <row r="14563" ht="12.75" customHeight="1">
      <c r="R14563" s="74"/>
    </row>
    <row r="14564" ht="12.75" customHeight="1">
      <c r="R14564" s="74"/>
    </row>
    <row r="14565" ht="12.75" customHeight="1">
      <c r="R14565" s="74"/>
    </row>
    <row r="14566" ht="12.75" customHeight="1">
      <c r="R14566" s="74"/>
    </row>
    <row r="14567" ht="12.75" customHeight="1">
      <c r="R14567" s="74"/>
    </row>
    <row r="14568" ht="12.75" customHeight="1">
      <c r="R14568" s="74"/>
    </row>
    <row r="14569" ht="12.75" customHeight="1">
      <c r="R14569" s="74"/>
    </row>
    <row r="14570" ht="12.75" customHeight="1">
      <c r="R14570" s="74"/>
    </row>
    <row r="14571" ht="12.75" customHeight="1">
      <c r="R14571" s="74"/>
    </row>
    <row r="14572" ht="12.75" customHeight="1">
      <c r="R14572" s="74"/>
    </row>
    <row r="14573" ht="12.75" customHeight="1">
      <c r="R14573" s="74"/>
    </row>
    <row r="14574" ht="12.75" customHeight="1">
      <c r="R14574" s="74"/>
    </row>
    <row r="14575" ht="12.75" customHeight="1">
      <c r="R14575" s="74"/>
    </row>
    <row r="14576" ht="12.75" customHeight="1">
      <c r="R14576" s="74"/>
    </row>
    <row r="14577" ht="12.75" customHeight="1">
      <c r="R14577" s="74"/>
    </row>
    <row r="14578" ht="12.75" customHeight="1">
      <c r="R14578" s="74"/>
    </row>
    <row r="14579" ht="12.75" customHeight="1">
      <c r="R14579" s="74"/>
    </row>
    <row r="14580" ht="12.75" customHeight="1"/>
    <row r="14581" ht="12.75" customHeight="1"/>
    <row r="14582" ht="12.75" customHeight="1"/>
    <row r="14583" ht="12.75" customHeight="1"/>
    <row r="14584" ht="12.75" customHeight="1"/>
    <row r="14585" ht="12.75" customHeight="1">
      <c r="R14585" s="74"/>
    </row>
    <row r="14586" ht="12.75" customHeight="1">
      <c r="R14586" s="74"/>
    </row>
    <row r="14587" ht="12.75" customHeight="1">
      <c r="R14587" s="74"/>
    </row>
    <row r="14588" ht="12.75" customHeight="1">
      <c r="R14588" s="74"/>
    </row>
    <row r="14589" ht="12.75" customHeight="1">
      <c r="R14589" s="74"/>
    </row>
    <row r="14590" ht="12.75" customHeight="1">
      <c r="R14590" s="74"/>
    </row>
    <row r="14591" ht="12.75" customHeight="1">
      <c r="R14591" s="74"/>
    </row>
    <row r="14592" ht="12.75" customHeight="1">
      <c r="R14592" s="74"/>
    </row>
    <row r="14593" ht="12.75" customHeight="1">
      <c r="R14593" s="74"/>
    </row>
    <row r="14594" ht="12.75" customHeight="1">
      <c r="R14594" s="74"/>
    </row>
    <row r="14595" ht="12.75" customHeight="1">
      <c r="R14595" s="74"/>
    </row>
    <row r="14596" ht="12.75" customHeight="1">
      <c r="R14596" s="74"/>
    </row>
    <row r="14597" ht="12.75" customHeight="1">
      <c r="R14597" s="74"/>
    </row>
    <row r="14598" ht="12.75" customHeight="1">
      <c r="R14598" s="74"/>
    </row>
    <row r="14599" ht="12.75" customHeight="1">
      <c r="R14599" s="74"/>
    </row>
    <row r="14600" ht="12.75" customHeight="1">
      <c r="R14600" s="74"/>
    </row>
    <row r="14601" ht="12.75" customHeight="1">
      <c r="R14601" s="74"/>
    </row>
    <row r="14602" ht="12.75" customHeight="1">
      <c r="R14602" s="74"/>
    </row>
    <row r="14603" ht="12.75" customHeight="1">
      <c r="R14603" s="74"/>
    </row>
    <row r="14604" ht="12.75" customHeight="1">
      <c r="R14604" s="74"/>
    </row>
    <row r="14605" ht="12.75" customHeight="1">
      <c r="R14605" s="74"/>
    </row>
    <row r="14606" ht="12.75" customHeight="1">
      <c r="R14606" s="74"/>
    </row>
    <row r="14607" ht="12.75" customHeight="1">
      <c r="R14607" s="74"/>
    </row>
    <row r="14608" ht="12.75" customHeight="1">
      <c r="R14608" s="74"/>
    </row>
    <row r="14609" ht="12.75" customHeight="1">
      <c r="R14609" s="74"/>
    </row>
    <row r="14610" ht="12.75" customHeight="1">
      <c r="R14610" s="74"/>
    </row>
    <row r="14611" ht="12.75" customHeight="1">
      <c r="R14611" s="74"/>
    </row>
    <row r="14612" ht="12.75" customHeight="1">
      <c r="R14612" s="74"/>
    </row>
    <row r="14613" ht="12.75" customHeight="1">
      <c r="R14613" s="74"/>
    </row>
    <row r="14614" ht="12.75" customHeight="1">
      <c r="R14614" s="74"/>
    </row>
    <row r="14615" ht="12.75" customHeight="1">
      <c r="R14615" s="74"/>
    </row>
    <row r="14616" ht="12.75" customHeight="1">
      <c r="R14616" s="74"/>
    </row>
    <row r="14617" ht="12.75" customHeight="1">
      <c r="R14617" s="74"/>
    </row>
    <row r="14618" ht="12.75" customHeight="1">
      <c r="R14618" s="74"/>
    </row>
    <row r="14619" ht="12.75" customHeight="1">
      <c r="R14619" s="74"/>
    </row>
    <row r="14620" ht="12.75" customHeight="1">
      <c r="R14620" s="74"/>
    </row>
    <row r="14621" ht="12.75" customHeight="1">
      <c r="R14621" s="74"/>
    </row>
    <row r="14622" ht="12.75" customHeight="1">
      <c r="R14622" s="74"/>
    </row>
    <row r="14623" ht="12.75" customHeight="1">
      <c r="R14623" s="74"/>
    </row>
    <row r="14624" ht="12.75" customHeight="1">
      <c r="R14624" s="74"/>
    </row>
    <row r="14625" ht="12.75" customHeight="1">
      <c r="R14625" s="74"/>
    </row>
    <row r="14626" ht="12.75" customHeight="1">
      <c r="R14626" s="74"/>
    </row>
    <row r="14627" ht="12.75" customHeight="1">
      <c r="R14627" s="74"/>
    </row>
    <row r="14628" ht="12.75" customHeight="1">
      <c r="R14628" s="74"/>
    </row>
    <row r="14629" ht="12.75" customHeight="1">
      <c r="R14629" s="74"/>
    </row>
    <row r="14630" ht="12.75" customHeight="1">
      <c r="R14630" s="74"/>
    </row>
    <row r="14631" ht="12.75" customHeight="1">
      <c r="R14631" s="74"/>
    </row>
    <row r="14632" ht="12.75" customHeight="1">
      <c r="R14632" s="74"/>
    </row>
    <row r="14633" ht="12.75" customHeight="1">
      <c r="R14633" s="74"/>
    </row>
    <row r="14634" ht="12.75" customHeight="1">
      <c r="R14634" s="74"/>
    </row>
    <row r="14635" ht="12.75" customHeight="1"/>
    <row r="14636" ht="12.75" customHeight="1"/>
    <row r="14637" ht="12.75" customHeight="1"/>
    <row r="14638" ht="12.75" customHeight="1"/>
    <row r="14639" ht="12.75" customHeight="1"/>
    <row r="14640" ht="12.75" customHeight="1">
      <c r="R14640" s="74"/>
    </row>
    <row r="14641" ht="12.75" customHeight="1">
      <c r="R14641" s="74"/>
    </row>
    <row r="14642" ht="12.75" customHeight="1">
      <c r="R14642" s="74"/>
    </row>
    <row r="14643" ht="12.75" customHeight="1">
      <c r="R14643" s="74"/>
    </row>
    <row r="14644" ht="12.75" customHeight="1">
      <c r="R14644" s="74"/>
    </row>
    <row r="14645" ht="12.75" customHeight="1">
      <c r="R14645" s="74"/>
    </row>
    <row r="14646" ht="12.75" customHeight="1">
      <c r="R14646" s="74"/>
    </row>
    <row r="14647" ht="12.75" customHeight="1">
      <c r="R14647" s="74"/>
    </row>
    <row r="14648" ht="12.75" customHeight="1">
      <c r="R14648" s="74"/>
    </row>
    <row r="14649" ht="12.75" customHeight="1">
      <c r="R14649" s="74"/>
    </row>
    <row r="14650" ht="12.75" customHeight="1">
      <c r="R14650" s="74"/>
    </row>
    <row r="14651" ht="12.75" customHeight="1">
      <c r="R14651" s="74"/>
    </row>
    <row r="14652" ht="12.75" customHeight="1">
      <c r="R14652" s="74"/>
    </row>
    <row r="14653" ht="12.75" customHeight="1">
      <c r="R14653" s="74"/>
    </row>
    <row r="14654" ht="12.75" customHeight="1">
      <c r="R14654" s="74"/>
    </row>
    <row r="14655" ht="12.75" customHeight="1">
      <c r="R14655" s="74"/>
    </row>
    <row r="14656" ht="12.75" customHeight="1">
      <c r="R14656" s="74"/>
    </row>
    <row r="14657" ht="12.75" customHeight="1">
      <c r="R14657" s="74"/>
    </row>
    <row r="14658" ht="12.75" customHeight="1">
      <c r="R14658" s="74"/>
    </row>
    <row r="14659" ht="12.75" customHeight="1">
      <c r="R14659" s="74"/>
    </row>
    <row r="14660" ht="12.75" customHeight="1"/>
    <row r="14661" ht="12.75" customHeight="1"/>
    <row r="14662" ht="12.75" customHeight="1"/>
    <row r="14663" ht="12.75" customHeight="1"/>
    <row r="14664" ht="12.75" customHeight="1"/>
    <row r="14665" ht="12.75" customHeight="1"/>
    <row r="14666" ht="12.75" customHeight="1"/>
    <row r="14667" ht="12.75" customHeight="1"/>
    <row r="14668" ht="12.75" customHeight="1"/>
    <row r="14669" ht="12.75" customHeight="1"/>
    <row r="14670" ht="12.75" customHeight="1"/>
    <row r="14671" ht="12.75" customHeight="1"/>
    <row r="14672" ht="12.75" customHeight="1"/>
    <row r="14673" ht="12.75" customHeight="1"/>
    <row r="14674" ht="12.75" customHeight="1"/>
    <row r="14675" ht="12.75" customHeight="1"/>
    <row r="14676" ht="12.75" customHeight="1"/>
    <row r="14677" ht="12.75" customHeight="1"/>
    <row r="14678" ht="12.75" customHeight="1"/>
    <row r="14679" ht="12.75" customHeight="1"/>
    <row r="14680" ht="12.75" customHeight="1"/>
    <row r="14681" ht="12.75" customHeight="1"/>
    <row r="14682" ht="12.75" customHeight="1"/>
    <row r="14683" ht="12.75" customHeight="1"/>
    <row r="14684" ht="12.75" customHeight="1"/>
    <row r="14685" ht="12.75" customHeight="1"/>
    <row r="14686" ht="12.75" customHeight="1"/>
    <row r="14687" ht="12.75" customHeight="1"/>
    <row r="14688" ht="12.75" customHeight="1"/>
    <row r="14689" ht="12.75" customHeight="1"/>
    <row r="14690" ht="12.75" customHeight="1"/>
    <row r="14691" ht="12.75" customHeight="1"/>
    <row r="14692" ht="12.75" customHeight="1"/>
    <row r="14693" ht="12.75" customHeight="1"/>
    <row r="14694" ht="12.75" customHeight="1"/>
    <row r="14695" ht="12.75" customHeight="1">
      <c r="F14695" s="74"/>
      <c r="H14695" s="74"/>
    </row>
    <row r="14696" ht="12.75" customHeight="1"/>
    <row r="14697" ht="12.75" customHeight="1"/>
    <row r="14698" ht="12.75" customHeight="1"/>
    <row r="14699" ht="12.75" customHeight="1"/>
    <row r="14700" ht="12.75" customHeight="1"/>
    <row r="14701" ht="12.75" customHeight="1"/>
    <row r="14702" ht="12.75" customHeight="1"/>
    <row r="14703" ht="12.75" customHeight="1"/>
    <row r="14704" ht="12.75" customHeight="1"/>
    <row r="14705" ht="12.75" customHeight="1"/>
    <row r="14706" ht="12.75" customHeight="1"/>
    <row r="14707" ht="12.75" customHeight="1"/>
    <row r="14708" ht="12.75" customHeight="1"/>
    <row r="14709" ht="12.75" customHeight="1"/>
    <row r="14710" ht="12.75" customHeight="1"/>
    <row r="14711" ht="12.75" customHeight="1"/>
    <row r="14712" ht="12.75" customHeight="1"/>
    <row r="14713" ht="12.75" customHeight="1"/>
    <row r="14714" ht="12.75" customHeight="1"/>
    <row r="14715" ht="12.75" customHeight="1"/>
    <row r="14716" ht="12.75" customHeight="1"/>
    <row r="14717" ht="12.75" customHeight="1">
      <c r="F14717" s="74"/>
      <c r="H14717" s="74"/>
    </row>
    <row r="14718" ht="12.75" customHeight="1">
      <c r="F14718" s="74"/>
      <c r="H14718" s="74"/>
    </row>
    <row r="14719" ht="12.75" customHeight="1"/>
    <row r="14720" ht="12.75" customHeight="1"/>
    <row r="14721" ht="12.75" customHeight="1"/>
    <row r="14722" ht="12.75" customHeight="1"/>
    <row r="14723" ht="12.75" customHeight="1"/>
    <row r="14724" ht="12.75" customHeight="1"/>
    <row r="14725" ht="12.75" customHeight="1"/>
    <row r="14726" ht="12.75" customHeight="1"/>
    <row r="14727" ht="12.75" customHeight="1"/>
    <row r="14728" ht="12.75" customHeight="1"/>
    <row r="14729" ht="12.75" customHeight="1"/>
    <row r="14730" ht="12.75" customHeight="1"/>
    <row r="14731" ht="12.75" customHeight="1"/>
    <row r="14732" ht="12.75" customHeight="1"/>
    <row r="14733" ht="12.75" customHeight="1"/>
    <row r="14734" ht="12.75" customHeight="1"/>
    <row r="14735" ht="12.75" customHeight="1"/>
    <row r="14736" ht="12.75" customHeight="1"/>
    <row r="14737" ht="12.75" customHeight="1"/>
    <row r="14738" ht="12.75" customHeight="1"/>
    <row r="14739" ht="12.75" customHeight="1"/>
    <row r="14740" ht="12.75" customHeight="1"/>
    <row r="14741" ht="12.75" customHeight="1">
      <c r="F14741" s="74"/>
      <c r="H14741" s="74"/>
    </row>
    <row r="14742" ht="12.75" customHeight="1"/>
    <row r="14743" ht="12.75" customHeight="1"/>
    <row r="14744" ht="12.75" customHeight="1"/>
    <row r="14745" ht="12.75" customHeight="1"/>
    <row r="14746" ht="12.75" customHeight="1"/>
    <row r="14747" ht="12.75" customHeight="1"/>
    <row r="14748" ht="12.75" customHeight="1"/>
    <row r="14749" ht="12.75" customHeight="1"/>
    <row r="14750" ht="12.75" customHeight="1"/>
    <row r="14751" ht="12.75" customHeight="1"/>
    <row r="14752" ht="12.75" customHeight="1"/>
    <row r="14753" ht="12.75" customHeight="1"/>
    <row r="14754" ht="12.75" customHeight="1"/>
    <row r="14755" ht="12.75" customHeight="1"/>
    <row r="14756" ht="12.75" customHeight="1"/>
    <row r="14757" ht="12.75" customHeight="1"/>
    <row r="14758" ht="12.75" customHeight="1"/>
    <row r="14759" ht="12.75" customHeight="1"/>
    <row r="14760" ht="12.75" customHeight="1"/>
    <row r="14761" ht="12.75" customHeight="1"/>
    <row r="14762" ht="12.75" customHeight="1"/>
    <row r="14763" ht="12.75" customHeight="1"/>
    <row r="14764" ht="12.75" customHeight="1"/>
    <row r="14765" ht="12.75" customHeight="1"/>
    <row r="14766" ht="12.75" customHeight="1"/>
    <row r="14767" ht="12.75" customHeight="1"/>
    <row r="14768" ht="12.75" customHeight="1"/>
    <row r="14769" ht="12.75" customHeight="1"/>
    <row r="14770" ht="12.75" customHeight="1"/>
    <row r="14771" ht="12.75" customHeight="1"/>
    <row r="14772" ht="12.75" customHeight="1"/>
    <row r="14773" ht="12.75" customHeight="1"/>
    <row r="14774" ht="12.75" customHeight="1"/>
    <row r="14775" ht="12.75" customHeight="1"/>
    <row r="14776" ht="12.75" customHeight="1"/>
    <row r="14777" ht="12.75" customHeight="1"/>
    <row r="14778" ht="12.75" customHeight="1"/>
    <row r="14779" ht="12.75" customHeight="1"/>
    <row r="14780" ht="12.75" customHeight="1"/>
    <row r="14781" ht="12.75" customHeight="1"/>
    <row r="14782" ht="12.75" customHeight="1"/>
    <row r="14783" ht="12.75" customHeight="1"/>
    <row r="14784" ht="12.75" customHeight="1"/>
    <row r="14785" ht="12.75" customHeight="1"/>
    <row r="14786" ht="12.75" customHeight="1"/>
    <row r="14787" ht="12.75" customHeight="1"/>
    <row r="14788" ht="12.75" customHeight="1"/>
    <row r="14789" ht="12.75" customHeight="1"/>
    <row r="14790" ht="12.75" customHeight="1"/>
    <row r="14791" ht="12.75" customHeight="1"/>
    <row r="14792" ht="12.75" customHeight="1"/>
    <row r="14793" ht="12.75" customHeight="1"/>
    <row r="14794" ht="12.75" customHeight="1"/>
    <row r="14795" ht="12.75" customHeight="1"/>
    <row r="14796" ht="12.75" customHeight="1"/>
    <row r="14797" ht="12.75" customHeight="1"/>
    <row r="14798" ht="12.75" customHeight="1"/>
    <row r="14799" ht="12.75" customHeight="1"/>
    <row r="14800" ht="12.75" customHeight="1"/>
    <row r="14801" ht="12.75" customHeight="1"/>
    <row r="14802" ht="12.75" customHeight="1"/>
    <row r="14803" ht="12.75" customHeight="1"/>
    <row r="14804" ht="12.75" customHeight="1"/>
    <row r="14805" ht="12.75" customHeight="1"/>
    <row r="14806" ht="12.75" customHeight="1"/>
    <row r="14807" ht="12.75" customHeight="1"/>
    <row r="14808" ht="12.75" customHeight="1"/>
    <row r="14809" ht="12.75" customHeight="1"/>
    <row r="14810" ht="12.75" customHeight="1"/>
    <row r="14811" ht="12.75" customHeight="1"/>
    <row r="14812" ht="12.75" customHeight="1"/>
    <row r="14813" ht="12.75" customHeight="1"/>
    <row r="14814" ht="12.75" customHeight="1"/>
    <row r="14815" ht="12.75" customHeight="1"/>
    <row r="14816" ht="12.75" customHeight="1"/>
    <row r="14817" ht="12.75" customHeight="1"/>
    <row r="14818" ht="12.75" customHeight="1"/>
    <row r="14819" ht="12.75" customHeight="1"/>
    <row r="14820" ht="12.75" customHeight="1"/>
    <row r="14821" ht="12.75" customHeight="1"/>
    <row r="14822" ht="12.75" customHeight="1"/>
    <row r="14823" ht="12.75" customHeight="1"/>
    <row r="14824" ht="12.75" customHeight="1"/>
    <row r="14825" ht="12.75" customHeight="1"/>
    <row r="14826" ht="12.75" customHeight="1"/>
    <row r="14827" ht="12.75" customHeight="1"/>
    <row r="14828" ht="12.75" customHeight="1"/>
    <row r="14829" ht="12.75" customHeight="1"/>
    <row r="14830" ht="12.75" customHeight="1"/>
    <row r="14831" ht="12.75" customHeight="1"/>
    <row r="14832" ht="12.75" customHeight="1"/>
    <row r="14833" ht="12.75" customHeight="1"/>
    <row r="14834" ht="12.75" customHeight="1"/>
    <row r="14835" ht="12.75" customHeight="1"/>
    <row r="14836" ht="12.75" customHeight="1"/>
    <row r="14837" ht="12.75" customHeight="1"/>
    <row r="14838" ht="12.75" customHeight="1"/>
    <row r="14839" ht="12.75" customHeight="1"/>
    <row r="14840" ht="12.75" customHeight="1"/>
    <row r="14841" ht="12.75" customHeight="1"/>
    <row r="14842" ht="12.75" customHeight="1"/>
    <row r="14843" ht="12.75" customHeight="1"/>
    <row r="14844" ht="12.75" customHeight="1"/>
    <row r="14845" ht="12.75" customHeight="1"/>
    <row r="14846" ht="12.75" customHeight="1"/>
    <row r="14847" ht="12.75" customHeight="1"/>
    <row r="14848" ht="12.75" customHeight="1"/>
    <row r="14849" ht="12.75" customHeight="1"/>
    <row r="14850" ht="12.75" customHeight="1"/>
    <row r="14851" ht="12.75" customHeight="1"/>
    <row r="14852" ht="12.75" customHeight="1"/>
    <row r="14853" ht="12.75" customHeight="1"/>
    <row r="14854" ht="12.75" customHeight="1"/>
    <row r="14855" ht="12.75" customHeight="1"/>
    <row r="14856" ht="12.75" customHeight="1"/>
    <row r="14857" ht="12.75" customHeight="1"/>
    <row r="14858" ht="12.75" customHeight="1"/>
    <row r="14859" ht="12.75" customHeight="1"/>
    <row r="14860" ht="12.75" customHeight="1"/>
    <row r="14861" ht="12.75" customHeight="1"/>
    <row r="14862" ht="12.75" customHeight="1"/>
    <row r="14863" ht="12.75" customHeight="1"/>
    <row r="14864" ht="12.75" customHeight="1">
      <c r="R14864" s="74"/>
    </row>
    <row r="14865" ht="12.75" customHeight="1">
      <c r="R14865" s="74"/>
    </row>
    <row r="14866" ht="12.75" customHeight="1">
      <c r="R14866" s="74"/>
    </row>
    <row r="14867" ht="12.75" customHeight="1">
      <c r="R14867" s="74"/>
    </row>
    <row r="14868" ht="12.75" customHeight="1">
      <c r="R14868" s="74"/>
    </row>
    <row r="14869" ht="12.75" customHeight="1">
      <c r="R14869" s="74"/>
    </row>
    <row r="14870" ht="12.75" customHeight="1"/>
    <row r="14871" ht="12.75" customHeight="1"/>
    <row r="14872" ht="12.75" customHeight="1"/>
    <row r="14873" ht="12.75" customHeight="1"/>
    <row r="14874" ht="12.75" customHeight="1">
      <c r="R14874" s="74"/>
    </row>
    <row r="14875" ht="12.75" customHeight="1">
      <c r="R14875" s="74"/>
    </row>
    <row r="14876" ht="12.75" customHeight="1">
      <c r="R14876" s="74"/>
    </row>
    <row r="14877" ht="12.75" customHeight="1">
      <c r="R14877" s="74"/>
    </row>
    <row r="14878" ht="12.75" customHeight="1">
      <c r="R14878" s="74"/>
    </row>
    <row r="14879" ht="12.75" customHeight="1">
      <c r="R14879" s="74"/>
    </row>
    <row r="14880" ht="12.75" customHeight="1"/>
    <row r="14881" ht="12.75" customHeight="1"/>
    <row r="14882" ht="12.75" customHeight="1"/>
    <row r="14883" ht="12.75" customHeight="1"/>
    <row r="14884" ht="12.75" customHeight="1"/>
    <row r="14885" ht="12.75" customHeight="1"/>
    <row r="14886" ht="12.75" customHeight="1"/>
    <row r="14887" ht="12.75" customHeight="1"/>
    <row r="14888" ht="12.75" customHeight="1"/>
    <row r="14889" ht="12.75" customHeight="1"/>
    <row r="14890" ht="12.75" customHeight="1"/>
    <row r="14891" ht="12.75" customHeight="1"/>
    <row r="14892" ht="12.75" customHeight="1"/>
    <row r="14893" ht="12.75" customHeight="1"/>
    <row r="14894" ht="12.75" customHeight="1"/>
    <row r="14895" ht="12.75" customHeight="1"/>
    <row r="14896" ht="12.75" customHeight="1"/>
    <row r="14897" ht="12.75" customHeight="1"/>
    <row r="14898" ht="12.75" customHeight="1"/>
    <row r="14899" ht="12.75" customHeight="1"/>
    <row r="14900" ht="12.75" customHeight="1">
      <c r="R14900" s="74"/>
    </row>
    <row r="14901" ht="12.75" customHeight="1">
      <c r="R14901" s="74"/>
    </row>
    <row r="14902" ht="12.75" customHeight="1">
      <c r="R14902" s="74"/>
    </row>
    <row r="14903" ht="12.75" customHeight="1">
      <c r="R14903" s="74"/>
    </row>
    <row r="14904" ht="12.75" customHeight="1">
      <c r="R14904" s="74"/>
    </row>
    <row r="14905" ht="12.75" customHeight="1">
      <c r="R14905" s="74"/>
    </row>
    <row r="14906" ht="12.75" customHeight="1"/>
    <row r="14907" ht="12.75" customHeight="1"/>
    <row r="14908" ht="12.75" customHeight="1"/>
    <row r="14909" ht="12.75" customHeight="1"/>
    <row r="14910" ht="12.75" customHeight="1"/>
    <row r="14911" ht="12.75" customHeight="1"/>
    <row r="14912" ht="12.75" customHeight="1">
      <c r="R14912" s="74"/>
    </row>
    <row r="14913" ht="12.75" customHeight="1">
      <c r="R14913" s="74"/>
    </row>
    <row r="14914" ht="12.75" customHeight="1">
      <c r="R14914" s="74"/>
    </row>
    <row r="14915" ht="12.75" customHeight="1">
      <c r="R14915" s="74"/>
    </row>
    <row r="14916" ht="12.75" customHeight="1">
      <c r="R14916" s="74"/>
    </row>
    <row r="14917" ht="12.75" customHeight="1">
      <c r="R14917" s="74"/>
    </row>
    <row r="14918" ht="12.75" customHeight="1"/>
    <row r="14919" ht="12.75" customHeight="1"/>
    <row r="14920" ht="12.75" customHeight="1"/>
    <row r="14921" ht="12.75" customHeight="1"/>
    <row r="14922" ht="12.75" customHeight="1"/>
    <row r="14923" ht="12.75" customHeight="1"/>
    <row r="14924" ht="12.75" customHeight="1"/>
    <row r="14925" ht="12.75" customHeight="1"/>
    <row r="14926" ht="12.75" customHeight="1"/>
    <row r="14927" ht="12.75" customHeight="1">
      <c r="R14927" s="74"/>
    </row>
    <row r="14928" ht="12.75" customHeight="1">
      <c r="R14928" s="74"/>
    </row>
    <row r="14929" ht="12.75" customHeight="1">
      <c r="R14929" s="74"/>
    </row>
    <row r="14930" ht="12.75" customHeight="1"/>
    <row r="14931" ht="12.75" customHeight="1"/>
    <row r="14932" ht="12.75" customHeight="1"/>
    <row r="14933" ht="12.75" customHeight="1"/>
    <row r="14934" ht="12.75" customHeight="1"/>
    <row r="14935" ht="12.75" customHeight="1"/>
    <row r="14936" ht="12.75" customHeight="1"/>
    <row r="14937" ht="12.75" customHeight="1"/>
    <row r="14938" ht="12.75" customHeight="1"/>
    <row r="14939" ht="12.75" customHeight="1"/>
    <row r="14940" ht="12.75" customHeight="1"/>
    <row r="14941" ht="12.75" customHeight="1"/>
    <row r="14942" ht="12.75" customHeight="1"/>
    <row r="14943" ht="12.75" customHeight="1"/>
    <row r="14944" ht="12.75" customHeight="1">
      <c r="R14944" s="74"/>
    </row>
    <row r="14945" ht="12.75" customHeight="1">
      <c r="R14945" s="74"/>
    </row>
    <row r="14946" ht="12.75" customHeight="1">
      <c r="R14946" s="74"/>
    </row>
    <row r="14947" ht="12.75" customHeight="1">
      <c r="R14947" s="74"/>
    </row>
    <row r="14948" ht="12.75" customHeight="1"/>
    <row r="14949" ht="12.75" customHeight="1"/>
    <row r="14950" ht="12.75" customHeight="1"/>
    <row r="14951" ht="12.75" customHeight="1"/>
    <row r="14952" ht="12.75" customHeight="1"/>
    <row r="14953" ht="12.75" customHeight="1"/>
    <row r="14954" ht="12.75" customHeight="1"/>
    <row r="14955" ht="12.75" customHeight="1"/>
    <row r="14956" ht="12.75" customHeight="1"/>
    <row r="14957" ht="12.75" customHeight="1"/>
    <row r="14958" ht="12.75" customHeight="1"/>
    <row r="14959" ht="12.75" customHeight="1"/>
    <row r="14960" ht="12.75" customHeight="1"/>
    <row r="14961" ht="12.75" customHeight="1"/>
    <row r="14962" ht="12.75" customHeight="1"/>
    <row r="14963" ht="12.75" customHeight="1"/>
    <row r="14964" ht="12.75" customHeight="1"/>
    <row r="14965" ht="12.75" customHeight="1"/>
    <row r="14966" ht="12.75" customHeight="1"/>
    <row r="14967" ht="12.75" customHeight="1">
      <c r="R14967" s="74"/>
    </row>
    <row r="14968" ht="12.75" customHeight="1">
      <c r="R14968" s="74"/>
    </row>
    <row r="14969" ht="12.75" customHeight="1">
      <c r="R14969" s="74"/>
    </row>
    <row r="14970" ht="12.75" customHeight="1">
      <c r="R14970" s="74"/>
    </row>
    <row r="14971" ht="12.75" customHeight="1"/>
    <row r="14972" ht="12.75" customHeight="1"/>
    <row r="14973" ht="12.75" customHeight="1"/>
    <row r="14974" ht="12.75" customHeight="1"/>
    <row r="14975" ht="12.75" customHeight="1"/>
    <row r="14976" ht="12.75" customHeight="1"/>
    <row r="14977" ht="12.75" customHeight="1"/>
    <row r="14978" ht="12.75" customHeight="1"/>
    <row r="14979" ht="12.75" customHeight="1"/>
    <row r="14980" ht="12.75" customHeight="1"/>
    <row r="14981" ht="12.75" customHeight="1"/>
    <row r="14982" ht="12.75" customHeight="1"/>
    <row r="14983" ht="12.75" customHeight="1"/>
    <row r="14984" ht="12.75" customHeight="1"/>
    <row r="14985" ht="12.75" customHeight="1"/>
    <row r="14986" ht="12.75" customHeight="1"/>
    <row r="14987" ht="12.75" customHeight="1"/>
    <row r="14988" ht="12.75" customHeight="1"/>
    <row r="14989" ht="12.75" customHeight="1"/>
    <row r="14990" ht="12.75" customHeight="1">
      <c r="R14990" s="74"/>
    </row>
    <row r="14991" ht="12.75" customHeight="1">
      <c r="R14991" s="74"/>
    </row>
    <row r="14992" ht="12.75" customHeight="1">
      <c r="R14992" s="74"/>
    </row>
    <row r="14993" ht="12.75" customHeight="1">
      <c r="R14993" s="74"/>
    </row>
    <row r="14994" ht="12.75" customHeight="1">
      <c r="R14994" s="74"/>
    </row>
    <row r="14995" ht="12.75" customHeight="1"/>
    <row r="14996" ht="12.75" customHeight="1"/>
    <row r="14997" ht="12.75" customHeight="1"/>
    <row r="14998" ht="12.75" customHeight="1">
      <c r="R14998" s="74"/>
    </row>
    <row r="14999" ht="12.75" customHeight="1">
      <c r="R14999" s="74"/>
    </row>
    <row r="15000" ht="12.75" customHeight="1">
      <c r="R15000" s="74"/>
    </row>
    <row r="15001" ht="12.75" customHeight="1">
      <c r="R15001" s="74"/>
    </row>
    <row r="15002" ht="12.75" customHeight="1"/>
    <row r="15003" ht="12.75" customHeight="1"/>
    <row r="15004" ht="12.75" customHeight="1"/>
    <row r="15005" ht="12.75" customHeight="1"/>
    <row r="15006" ht="12.75" customHeight="1">
      <c r="R15006" s="74"/>
    </row>
    <row r="15007" ht="12.75" customHeight="1">
      <c r="R15007" s="74"/>
    </row>
    <row r="15008" ht="12.75" customHeight="1">
      <c r="R15008" s="74"/>
    </row>
    <row r="15009" ht="12.75" customHeight="1"/>
    <row r="15010" ht="12.75" customHeight="1"/>
    <row r="15011" ht="12.75" customHeight="1"/>
    <row r="15012" ht="12.75" customHeight="1"/>
    <row r="15013" ht="12.75" customHeight="1">
      <c r="R15013" s="74"/>
    </row>
    <row r="15014" ht="12.75" customHeight="1">
      <c r="R15014" s="74"/>
    </row>
    <row r="15015" ht="12.75" customHeight="1">
      <c r="R15015" s="74"/>
    </row>
    <row r="15016" ht="12.75" customHeight="1">
      <c r="R15016" s="74"/>
    </row>
    <row r="15017" ht="12.75" customHeight="1">
      <c r="R15017" s="74"/>
    </row>
    <row r="15018" ht="12.75" customHeight="1">
      <c r="R15018" s="74"/>
    </row>
    <row r="15019" ht="12.75" customHeight="1">
      <c r="R15019" s="74"/>
    </row>
    <row r="15020" ht="12.75" customHeight="1">
      <c r="R15020" s="74"/>
    </row>
    <row r="15021" ht="12.75" customHeight="1"/>
    <row r="15022" ht="12.75" customHeight="1"/>
    <row r="15023" ht="12.75" customHeight="1"/>
    <row r="15024" ht="12.75" customHeight="1"/>
    <row r="15025" ht="12.75" customHeight="1"/>
    <row r="15026" ht="12.75" customHeight="1"/>
    <row r="15027" ht="12.75" customHeight="1"/>
    <row r="15028" ht="12.75" customHeight="1"/>
    <row r="15029" ht="12.75" customHeight="1"/>
    <row r="15030" ht="12.75" customHeight="1"/>
    <row r="15031" ht="12.75" customHeight="1"/>
    <row r="15032" ht="12.75" customHeight="1"/>
    <row r="15033" ht="12.75" customHeight="1"/>
    <row r="15034" ht="12.75" customHeight="1"/>
    <row r="15035" ht="12.75" customHeight="1"/>
    <row r="15036" ht="12.75" customHeight="1"/>
    <row r="15037" ht="12.75" customHeight="1"/>
    <row r="15038" ht="12.75" customHeight="1"/>
    <row r="15039" ht="12.75" customHeight="1"/>
    <row r="15040" ht="12.75" customHeight="1"/>
    <row r="15041" ht="12.75" customHeight="1"/>
    <row r="15042" ht="12.75" customHeight="1"/>
    <row r="15043" ht="12.75" customHeight="1"/>
    <row r="15044" ht="12.75" customHeight="1"/>
    <row r="15045" ht="12.75" customHeight="1"/>
    <row r="15046" ht="12.75" customHeight="1"/>
    <row r="15047" ht="12.75" customHeight="1"/>
    <row r="15048" ht="12.75" customHeight="1"/>
    <row r="15049" ht="12.75" customHeight="1"/>
    <row r="15050" ht="12.75" customHeight="1"/>
    <row r="15051" ht="12.75" customHeight="1"/>
    <row r="15052" ht="12.75" customHeight="1"/>
    <row r="15053" ht="12.75" customHeight="1"/>
    <row r="15054" ht="12.75" customHeight="1"/>
    <row r="15055" ht="12.75" customHeight="1"/>
    <row r="15056" ht="12.75" customHeight="1">
      <c r="R15056" s="74"/>
    </row>
    <row r="15057" ht="12.75" customHeight="1">
      <c r="R15057" s="74"/>
    </row>
    <row r="15058" ht="12.75" customHeight="1">
      <c r="R15058" s="74"/>
    </row>
    <row r="15059" ht="12.75" customHeight="1">
      <c r="R15059" s="74"/>
    </row>
    <row r="15060" ht="12.75" customHeight="1"/>
    <row r="15061" ht="12.75" customHeight="1"/>
    <row r="15062" ht="12.75" customHeight="1"/>
    <row r="15063" ht="12.75" customHeight="1"/>
    <row r="15064" ht="12.75" customHeight="1">
      <c r="R15064" s="74"/>
    </row>
    <row r="15065" ht="12.75" customHeight="1">
      <c r="R15065" s="74"/>
    </row>
    <row r="15066" ht="12.75" customHeight="1">
      <c r="R15066" s="74"/>
    </row>
    <row r="15067" ht="12.75" customHeight="1">
      <c r="R15067" s="74"/>
    </row>
    <row r="15068" ht="12.75" customHeight="1"/>
    <row r="15069" ht="12.75" customHeight="1"/>
    <row r="15070" ht="12.75" customHeight="1"/>
    <row r="15071" ht="12.75" customHeight="1"/>
    <row r="15072" ht="12.75" customHeight="1"/>
    <row r="15073" ht="12.75" customHeight="1"/>
    <row r="15074" ht="12.75" customHeight="1"/>
    <row r="15075" ht="12.75" customHeight="1"/>
    <row r="15076" ht="12.75" customHeight="1"/>
    <row r="15077" ht="12.75" customHeight="1"/>
    <row r="15078" ht="12.75" customHeight="1"/>
    <row r="15079" ht="12.75" customHeight="1"/>
    <row r="15080" ht="12.75" customHeight="1"/>
    <row r="15081" ht="12.75" customHeight="1"/>
    <row r="15082" ht="12.75" customHeight="1"/>
    <row r="15083" ht="12.75" customHeight="1"/>
    <row r="15084" ht="12.75" customHeight="1"/>
    <row r="15085" ht="12.75" customHeight="1"/>
    <row r="15086" ht="12.75" customHeight="1"/>
    <row r="15087" ht="12.75" customHeight="1"/>
    <row r="15088" ht="12.75" customHeight="1"/>
    <row r="15089" ht="12.75" customHeight="1"/>
    <row r="15090" ht="12.75" customHeight="1"/>
    <row r="15091" ht="12.75" customHeight="1">
      <c r="R15091" s="74"/>
    </row>
    <row r="15092" ht="12.75" customHeight="1">
      <c r="R15092" s="74"/>
    </row>
    <row r="15093" ht="12.75" customHeight="1">
      <c r="R15093" s="74"/>
    </row>
    <row r="15094" ht="12.75" customHeight="1">
      <c r="R15094" s="74"/>
    </row>
    <row r="15095" ht="12.75" customHeight="1"/>
    <row r="15096" ht="12.75" customHeight="1"/>
    <row r="15097" ht="12.75" customHeight="1"/>
    <row r="15098" ht="12.75" customHeight="1"/>
    <row r="15099" ht="12.75" customHeight="1"/>
    <row r="15100" ht="12.75" customHeight="1"/>
    <row r="15101" ht="12.75" customHeight="1"/>
    <row r="15102" ht="12.75" customHeight="1"/>
    <row r="15103" ht="12.75" customHeight="1"/>
    <row r="15104" ht="12.75" customHeight="1">
      <c r="R15104" s="74"/>
    </row>
    <row r="15105" ht="12.75" customHeight="1">
      <c r="R15105" s="74"/>
    </row>
    <row r="15106" ht="12.75" customHeight="1">
      <c r="R15106" s="74"/>
    </row>
    <row r="15107" ht="12.75" customHeight="1">
      <c r="R15107" s="74"/>
    </row>
    <row r="15108" ht="12.75" customHeight="1">
      <c r="R15108" s="74"/>
    </row>
    <row r="15109" ht="12.75" customHeight="1">
      <c r="R15109" s="74"/>
    </row>
    <row r="15110" ht="12.75" customHeight="1">
      <c r="R15110" s="74"/>
    </row>
    <row r="15111" ht="12.75" customHeight="1">
      <c r="R15111" s="74"/>
    </row>
    <row r="15112" ht="12.75" customHeight="1"/>
    <row r="15113" ht="12.75" customHeight="1"/>
    <row r="15114" ht="12.75" customHeight="1"/>
    <row r="15115" ht="12.75" customHeight="1"/>
    <row r="15116" ht="12.75" customHeight="1"/>
    <row r="15117" ht="12.75" customHeight="1"/>
    <row r="15118" ht="12.75" customHeight="1"/>
    <row r="15119" ht="12.75" customHeight="1"/>
    <row r="15120" ht="12.75" customHeight="1"/>
    <row r="15121" ht="12.75" customHeight="1">
      <c r="R15121" s="74"/>
    </row>
    <row r="15122" ht="12.75" customHeight="1">
      <c r="R15122" s="74"/>
    </row>
    <row r="15123" ht="12.75" customHeight="1">
      <c r="R15123" s="74"/>
    </row>
    <row r="15124" ht="12.75" customHeight="1">
      <c r="R15124" s="74"/>
    </row>
    <row r="15125" ht="12.75" customHeight="1">
      <c r="R15125" s="74"/>
    </row>
    <row r="15126" ht="12.75" customHeight="1">
      <c r="R15126" s="74"/>
    </row>
    <row r="15127" ht="12.75" customHeight="1">
      <c r="R15127" s="74"/>
    </row>
    <row r="15128" ht="12.75" customHeight="1">
      <c r="R15128" s="74"/>
    </row>
    <row r="15129" ht="12.75" customHeight="1">
      <c r="R15129" s="74"/>
    </row>
    <row r="15130" ht="12.75" customHeight="1">
      <c r="R15130" s="74"/>
    </row>
    <row r="15131" ht="12.75" customHeight="1">
      <c r="R15131" s="74"/>
    </row>
    <row r="15132" ht="12.75" customHeight="1">
      <c r="R15132" s="74"/>
    </row>
    <row r="15133" ht="12.75" customHeight="1"/>
    <row r="15134" ht="12.75" customHeight="1"/>
    <row r="15135" ht="12.75" customHeight="1"/>
    <row r="15136" ht="12.75" customHeight="1"/>
    <row r="15137" ht="12.75" customHeight="1"/>
    <row r="15138" ht="12.75" customHeight="1"/>
    <row r="15139" ht="12.75" customHeight="1">
      <c r="R15139" s="74"/>
    </row>
    <row r="15140" ht="12.75" customHeight="1">
      <c r="R15140" s="74"/>
    </row>
    <row r="15141" ht="12.75" customHeight="1"/>
    <row r="15142" ht="12.75" customHeight="1"/>
    <row r="15143" ht="12.75" customHeight="1">
      <c r="R15143" s="74"/>
    </row>
    <row r="15144" ht="12.75" customHeight="1">
      <c r="R15144" s="74"/>
    </row>
    <row r="15145" ht="12.75" customHeight="1">
      <c r="R15145" s="74"/>
    </row>
    <row r="15146" ht="12.75" customHeight="1">
      <c r="R15146" s="74"/>
    </row>
    <row r="15147" ht="12.75" customHeight="1">
      <c r="R15147" s="74"/>
    </row>
    <row r="15148" ht="12.75" customHeight="1">
      <c r="R15148" s="74"/>
    </row>
    <row r="15149" ht="12.75" customHeight="1">
      <c r="R15149" s="74"/>
    </row>
    <row r="15150" ht="12.75" customHeight="1">
      <c r="R15150" s="74"/>
    </row>
    <row r="15151" ht="12.75" customHeight="1">
      <c r="R15151" s="74"/>
    </row>
    <row r="15152" ht="12.75" customHeight="1">
      <c r="R15152" s="74"/>
    </row>
    <row r="15153" ht="12.75" customHeight="1">
      <c r="R15153" s="74"/>
    </row>
    <row r="15154" ht="12.75" customHeight="1">
      <c r="R15154" s="74"/>
    </row>
    <row r="15155" ht="12.75" customHeight="1">
      <c r="R15155" s="74"/>
    </row>
    <row r="15156" ht="12.75" customHeight="1">
      <c r="R15156" s="74"/>
    </row>
    <row r="15157" ht="12.75" customHeight="1">
      <c r="R15157" s="74"/>
    </row>
    <row r="15158" ht="12.75" customHeight="1">
      <c r="R15158" s="74"/>
    </row>
    <row r="15159" ht="12.75" customHeight="1">
      <c r="R15159" s="74"/>
    </row>
    <row r="15160" ht="12.75" customHeight="1">
      <c r="R15160" s="74"/>
    </row>
    <row r="15161" ht="12.75" customHeight="1">
      <c r="R15161" s="74"/>
    </row>
    <row r="15162" ht="12.75" customHeight="1">
      <c r="R15162" s="74"/>
    </row>
    <row r="15163" ht="12.75" customHeight="1">
      <c r="R15163" s="74"/>
    </row>
    <row r="15164" ht="12.75" customHeight="1"/>
    <row r="15165" ht="12.75" customHeight="1"/>
    <row r="15166" ht="12.75" customHeight="1"/>
    <row r="15167" ht="12.75" customHeight="1"/>
    <row r="15168" ht="12.75" customHeight="1"/>
    <row r="15169" ht="12.75" customHeight="1"/>
    <row r="15170" ht="12.75" customHeight="1"/>
    <row r="15171" ht="12.75" customHeight="1"/>
    <row r="15172" ht="12.75" customHeight="1"/>
    <row r="15173" ht="12.75" customHeight="1"/>
    <row r="15174" ht="12.75" customHeight="1"/>
    <row r="15175" ht="12.75" customHeight="1"/>
    <row r="15176" ht="12.75" customHeight="1">
      <c r="R15176" s="74"/>
    </row>
    <row r="15177" ht="12.75" customHeight="1">
      <c r="R15177" s="74"/>
    </row>
    <row r="15178" ht="12.75" customHeight="1">
      <c r="R15178" s="74"/>
    </row>
    <row r="15179" ht="12.75" customHeight="1">
      <c r="R15179" s="74"/>
    </row>
    <row r="15180" ht="12.75" customHeight="1">
      <c r="R15180" s="74"/>
    </row>
    <row r="15181" ht="12.75" customHeight="1">
      <c r="R15181" s="74"/>
    </row>
    <row r="15182" ht="12.75" customHeight="1">
      <c r="R15182" s="74"/>
    </row>
    <row r="15183" ht="12.75" customHeight="1">
      <c r="R15183" s="74"/>
    </row>
    <row r="15184" ht="12.75" customHeight="1">
      <c r="R15184" s="74"/>
    </row>
    <row r="15185" ht="12.75" customHeight="1">
      <c r="R15185" s="74"/>
    </row>
    <row r="15186" ht="12.75" customHeight="1">
      <c r="R15186" s="74"/>
    </row>
    <row r="15187" ht="12.75" customHeight="1">
      <c r="R15187" s="74"/>
    </row>
    <row r="15188" ht="12.75" customHeight="1"/>
    <row r="15189" ht="12.75" customHeight="1"/>
    <row r="15190" ht="12.75" customHeight="1"/>
    <row r="15191" ht="12.75" customHeight="1"/>
    <row r="15192" ht="12.75" customHeight="1"/>
    <row r="15193" ht="12.75" customHeight="1"/>
    <row r="15194" ht="12.75" customHeight="1">
      <c r="R15194" s="74"/>
    </row>
    <row r="15195" ht="12.75" customHeight="1">
      <c r="R15195" s="74"/>
    </row>
    <row r="15196" ht="12.75" customHeight="1">
      <c r="R15196" s="74"/>
    </row>
    <row r="15197" ht="12.75" customHeight="1">
      <c r="R15197" s="74"/>
    </row>
    <row r="15198" ht="12.75" customHeight="1">
      <c r="R15198" s="74"/>
    </row>
    <row r="15199" ht="12.75" customHeight="1">
      <c r="R15199" s="74"/>
    </row>
    <row r="15200" ht="12.75" customHeight="1"/>
    <row r="15201" ht="12.75" customHeight="1"/>
    <row r="15202" ht="12.75" customHeight="1"/>
    <row r="15203" ht="12.75" customHeight="1"/>
    <row r="15204" ht="12.75" customHeight="1"/>
    <row r="15205" ht="12.75" customHeight="1"/>
    <row r="15206" ht="12.75" customHeight="1"/>
    <row r="15207" ht="12.75" customHeight="1"/>
    <row r="15208" ht="12.75" customHeight="1"/>
    <row r="15209" ht="12.75" customHeight="1"/>
    <row r="15210" ht="12.75" customHeight="1"/>
    <row r="15211" ht="12.75" customHeight="1"/>
    <row r="15212" ht="12.75" customHeight="1">
      <c r="R15212" s="74"/>
    </row>
    <row r="15213" ht="12.75" customHeight="1">
      <c r="R15213" s="74"/>
    </row>
    <row r="15214" ht="12.75" customHeight="1">
      <c r="R15214" s="74"/>
    </row>
    <row r="15215" ht="12.75" customHeight="1">
      <c r="R15215" s="74"/>
    </row>
    <row r="15216" ht="12.75" customHeight="1">
      <c r="R15216" s="74"/>
    </row>
    <row r="15217" ht="12.75" customHeight="1">
      <c r="R15217" s="74"/>
    </row>
    <row r="15218" ht="12.75" customHeight="1"/>
    <row r="15219" ht="12.75" customHeight="1"/>
    <row r="15220" ht="12.75" customHeight="1">
      <c r="R15220" s="74"/>
    </row>
    <row r="15221" ht="12.75" customHeight="1">
      <c r="R15221" s="74"/>
    </row>
    <row r="15222" ht="12.75" customHeight="1">
      <c r="R15222" s="74"/>
    </row>
    <row r="15223" ht="12.75" customHeight="1">
      <c r="R15223" s="74"/>
    </row>
    <row r="15224" ht="12.75" customHeight="1">
      <c r="R15224" s="74"/>
    </row>
    <row r="15225" ht="12.75" customHeight="1">
      <c r="R15225" s="74"/>
    </row>
    <row r="15226" ht="12.75" customHeight="1">
      <c r="R15226" s="74"/>
    </row>
    <row r="15227" ht="12.75" customHeight="1"/>
    <row r="15228" ht="12.75" customHeight="1"/>
    <row r="15229" ht="12.75" customHeight="1"/>
    <row r="15230" ht="12.75" customHeight="1"/>
    <row r="15231" ht="12.75" customHeight="1"/>
    <row r="15232" ht="12.75" customHeight="1"/>
    <row r="15233" ht="12.75" customHeight="1"/>
    <row r="15234" ht="12.75" customHeight="1"/>
    <row r="15235" ht="12.75" customHeight="1"/>
    <row r="15236" ht="12.75" customHeight="1"/>
    <row r="15237" ht="12.75" customHeight="1"/>
    <row r="15238" ht="12.75" customHeight="1"/>
    <row r="15239" ht="12.75" customHeight="1"/>
    <row r="15240" ht="12.75" customHeight="1"/>
    <row r="15241" ht="12.75" customHeight="1"/>
    <row r="15242" ht="12.75" customHeight="1"/>
    <row r="15243" ht="12.75" customHeight="1"/>
    <row r="15244" ht="12.75" customHeight="1"/>
    <row r="15245" ht="12.75" customHeight="1"/>
    <row r="15246" ht="12.75" customHeight="1"/>
    <row r="15247" ht="12.75" customHeight="1"/>
    <row r="15248" ht="12.75" customHeight="1"/>
    <row r="15249" ht="12.75" customHeight="1"/>
    <row r="15250" ht="12.75" customHeight="1"/>
    <row r="15251" ht="12.75" customHeight="1"/>
    <row r="15252" ht="12.75" customHeight="1"/>
    <row r="15253" ht="12.75" customHeight="1"/>
    <row r="15254" ht="12.75" customHeight="1"/>
    <row r="15255" ht="12.75" customHeight="1"/>
    <row r="15256" ht="12.75" customHeight="1"/>
    <row r="15257" ht="12.75" customHeight="1"/>
    <row r="15258" ht="12.75" customHeight="1"/>
    <row r="15259" ht="12.75" customHeight="1">
      <c r="R15259" s="74"/>
    </row>
    <row r="15260" ht="12.75" customHeight="1">
      <c r="R15260" s="74"/>
    </row>
    <row r="15261" ht="12.75" customHeight="1">
      <c r="R15261" s="74"/>
    </row>
    <row r="15262" ht="12.75" customHeight="1">
      <c r="R15262" s="74"/>
    </row>
    <row r="15263" ht="12.75" customHeight="1">
      <c r="R15263" s="74"/>
    </row>
    <row r="15264" ht="12.75" customHeight="1">
      <c r="R15264" s="74"/>
    </row>
    <row r="15265" ht="12.75" customHeight="1">
      <c r="R15265" s="74"/>
    </row>
    <row r="15266" ht="12.75" customHeight="1">
      <c r="R15266" s="74"/>
    </row>
    <row r="15267" ht="12.75" customHeight="1">
      <c r="R15267" s="74"/>
    </row>
    <row r="15268" ht="12.75" customHeight="1"/>
    <row r="15269" ht="12.75" customHeight="1"/>
    <row r="15270" ht="12.75" customHeight="1"/>
    <row r="15271" ht="12.75" customHeight="1"/>
    <row r="15272" ht="12.75" customHeight="1"/>
    <row r="15273" ht="12.75" customHeight="1"/>
    <row r="15274" ht="12.75" customHeight="1"/>
    <row r="15275" ht="12.75" customHeight="1"/>
    <row r="15276" ht="12.75" customHeight="1"/>
    <row r="15277" ht="12.75" customHeight="1"/>
    <row r="15278" ht="12.75" customHeight="1"/>
    <row r="15279" ht="12.75" customHeight="1"/>
    <row r="15280" ht="12.75" customHeight="1"/>
    <row r="15281" ht="12.75" customHeight="1"/>
    <row r="15282" ht="12.75" customHeight="1">
      <c r="R15282" s="74"/>
    </row>
    <row r="15283" ht="12.75" customHeight="1">
      <c r="R15283" s="74"/>
    </row>
    <row r="15284" ht="12.75" customHeight="1">
      <c r="R15284" s="74"/>
    </row>
    <row r="15285" ht="12.75" customHeight="1">
      <c r="R15285" s="74"/>
    </row>
    <row r="15286" ht="12.75" customHeight="1"/>
    <row r="15287" ht="12.75" customHeight="1"/>
    <row r="15288" ht="12.75" customHeight="1"/>
    <row r="15289" ht="12.75" customHeight="1"/>
    <row r="15290" ht="12.75" customHeight="1"/>
    <row r="15291" ht="12.75" customHeight="1"/>
    <row r="15292" ht="12.75" customHeight="1"/>
    <row r="15293" ht="12.75" customHeight="1"/>
    <row r="15294" ht="12.75" customHeight="1">
      <c r="R15294" s="74"/>
    </row>
    <row r="15295" ht="12.75" customHeight="1">
      <c r="R15295" s="74"/>
    </row>
    <row r="15296" ht="12.75" customHeight="1">
      <c r="R15296" s="74"/>
    </row>
    <row r="15297" ht="12.75" customHeight="1">
      <c r="R15297" s="74"/>
    </row>
    <row r="15298" ht="12.75" customHeight="1">
      <c r="R15298" s="74"/>
    </row>
    <row r="15299" ht="12.75" customHeight="1">
      <c r="R15299" s="74"/>
    </row>
    <row r="15300" ht="12.75" customHeight="1">
      <c r="R15300" s="74"/>
    </row>
    <row r="15301" ht="12.75" customHeight="1">
      <c r="R15301" s="74"/>
    </row>
    <row r="15302" ht="12.75" customHeight="1"/>
    <row r="15303" ht="12.75" customHeight="1"/>
    <row r="15304" ht="12.75" customHeight="1"/>
    <row r="15305" ht="12.75" customHeight="1"/>
    <row r="15306" ht="12.75" customHeight="1"/>
    <row r="15307" ht="12.75" customHeight="1"/>
    <row r="15308" ht="12.75" customHeight="1"/>
    <row r="15309" ht="12.75" customHeight="1"/>
    <row r="15310" ht="12.75" customHeight="1"/>
    <row r="15311" ht="12.75" customHeight="1"/>
    <row r="15312" ht="12.75" customHeight="1"/>
    <row r="15313" ht="12.75" customHeight="1"/>
    <row r="15314" ht="12.75" customHeight="1"/>
    <row r="15315" ht="12.75" customHeight="1"/>
    <row r="15316" ht="12.75" customHeight="1"/>
    <row r="15317" ht="12.75" customHeight="1"/>
    <row r="15318" ht="12.75" customHeight="1">
      <c r="R15318" s="74"/>
    </row>
    <row r="15319" ht="12.75" customHeight="1">
      <c r="R15319" s="74"/>
    </row>
    <row r="15320" ht="12.75" customHeight="1">
      <c r="R15320" s="74"/>
    </row>
    <row r="15321" ht="12.75" customHeight="1">
      <c r="R15321" s="74"/>
    </row>
    <row r="15322" ht="12.75" customHeight="1">
      <c r="R15322" s="74"/>
    </row>
    <row r="15323" ht="12.75" customHeight="1">
      <c r="R15323" s="74"/>
    </row>
    <row r="15324" ht="12.75" customHeight="1">
      <c r="R15324" s="74"/>
    </row>
    <row r="15325" ht="12.75" customHeight="1">
      <c r="R15325" s="74"/>
    </row>
    <row r="15326" ht="12.75" customHeight="1">
      <c r="R15326" s="74"/>
    </row>
    <row r="15327" ht="12.75" customHeight="1">
      <c r="R15327" s="74"/>
    </row>
    <row r="15328" ht="12.75" customHeight="1">
      <c r="R15328" s="74"/>
    </row>
    <row r="15329" ht="12.75" customHeight="1">
      <c r="R15329" s="74"/>
    </row>
    <row r="15330" ht="12.75" customHeight="1">
      <c r="R15330" s="74"/>
    </row>
    <row r="15331" ht="12.75" customHeight="1">
      <c r="R15331" s="74"/>
    </row>
    <row r="15332" ht="12.75" customHeight="1">
      <c r="R15332" s="74"/>
    </row>
    <row r="15333" ht="12.75" customHeight="1">
      <c r="R15333" s="74"/>
    </row>
    <row r="15334" ht="12.75" customHeight="1">
      <c r="R15334" s="74"/>
    </row>
    <row r="15335" ht="12.75" customHeight="1">
      <c r="R15335" s="74"/>
    </row>
    <row r="15336" ht="12.75" customHeight="1">
      <c r="R15336" s="74"/>
    </row>
    <row r="15337" ht="12.75" customHeight="1">
      <c r="R15337" s="74"/>
    </row>
    <row r="15338" ht="12.75" customHeight="1">
      <c r="R15338" s="74"/>
    </row>
    <row r="15339" ht="12.75" customHeight="1">
      <c r="R15339" s="74"/>
    </row>
    <row r="15340" ht="12.75" customHeight="1">
      <c r="R15340" s="74"/>
    </row>
    <row r="15341" ht="12.75" customHeight="1">
      <c r="R15341" s="74"/>
    </row>
    <row r="15342" ht="12.75" customHeight="1"/>
    <row r="15343" ht="12.75" customHeight="1">
      <c r="R15343" s="74"/>
    </row>
    <row r="15344" ht="12.75" customHeight="1">
      <c r="R15344" s="74"/>
    </row>
    <row r="15345" ht="12.75" customHeight="1">
      <c r="R15345" s="74"/>
    </row>
    <row r="15346" ht="12.75" customHeight="1">
      <c r="R15346" s="74"/>
    </row>
    <row r="15347" ht="12.75" customHeight="1">
      <c r="R15347" s="74"/>
    </row>
    <row r="15348" ht="12.75" customHeight="1">
      <c r="R15348" s="74"/>
    </row>
    <row r="15349" ht="12.75" customHeight="1">
      <c r="R15349" s="74"/>
    </row>
    <row r="15350" ht="12.75" customHeight="1">
      <c r="R15350" s="74"/>
    </row>
    <row r="15351" ht="12.75" customHeight="1">
      <c r="R15351" s="74"/>
    </row>
    <row r="15352" ht="12.75" customHeight="1">
      <c r="R15352" s="74"/>
    </row>
    <row r="15353" ht="12.75" customHeight="1">
      <c r="R15353" s="74"/>
    </row>
    <row r="15354" ht="12.75" customHeight="1">
      <c r="R15354" s="74"/>
    </row>
    <row r="15355" ht="12.75" customHeight="1">
      <c r="R15355" s="74"/>
    </row>
    <row r="15356" ht="12.75" customHeight="1">
      <c r="R15356" s="74"/>
    </row>
    <row r="15357" ht="12.75" customHeight="1">
      <c r="R15357" s="74"/>
    </row>
    <row r="15358" ht="12.75" customHeight="1">
      <c r="R15358" s="74"/>
    </row>
    <row r="15359" ht="12.75" customHeight="1">
      <c r="R15359" s="74"/>
    </row>
    <row r="15360" ht="12.75" customHeight="1">
      <c r="R15360" s="74"/>
    </row>
    <row r="15361" ht="12.75" customHeight="1">
      <c r="R15361" s="74"/>
    </row>
    <row r="15362" ht="12.75" customHeight="1">
      <c r="R15362" s="74"/>
    </row>
    <row r="15363" ht="12.75" customHeight="1">
      <c r="R15363" s="74"/>
    </row>
    <row r="15364" ht="12.75" customHeight="1"/>
    <row r="15365" ht="12.75" customHeight="1"/>
    <row r="15366" ht="12.75" customHeight="1">
      <c r="R15366" s="74"/>
    </row>
    <row r="15367" ht="12.75" customHeight="1">
      <c r="R15367" s="74"/>
    </row>
    <row r="15368" ht="12.75" customHeight="1">
      <c r="R15368" s="74"/>
    </row>
    <row r="15369" ht="12.75" customHeight="1">
      <c r="R15369" s="74"/>
    </row>
    <row r="15370" ht="12.75" customHeight="1">
      <c r="R15370" s="74"/>
    </row>
    <row r="15371" ht="12.75" customHeight="1">
      <c r="R15371" s="74"/>
    </row>
    <row r="15372" ht="12.75" customHeight="1"/>
    <row r="15373" ht="12.75" customHeight="1"/>
    <row r="15374" ht="12.75" customHeight="1"/>
    <row r="15375" ht="12.75" customHeight="1"/>
    <row r="15376" ht="12.75" customHeight="1">
      <c r="R15376" s="74"/>
    </row>
    <row r="15377" ht="12.75" customHeight="1">
      <c r="R15377" s="74"/>
    </row>
    <row r="15378" ht="12.75" customHeight="1"/>
    <row r="15379" ht="12.75" customHeight="1"/>
    <row r="15380" ht="12.75" customHeight="1"/>
    <row r="15381" ht="12.75" customHeight="1"/>
    <row r="15382" ht="12.75" customHeight="1"/>
    <row r="15383" ht="12.75" customHeight="1"/>
    <row r="15384" ht="12.75" customHeight="1"/>
    <row r="15385" ht="12.75" customHeight="1"/>
    <row r="15386" ht="12.75" customHeight="1"/>
    <row r="15387" ht="12.75" customHeight="1">
      <c r="R15387" s="74"/>
    </row>
    <row r="15388" ht="12.75" customHeight="1">
      <c r="R15388" s="74"/>
    </row>
    <row r="15389" ht="12.75" customHeight="1">
      <c r="R15389" s="74"/>
    </row>
    <row r="15390" ht="12.75" customHeight="1">
      <c r="R15390" s="74"/>
    </row>
    <row r="15391" ht="12.75" customHeight="1">
      <c r="R15391" s="74"/>
    </row>
    <row r="15392" ht="12.75" customHeight="1">
      <c r="R15392" s="74"/>
    </row>
    <row r="15393" ht="12.75" customHeight="1">
      <c r="R15393" s="74"/>
    </row>
    <row r="15394" ht="12.75" customHeight="1">
      <c r="R15394" s="74"/>
    </row>
    <row r="15395" ht="12.75" customHeight="1"/>
    <row r="15396" ht="12.75" customHeight="1"/>
    <row r="15397" ht="12.75" customHeight="1"/>
    <row r="15398" ht="12.75" customHeight="1"/>
    <row r="15399" ht="12.75" customHeight="1"/>
    <row r="15400" ht="12.75" customHeight="1"/>
    <row r="15401" ht="12.75" customHeight="1"/>
    <row r="15402" ht="12.75" customHeight="1"/>
    <row r="15403" ht="12.75" customHeight="1"/>
    <row r="15404" ht="12.75" customHeight="1"/>
    <row r="15405" ht="12.75" customHeight="1"/>
    <row r="15406" ht="12.75" customHeight="1"/>
    <row r="15407" ht="12.75" customHeight="1"/>
    <row r="15408" ht="12.75" customHeight="1"/>
    <row r="15409" ht="12.75" customHeight="1"/>
    <row r="15410" ht="12.75" customHeight="1"/>
    <row r="15411" ht="12.75" customHeight="1"/>
    <row r="15412" ht="12.75" customHeight="1"/>
    <row r="15413" ht="12.75" customHeight="1"/>
    <row r="15414" ht="12.75" customHeight="1"/>
    <row r="15415" ht="12.75" customHeight="1"/>
    <row r="15416" ht="12.75" customHeight="1"/>
    <row r="15417" ht="12.75" customHeight="1"/>
    <row r="15418" ht="12.75" customHeight="1"/>
    <row r="15419" ht="12.75" customHeight="1">
      <c r="R15419" s="74"/>
    </row>
    <row r="15420" ht="12.75" customHeight="1">
      <c r="R15420" s="74"/>
    </row>
    <row r="15421" ht="12.75" customHeight="1">
      <c r="R15421" s="74"/>
    </row>
    <row r="15422" ht="12.75" customHeight="1">
      <c r="R15422" s="74"/>
    </row>
    <row r="15423" ht="12.75" customHeight="1">
      <c r="R15423" s="74"/>
    </row>
    <row r="15424" ht="12.75" customHeight="1">
      <c r="R15424" s="74"/>
    </row>
    <row r="15425" ht="12.75" customHeight="1"/>
    <row r="15426" ht="12.75" customHeight="1"/>
    <row r="15427" ht="12.75" customHeight="1"/>
    <row r="15428" ht="12.75" customHeight="1"/>
    <row r="15429" ht="12.75" customHeight="1"/>
    <row r="15430" ht="12.75" customHeight="1"/>
    <row r="15431" ht="12.75" customHeight="1"/>
    <row r="15432" ht="12.75" customHeight="1"/>
    <row r="15433" ht="12.75" customHeight="1"/>
    <row r="15434" ht="12.75" customHeight="1"/>
    <row r="15435" ht="12.75" customHeight="1"/>
    <row r="15436" ht="12.75" customHeight="1"/>
    <row r="15437" ht="12.75" customHeight="1"/>
    <row r="15438" ht="12.75" customHeight="1"/>
    <row r="15439" ht="12.75" customHeight="1"/>
    <row r="15440" ht="12.75" customHeight="1"/>
    <row r="15441" ht="12.75" customHeight="1"/>
    <row r="15442" ht="12.75" customHeight="1"/>
    <row r="15443" ht="12.75" customHeight="1"/>
    <row r="15444" ht="12.75" customHeight="1"/>
    <row r="15445" ht="12.75" customHeight="1"/>
    <row r="15446" ht="12.75" customHeight="1"/>
    <row r="15447" ht="12.75" customHeight="1"/>
    <row r="15448" ht="12.75" customHeight="1"/>
    <row r="15449" ht="12.75" customHeight="1"/>
    <row r="15450" ht="12.75" customHeight="1"/>
    <row r="15451" ht="12.75" customHeight="1"/>
    <row r="15452" ht="12.75" customHeight="1"/>
    <row r="15453" ht="12.75" customHeight="1"/>
    <row r="15454" ht="12.75" customHeight="1"/>
    <row r="15455" ht="12.75" customHeight="1"/>
    <row r="15456" ht="12.75" customHeight="1"/>
    <row r="15457" ht="12.75" customHeight="1"/>
    <row r="15458" ht="12.75" customHeight="1"/>
    <row r="15459" ht="12.75" customHeight="1"/>
    <row r="15460" ht="12.75" customHeight="1"/>
    <row r="15461" ht="12.75" customHeight="1"/>
    <row r="15462" ht="12.75" customHeight="1"/>
    <row r="15463" ht="12.75" customHeight="1"/>
    <row r="15464" ht="12.75" customHeight="1"/>
    <row r="15465" ht="12.75" customHeight="1"/>
    <row r="15466" ht="12.75" customHeight="1"/>
    <row r="15467" ht="12.75" customHeight="1"/>
    <row r="15468" ht="12.75" customHeight="1"/>
    <row r="15469" ht="12.75" customHeight="1"/>
    <row r="15470" ht="12.75" customHeight="1"/>
    <row r="15471" ht="12.75" customHeight="1"/>
    <row r="15472" ht="12.75" customHeight="1"/>
    <row r="15473" ht="12.75" customHeight="1">
      <c r="R15473" s="74"/>
    </row>
    <row r="15474" ht="12.75" customHeight="1">
      <c r="R15474" s="74"/>
    </row>
    <row r="15475" ht="12.75" customHeight="1">
      <c r="R15475" s="74"/>
    </row>
    <row r="15476" ht="12.75" customHeight="1">
      <c r="R15476" s="74"/>
    </row>
    <row r="15477" ht="12.75" customHeight="1">
      <c r="R15477" s="74"/>
    </row>
    <row r="15478" ht="12.75" customHeight="1">
      <c r="R15478" s="74"/>
    </row>
    <row r="15479" ht="12.75" customHeight="1">
      <c r="R15479" s="74"/>
    </row>
    <row r="15480" ht="12.75" customHeight="1">
      <c r="R15480" s="74"/>
    </row>
    <row r="15481" ht="12.75" customHeight="1">
      <c r="R15481" s="74"/>
    </row>
    <row r="15482" ht="12.75" customHeight="1">
      <c r="R15482" s="74"/>
    </row>
    <row r="15483" ht="12.75" customHeight="1">
      <c r="R15483" s="74"/>
    </row>
    <row r="15484" ht="12.75" customHeight="1">
      <c r="R15484" s="74"/>
    </row>
    <row r="15485" ht="12.75" customHeight="1"/>
    <row r="15486" ht="12.75" customHeight="1"/>
    <row r="15487" ht="12.75" customHeight="1"/>
    <row r="15488" ht="12.75" customHeight="1"/>
    <row r="15489" ht="12.75" customHeight="1"/>
    <row r="15490" ht="12.75" customHeight="1"/>
    <row r="15491" ht="12.75" customHeight="1"/>
    <row r="15492" ht="12.75" customHeight="1"/>
    <row r="15493" ht="12.75" customHeight="1"/>
    <row r="15494" ht="12.75" customHeight="1"/>
    <row r="15495" ht="12.75" customHeight="1"/>
    <row r="15496" ht="12.75" customHeight="1"/>
    <row r="15497" ht="12.75" customHeight="1"/>
    <row r="15498" ht="12.75" customHeight="1"/>
    <row r="15499" ht="12.75" customHeight="1"/>
    <row r="15500" ht="12.75" customHeight="1"/>
    <row r="15501" ht="12.75" customHeight="1"/>
    <row r="15502" ht="12.75" customHeight="1"/>
    <row r="15503" ht="12.75" customHeight="1">
      <c r="R15503" s="74"/>
    </row>
    <row r="15504" ht="12.75" customHeight="1">
      <c r="R15504" s="74"/>
    </row>
    <row r="15505" ht="12.75" customHeight="1">
      <c r="R15505" s="74"/>
    </row>
    <row r="15506" ht="12.75" customHeight="1">
      <c r="R15506" s="74"/>
    </row>
    <row r="15507" ht="12.75" customHeight="1">
      <c r="R15507" s="74"/>
    </row>
    <row r="15508" ht="12.75" customHeight="1">
      <c r="R15508" s="74"/>
    </row>
    <row r="15509" ht="12.75" customHeight="1"/>
    <row r="15510" ht="12.75" customHeight="1"/>
    <row r="15511" ht="12.75" customHeight="1"/>
    <row r="15512" ht="12.75" customHeight="1"/>
    <row r="15513" ht="12.75" customHeight="1"/>
    <row r="15514" ht="12.75" customHeight="1"/>
    <row r="15515" ht="12.75" customHeight="1"/>
    <row r="15516" ht="12.75" customHeight="1"/>
    <row r="15517" ht="12.75" customHeight="1"/>
    <row r="15518" ht="12.75" customHeight="1"/>
    <row r="15519" ht="12.75" customHeight="1"/>
    <row r="15520" ht="12.75" customHeight="1"/>
    <row r="15521" ht="12.75" customHeight="1"/>
    <row r="15522" ht="12.75" customHeight="1"/>
    <row r="15523" ht="12.75" customHeight="1"/>
    <row r="15524" ht="12.75" customHeight="1"/>
    <row r="15525" ht="12.75" customHeight="1"/>
    <row r="15526" ht="12.75" customHeight="1"/>
    <row r="15527" ht="12.75" customHeight="1"/>
    <row r="15528" ht="12.75" customHeight="1"/>
    <row r="15529" ht="12.75" customHeight="1"/>
    <row r="15530" ht="12.75" customHeight="1"/>
    <row r="15531" ht="12.75" customHeight="1"/>
    <row r="15532" ht="12.75" customHeight="1"/>
    <row r="15533" ht="12.75" customHeight="1"/>
    <row r="15534" ht="12.75" customHeight="1"/>
    <row r="15535" ht="12.75" customHeight="1"/>
    <row r="15536" ht="12.75" customHeight="1"/>
    <row r="15537" ht="12.75" customHeight="1"/>
    <row r="15538" ht="12.75" customHeight="1"/>
    <row r="15539" ht="12.75" customHeight="1"/>
    <row r="15540" ht="12.75" customHeight="1"/>
    <row r="15541" ht="12.75" customHeight="1">
      <c r="R15541" s="74"/>
    </row>
    <row r="15542" ht="12.75" customHeight="1">
      <c r="R15542" s="74"/>
    </row>
    <row r="15543" ht="12.75" customHeight="1">
      <c r="R15543" s="74"/>
    </row>
    <row r="15544" ht="12.75" customHeight="1">
      <c r="R15544" s="74"/>
    </row>
    <row r="15545" ht="12.75" customHeight="1">
      <c r="R15545" s="74"/>
    </row>
    <row r="15546" ht="12.75" customHeight="1">
      <c r="R15546" s="74"/>
    </row>
    <row r="15547" ht="12.75" customHeight="1"/>
    <row r="15548" ht="12.75" customHeight="1"/>
    <row r="15549" ht="12.75" customHeight="1"/>
    <row r="15550" ht="12.75" customHeight="1"/>
    <row r="15551" ht="12.75" customHeight="1"/>
    <row r="15552" ht="12.75" customHeight="1"/>
    <row r="15553" ht="12.75" customHeight="1">
      <c r="R15553" s="74"/>
    </row>
    <row r="15554" ht="12.75" customHeight="1">
      <c r="R15554" s="74"/>
    </row>
    <row r="15555" ht="12.75" customHeight="1">
      <c r="R15555" s="74"/>
    </row>
    <row r="15556" ht="12.75" customHeight="1">
      <c r="R15556" s="74"/>
    </row>
    <row r="15557" ht="12.75" customHeight="1">
      <c r="R15557" s="74"/>
    </row>
    <row r="15558" ht="12.75" customHeight="1">
      <c r="R15558" s="74"/>
    </row>
    <row r="15559" ht="12.75" customHeight="1">
      <c r="R15559" s="74"/>
    </row>
    <row r="15560" ht="12.75" customHeight="1">
      <c r="R15560" s="74"/>
    </row>
    <row r="15561" ht="12.75" customHeight="1">
      <c r="R15561" s="74"/>
    </row>
    <row r="15562" ht="12.75" customHeight="1">
      <c r="R15562" s="74"/>
    </row>
    <row r="15563" ht="12.75" customHeight="1">
      <c r="R15563" s="74"/>
    </row>
    <row r="15564" ht="12.75" customHeight="1">
      <c r="R15564" s="74"/>
    </row>
    <row r="15565" ht="12.75" customHeight="1"/>
    <row r="15566" ht="12.75" customHeight="1"/>
    <row r="15567" ht="12.75" customHeight="1"/>
    <row r="15568" ht="12.75" customHeight="1"/>
    <row r="15569" ht="12.75" customHeight="1"/>
    <row r="15570" ht="12.75" customHeight="1"/>
    <row r="15571" ht="12.75" customHeight="1">
      <c r="R15571" s="74"/>
    </row>
    <row r="15572" ht="12.75" customHeight="1">
      <c r="R15572" s="74"/>
    </row>
    <row r="15573" ht="12.75" customHeight="1">
      <c r="R15573" s="74"/>
    </row>
    <row r="15574" ht="12.75" customHeight="1">
      <c r="R15574" s="74"/>
    </row>
    <row r="15575" ht="12.75" customHeight="1">
      <c r="R15575" s="74"/>
    </row>
    <row r="15576" ht="12.75" customHeight="1">
      <c r="R15576" s="74"/>
    </row>
    <row r="15577" ht="12.75" customHeight="1"/>
    <row r="15578" ht="12.75" customHeight="1"/>
    <row r="15579" ht="12.75" customHeight="1"/>
    <row r="15580" ht="12.75" customHeight="1"/>
    <row r="15581" ht="12.75" customHeight="1"/>
    <row r="15582" ht="12.75" customHeight="1"/>
    <row r="15583" ht="12.75" customHeight="1"/>
    <row r="15584" ht="12.75" customHeight="1"/>
    <row r="15585" ht="12.75" customHeight="1"/>
    <row r="15586" ht="12.75" customHeight="1"/>
    <row r="15587" ht="12.75" customHeight="1"/>
    <row r="15588" ht="12.75" customHeight="1"/>
    <row r="15589" ht="12.75" customHeight="1"/>
    <row r="15590" ht="12.75" customHeight="1"/>
    <row r="15591" ht="12.75" customHeight="1"/>
    <row r="15592" ht="12.75" customHeight="1"/>
    <row r="15593" ht="12.75" customHeight="1"/>
    <row r="15594" ht="12.75" customHeight="1"/>
    <row r="15595" ht="12.75" customHeight="1"/>
    <row r="15596" ht="12.75" customHeight="1"/>
    <row r="15597" ht="12.75" customHeight="1"/>
    <row r="15598" ht="12.75" customHeight="1"/>
    <row r="15599" ht="12.75" customHeight="1"/>
    <row r="15600" ht="12.75" customHeight="1"/>
    <row r="15601" ht="12.75" customHeight="1"/>
    <row r="15602" ht="12.75" customHeight="1"/>
    <row r="15603" ht="12.75" customHeight="1"/>
    <row r="15604" ht="12.75" customHeight="1"/>
    <row r="15605" ht="12.75" customHeight="1"/>
    <row r="15606" ht="12.75" customHeight="1"/>
    <row r="15607" ht="12.75" customHeight="1"/>
    <row r="15608" ht="12.75" customHeight="1"/>
    <row r="15609" ht="12.75" customHeight="1"/>
    <row r="15610" ht="12.75" customHeight="1"/>
    <row r="15611" ht="12.75" customHeight="1"/>
    <row r="15612" ht="12.75" customHeight="1"/>
    <row r="15613" ht="12.75" customHeight="1"/>
    <row r="15614" ht="12.75" customHeight="1"/>
    <row r="15615" ht="12.75" customHeight="1"/>
    <row r="15616" ht="12.75" customHeight="1"/>
    <row r="15617" ht="12.75" customHeight="1"/>
    <row r="15618" ht="12.75" customHeight="1"/>
    <row r="15619" ht="12.75" customHeight="1"/>
    <row r="15620" ht="12.75" customHeight="1"/>
    <row r="15621" ht="12.75" customHeight="1"/>
    <row r="15622" ht="12.75" customHeight="1">
      <c r="R15622" s="74"/>
    </row>
    <row r="15623" ht="12.75" customHeight="1">
      <c r="R15623" s="74"/>
    </row>
    <row r="15624" ht="12.75" customHeight="1">
      <c r="R15624" s="74"/>
    </row>
    <row r="15625" ht="12.75" customHeight="1">
      <c r="R15625" s="74"/>
    </row>
    <row r="15626" ht="12.75" customHeight="1">
      <c r="R15626" s="74"/>
    </row>
    <row r="15627" ht="12.75" customHeight="1">
      <c r="R15627" s="74"/>
    </row>
    <row r="15628" ht="12.75" customHeight="1">
      <c r="R15628" s="74"/>
    </row>
    <row r="15629" ht="12.75" customHeight="1">
      <c r="R15629" s="74"/>
    </row>
    <row r="15630" ht="12.75" customHeight="1">
      <c r="R15630" s="74"/>
    </row>
    <row r="15631" ht="12.75" customHeight="1">
      <c r="R15631" s="74"/>
    </row>
    <row r="15632" ht="12.75" customHeight="1">
      <c r="R15632" s="74"/>
    </row>
    <row r="15633" ht="12.75" customHeight="1">
      <c r="R15633" s="74"/>
    </row>
    <row r="15634" ht="12.75" customHeight="1">
      <c r="R15634" s="74"/>
    </row>
    <row r="15635" ht="12.75" customHeight="1">
      <c r="R15635" s="74"/>
    </row>
    <row r="15636" ht="12.75" customHeight="1">
      <c r="R15636" s="74"/>
    </row>
    <row r="15637" ht="12.75" customHeight="1">
      <c r="R15637" s="74"/>
    </row>
    <row r="15638" ht="12.75" customHeight="1">
      <c r="R15638" s="74"/>
    </row>
    <row r="15639" ht="12.75" customHeight="1">
      <c r="R15639" s="74"/>
    </row>
    <row r="15640" ht="12.75" customHeight="1"/>
    <row r="15641" ht="12.75" customHeight="1"/>
    <row r="15642" ht="12.75" customHeight="1">
      <c r="R15642" s="74"/>
    </row>
    <row r="15643" ht="12.75" customHeight="1">
      <c r="R15643" s="74"/>
    </row>
    <row r="15644" ht="12.75" customHeight="1">
      <c r="R15644" s="74"/>
    </row>
    <row r="15645" ht="12.75" customHeight="1">
      <c r="R15645" s="74"/>
    </row>
    <row r="15646" ht="12.75" customHeight="1">
      <c r="R15646" s="74"/>
    </row>
    <row r="15647" ht="12.75" customHeight="1">
      <c r="R15647" s="74"/>
    </row>
    <row r="15648" ht="12.75" customHeight="1"/>
    <row r="15649" ht="12.75" customHeight="1"/>
    <row r="15650" ht="12.75" customHeight="1">
      <c r="R15650" s="74"/>
    </row>
    <row r="15651" ht="12.75" customHeight="1">
      <c r="R15651" s="74"/>
    </row>
    <row r="15652" ht="12.75" customHeight="1">
      <c r="R15652" s="74"/>
    </row>
    <row r="15653" ht="12.75" customHeight="1">
      <c r="R15653" s="74"/>
    </row>
    <row r="15654" ht="12.75" customHeight="1">
      <c r="R15654" s="74"/>
    </row>
    <row r="15655" ht="12.75" customHeight="1">
      <c r="R15655" s="74"/>
    </row>
    <row r="15656" ht="12.75" customHeight="1">
      <c r="R15656" s="74"/>
    </row>
    <row r="15657" ht="12.75" customHeight="1">
      <c r="R15657" s="74"/>
    </row>
    <row r="15658" ht="12.75" customHeight="1">
      <c r="R15658" s="74"/>
    </row>
    <row r="15659" ht="12.75" customHeight="1">
      <c r="R15659" s="74"/>
    </row>
    <row r="15660" ht="12.75" customHeight="1">
      <c r="R15660" s="74"/>
    </row>
    <row r="15661" ht="12.75" customHeight="1">
      <c r="R15661" s="74"/>
    </row>
    <row r="15662" ht="12.75" customHeight="1"/>
    <row r="15663" ht="12.75" customHeight="1"/>
    <row r="15664" ht="12.75" customHeight="1"/>
    <row r="15665" ht="12.75" customHeight="1"/>
    <row r="15666" ht="12.75" customHeight="1"/>
    <row r="15667" ht="12.75" customHeight="1"/>
    <row r="15668" ht="12.75" customHeight="1"/>
    <row r="15669" ht="12.75" customHeight="1"/>
    <row r="15670" ht="12.75" customHeight="1"/>
    <row r="15671" ht="12.75" customHeight="1"/>
    <row r="15672" ht="12.75" customHeight="1"/>
    <row r="15673" ht="12.75" customHeight="1"/>
    <row r="15674" ht="12.75" customHeight="1"/>
    <row r="15675" ht="12.75" customHeight="1"/>
    <row r="15676" ht="12.75" customHeight="1"/>
    <row r="15677" ht="12.75" customHeight="1"/>
    <row r="15678" ht="12.75" customHeight="1"/>
    <row r="15679" ht="12.75" customHeight="1"/>
    <row r="15680" ht="12.75" customHeight="1"/>
    <row r="15681" ht="12.75" customHeight="1"/>
    <row r="15682" ht="12.75" customHeight="1"/>
    <row r="15683" ht="12.75" customHeight="1"/>
    <row r="15684" ht="12.75" customHeight="1"/>
    <row r="15685" ht="12.75" customHeight="1"/>
    <row r="15686" ht="12.75" customHeight="1"/>
    <row r="15687" ht="12.75" customHeight="1"/>
    <row r="15688" ht="12.75" customHeight="1"/>
    <row r="15689" ht="12.75" customHeight="1"/>
    <row r="15690" ht="12.75" customHeight="1"/>
    <row r="15691" ht="12.75" customHeight="1"/>
    <row r="15692" ht="12.75" customHeight="1"/>
    <row r="15693" ht="12.75" customHeight="1"/>
    <row r="15694" ht="12.75" customHeight="1"/>
    <row r="15695" ht="12.75" customHeight="1"/>
    <row r="15696" ht="12.75" customHeight="1"/>
    <row r="15697" ht="12.75" customHeight="1"/>
    <row r="15698" ht="12.75" customHeight="1">
      <c r="R15698" s="74"/>
    </row>
    <row r="15699" ht="12.75" customHeight="1">
      <c r="R15699" s="74"/>
    </row>
    <row r="15700" ht="12.75" customHeight="1">
      <c r="R15700" s="74"/>
    </row>
    <row r="15701" ht="12.75" customHeight="1">
      <c r="R15701" s="74"/>
    </row>
    <row r="15702" ht="12.75" customHeight="1">
      <c r="R15702" s="74"/>
    </row>
    <row r="15703" ht="12.75" customHeight="1">
      <c r="R15703" s="74"/>
    </row>
    <row r="15704" ht="12.75" customHeight="1">
      <c r="R15704" s="74"/>
    </row>
    <row r="15705" ht="12.75" customHeight="1">
      <c r="R15705" s="74"/>
    </row>
    <row r="15706" ht="12.75" customHeight="1">
      <c r="R15706" s="74"/>
    </row>
    <row r="15707" ht="12.75" customHeight="1">
      <c r="R15707" s="74"/>
    </row>
    <row r="15708" ht="12.75" customHeight="1">
      <c r="R15708" s="74"/>
    </row>
    <row r="15709" ht="12.75" customHeight="1"/>
    <row r="15710" ht="12.75" customHeight="1"/>
    <row r="15711" ht="12.75" customHeight="1"/>
    <row r="15712" ht="12.75" customHeight="1"/>
    <row r="15713" ht="12.75" customHeight="1"/>
    <row r="15714" ht="12.75" customHeight="1"/>
    <row r="15715" ht="12.75" customHeight="1">
      <c r="R15715" s="74"/>
    </row>
    <row r="15716" ht="12.75" customHeight="1">
      <c r="R15716" s="74"/>
    </row>
    <row r="15717" ht="12.75" customHeight="1">
      <c r="R15717" s="74"/>
    </row>
    <row r="15718" ht="12.75" customHeight="1">
      <c r="R15718" s="74"/>
    </row>
    <row r="15719" ht="12.75" customHeight="1">
      <c r="R15719" s="74"/>
    </row>
    <row r="15720" ht="12.75" customHeight="1">
      <c r="R15720" s="74"/>
    </row>
    <row r="15721" ht="12.75" customHeight="1">
      <c r="R15721" s="74"/>
    </row>
    <row r="15722" ht="12.75" customHeight="1">
      <c r="R15722" s="74"/>
    </row>
    <row r="15723" ht="12.75" customHeight="1">
      <c r="R15723" s="74"/>
    </row>
    <row r="15724" ht="12.75" customHeight="1">
      <c r="R15724" s="74"/>
    </row>
    <row r="15725" ht="12.75" customHeight="1">
      <c r="R15725" s="74"/>
    </row>
    <row r="15726" ht="12.75" customHeight="1">
      <c r="R15726" s="74"/>
    </row>
    <row r="15727" ht="12.75" customHeight="1"/>
    <row r="15728" ht="12.75" customHeight="1"/>
    <row r="15729" ht="12.75" customHeight="1"/>
    <row r="15730" ht="12.75" customHeight="1"/>
    <row r="15731" ht="12.75" customHeight="1"/>
    <row r="15732" ht="12.75" customHeight="1"/>
    <row r="15733" ht="12.75" customHeight="1"/>
    <row r="15734" ht="12.75" customHeight="1"/>
    <row r="15735" ht="12.75" customHeight="1"/>
    <row r="15736" ht="12.75" customHeight="1"/>
    <row r="15737" ht="12.75" customHeight="1"/>
    <row r="15738" ht="12.75" customHeight="1"/>
    <row r="15739" ht="12.75" customHeight="1"/>
    <row r="15740" ht="12.75" customHeight="1"/>
    <row r="15741" ht="12.75" customHeight="1"/>
    <row r="15742" ht="12.75" customHeight="1"/>
    <row r="15743" ht="12.75" customHeight="1"/>
    <row r="15744" ht="12.75" customHeight="1"/>
    <row r="15745" ht="12.75" customHeight="1"/>
    <row r="15746" ht="12.75" customHeight="1"/>
    <row r="15747" ht="12.75" customHeight="1"/>
    <row r="15748" ht="12.75" customHeight="1"/>
    <row r="15749" ht="12.75" customHeight="1"/>
    <row r="15750" ht="12.75" customHeight="1"/>
    <row r="15751" ht="12.75" customHeight="1"/>
    <row r="15752" ht="12.75" customHeight="1"/>
    <row r="15753" ht="12.75" customHeight="1"/>
    <row r="15754" ht="12.75" customHeight="1"/>
    <row r="15755" ht="12.75" customHeight="1"/>
    <row r="15756" ht="12.75" customHeight="1"/>
    <row r="15757" ht="12.75" customHeight="1"/>
    <row r="15758" ht="12.75" customHeight="1"/>
    <row r="15759" ht="12.75" customHeight="1">
      <c r="R15759" s="74"/>
    </row>
    <row r="15760" ht="12.75" customHeight="1">
      <c r="R15760" s="74"/>
    </row>
    <row r="15761" ht="12.75" customHeight="1">
      <c r="R15761" s="74"/>
    </row>
    <row r="15762" ht="12.75" customHeight="1">
      <c r="R15762" s="74"/>
    </row>
    <row r="15763" ht="12.75" customHeight="1">
      <c r="R15763" s="74"/>
    </row>
    <row r="15764" ht="12.75" customHeight="1">
      <c r="R15764" s="74"/>
    </row>
    <row r="15765" ht="12.75" customHeight="1"/>
    <row r="15766" ht="12.75" customHeight="1"/>
    <row r="15767" ht="12.75" customHeight="1"/>
    <row r="15768" ht="12.75" customHeight="1"/>
    <row r="15769" ht="12.75" customHeight="1"/>
    <row r="15770" ht="12.75" customHeight="1"/>
    <row r="15771" ht="12.75" customHeight="1">
      <c r="R15771" s="74"/>
    </row>
    <row r="15772" ht="12.75" customHeight="1">
      <c r="R15772" s="74"/>
    </row>
    <row r="15773" ht="12.75" customHeight="1">
      <c r="R15773" s="74"/>
    </row>
    <row r="15774" ht="12.75" customHeight="1">
      <c r="R15774" s="74"/>
    </row>
    <row r="15775" ht="12.75" customHeight="1">
      <c r="R15775" s="74"/>
    </row>
    <row r="15776" ht="12.75" customHeight="1">
      <c r="R15776" s="74"/>
    </row>
    <row r="15777" ht="12.75" customHeight="1"/>
    <row r="15778" ht="12.75" customHeight="1"/>
    <row r="15779" ht="12.75" customHeight="1"/>
    <row r="15780" ht="12.75" customHeight="1"/>
    <row r="15781" ht="12.75" customHeight="1"/>
    <row r="15782" ht="12.75" customHeight="1"/>
    <row r="15783" ht="12.75" customHeight="1"/>
    <row r="15784" ht="12.75" customHeight="1"/>
    <row r="15785" ht="12.75" customHeight="1"/>
    <row r="15786" ht="12.75" customHeight="1"/>
    <row r="15787" ht="12.75" customHeight="1"/>
    <row r="15788" ht="12.75" customHeight="1"/>
    <row r="15789" ht="12.75" customHeight="1">
      <c r="R15789" s="74"/>
    </row>
    <row r="15790" ht="12.75" customHeight="1">
      <c r="R15790" s="74"/>
    </row>
    <row r="15791" ht="12.75" customHeight="1">
      <c r="R15791" s="74"/>
    </row>
    <row r="15792" ht="12.75" customHeight="1">
      <c r="R15792" s="74"/>
    </row>
    <row r="15793" ht="12.75" customHeight="1">
      <c r="R15793" s="74"/>
    </row>
    <row r="15794" ht="12.75" customHeight="1">
      <c r="R15794" s="74"/>
    </row>
    <row r="15795" ht="12.75" customHeight="1"/>
    <row r="15796" ht="12.75" customHeight="1"/>
    <row r="15797" ht="12.75" customHeight="1"/>
    <row r="15798" ht="12.75" customHeight="1"/>
    <row r="15799" ht="12.75" customHeight="1"/>
    <row r="15800" ht="12.75" customHeight="1"/>
    <row r="15801" ht="12.75" customHeight="1"/>
    <row r="15802" ht="12.75" customHeight="1"/>
    <row r="15803" ht="12.75" customHeight="1"/>
    <row r="15804" ht="12.75" customHeight="1"/>
    <row r="15805" ht="12.75" customHeight="1"/>
    <row r="15806" ht="12.75" customHeight="1">
      <c r="R15806" s="74"/>
    </row>
    <row r="15807" ht="12.75" customHeight="1">
      <c r="R15807" s="74"/>
    </row>
    <row r="15808" ht="12.75" customHeight="1">
      <c r="R15808" s="74"/>
    </row>
    <row r="15809" ht="12.75" customHeight="1"/>
    <row r="15810" ht="12.75" customHeight="1"/>
    <row r="15811" ht="12.75" customHeight="1"/>
    <row r="15812" ht="12.75" customHeight="1"/>
    <row r="15813" ht="12.75" customHeight="1"/>
    <row r="15814" ht="12.75" customHeight="1"/>
    <row r="15815" ht="12.75" customHeight="1"/>
    <row r="15816" ht="12.75" customHeight="1"/>
    <row r="15817" ht="12.75" customHeight="1"/>
    <row r="15818" ht="12.75" customHeight="1"/>
    <row r="15819" ht="12.75" customHeight="1"/>
    <row r="15820" ht="12.75" customHeight="1"/>
    <row r="15821" ht="12.75" customHeight="1"/>
    <row r="15822" ht="12.75" customHeight="1"/>
    <row r="15823" ht="12.75" customHeight="1">
      <c r="R15823" s="74"/>
    </row>
    <row r="15824" ht="12.75" customHeight="1">
      <c r="R15824" s="74"/>
    </row>
    <row r="15825" ht="12.75" customHeight="1">
      <c r="R15825" s="74"/>
    </row>
    <row r="15826" ht="12.75" customHeight="1">
      <c r="R15826" s="74"/>
    </row>
    <row r="15827" ht="12.75" customHeight="1">
      <c r="R15827" s="74"/>
    </row>
    <row r="15828" ht="12.75" customHeight="1">
      <c r="R15828" s="74"/>
    </row>
    <row r="15829" ht="12.75" customHeight="1">
      <c r="R15829" s="74"/>
    </row>
    <row r="15830" ht="12.75" customHeight="1">
      <c r="R15830" s="74"/>
    </row>
    <row r="15831" ht="12.75" customHeight="1">
      <c r="R15831" s="74"/>
    </row>
    <row r="15832" ht="12.75" customHeight="1">
      <c r="R15832" s="74"/>
    </row>
    <row r="15833" ht="12.75" customHeight="1">
      <c r="R15833" s="74"/>
    </row>
    <row r="15834" ht="12.75" customHeight="1"/>
    <row r="15835" ht="12.75" customHeight="1"/>
    <row r="15836" ht="12.75" customHeight="1"/>
    <row r="15837" ht="12.75" customHeight="1"/>
    <row r="15838" ht="12.75" customHeight="1">
      <c r="R15838" s="74"/>
    </row>
    <row r="15839" ht="12.75" customHeight="1">
      <c r="R15839" s="74"/>
    </row>
    <row r="15840" ht="12.75" customHeight="1">
      <c r="R15840" s="74"/>
    </row>
    <row r="15841" ht="12.75" customHeight="1"/>
    <row r="15842" ht="12.75" customHeight="1"/>
    <row r="15843" ht="12.75" customHeight="1"/>
    <row r="15844" ht="12.75" customHeight="1"/>
    <row r="15845" ht="12.75" customHeight="1"/>
    <row r="15846" ht="12.75" customHeight="1"/>
    <row r="15847" ht="12.75" customHeight="1"/>
    <row r="15848" ht="12.75" customHeight="1"/>
    <row r="15849" ht="12.75" customHeight="1"/>
    <row r="15850" ht="12.75" customHeight="1"/>
    <row r="15851" ht="12.75" customHeight="1"/>
    <row r="15852" ht="12.75" customHeight="1"/>
    <row r="15853" ht="12.75" customHeight="1"/>
    <row r="15854" ht="12.75" customHeight="1"/>
    <row r="15855" ht="12.75" customHeight="1"/>
    <row r="15856" ht="12.75" customHeight="1"/>
    <row r="15857" ht="12.75" customHeight="1">
      <c r="R15857" s="74"/>
    </row>
    <row r="15858" ht="12.75" customHeight="1">
      <c r="R15858" s="74"/>
    </row>
    <row r="15859" ht="12.75" customHeight="1">
      <c r="R15859" s="74"/>
    </row>
    <row r="15860" ht="12.75" customHeight="1">
      <c r="R15860" s="74"/>
    </row>
    <row r="15861" ht="12.75" customHeight="1">
      <c r="R15861" s="74"/>
    </row>
    <row r="15862" ht="12.75" customHeight="1">
      <c r="R15862" s="74"/>
    </row>
    <row r="15863" ht="12.75" customHeight="1"/>
    <row r="15864" ht="12.75" customHeight="1"/>
    <row r="15865" ht="12.75" customHeight="1"/>
    <row r="15866" ht="12.75" customHeight="1"/>
    <row r="15867" ht="12.75" customHeight="1"/>
    <row r="15868" ht="12.75" customHeight="1"/>
    <row r="15869" ht="12.75" customHeight="1"/>
    <row r="15870" ht="12.75" customHeight="1"/>
    <row r="15871" ht="12.75" customHeight="1"/>
    <row r="15872" ht="12.75" customHeight="1"/>
    <row r="15873" ht="12.75" customHeight="1"/>
    <row r="15874" ht="12.75" customHeight="1"/>
    <row r="15875" ht="12.75" customHeight="1"/>
    <row r="15876" ht="12.75" customHeight="1"/>
    <row r="15877" ht="12.75" customHeight="1"/>
    <row r="15878" ht="12.75" customHeight="1"/>
    <row r="15879" ht="12.75" customHeight="1"/>
    <row r="15880" ht="12.75" customHeight="1"/>
    <row r="15881" ht="12.75" customHeight="1"/>
    <row r="15882" ht="12.75" customHeight="1"/>
    <row r="15883" ht="12.75" customHeight="1"/>
    <row r="15884" ht="12.75" customHeight="1"/>
    <row r="15885" ht="12.75" customHeight="1"/>
    <row r="15886" ht="12.75" customHeight="1"/>
    <row r="15887" ht="12.75" customHeight="1"/>
    <row r="15888" ht="12.75" customHeight="1"/>
    <row r="15889" ht="12.75" customHeight="1"/>
    <row r="15890" ht="12.75" customHeight="1"/>
    <row r="15891" ht="12.75" customHeight="1"/>
    <row r="15892" ht="12.75" customHeight="1"/>
    <row r="15893" ht="12.75" customHeight="1"/>
    <row r="15894" ht="12.75" customHeight="1"/>
    <row r="15895" ht="12.75" customHeight="1"/>
    <row r="15896" ht="12.75" customHeight="1"/>
    <row r="15897" ht="12.75" customHeight="1"/>
    <row r="15898" ht="12.75" customHeight="1"/>
    <row r="15899" ht="12.75" customHeight="1"/>
    <row r="15900" ht="12.75" customHeight="1"/>
    <row r="15901" ht="12.75" customHeight="1"/>
    <row r="15902" ht="12.75" customHeight="1"/>
    <row r="15903" ht="12.75" customHeight="1"/>
    <row r="15904" ht="12.75" customHeight="1"/>
    <row r="15905" ht="12.75" customHeight="1"/>
    <row r="15906" ht="12.75" customHeight="1"/>
    <row r="15907" ht="12.75" customHeight="1"/>
    <row r="15908" ht="12.75" customHeight="1"/>
    <row r="15909" ht="12.75" customHeight="1"/>
    <row r="15910" ht="12.75" customHeight="1"/>
    <row r="15911" ht="12.75" customHeight="1"/>
    <row r="15912" ht="12.75" customHeight="1"/>
    <row r="15913" ht="12.75" customHeight="1"/>
    <row r="15914" ht="12.75" customHeight="1"/>
    <row r="15915" ht="12.75" customHeight="1"/>
    <row r="15916" ht="12.75" customHeight="1"/>
    <row r="15917" ht="12.75" customHeight="1"/>
    <row r="15918" ht="12.75" customHeight="1"/>
    <row r="15919" ht="12.75" customHeight="1"/>
    <row r="15920" ht="12.75" customHeight="1"/>
    <row r="15921" ht="12.75" customHeight="1"/>
    <row r="15922" ht="12.75" customHeight="1"/>
    <row r="15923" ht="12.75" customHeight="1"/>
    <row r="15924" ht="12.75" customHeight="1"/>
    <row r="15925" ht="12.75" customHeight="1"/>
    <row r="15926" ht="12.75" customHeight="1"/>
    <row r="15927" ht="12.75" customHeight="1"/>
    <row r="15928" ht="12.75" customHeight="1"/>
    <row r="15929" ht="12.75" customHeight="1"/>
    <row r="15930" ht="12.75" customHeight="1"/>
    <row r="15931" ht="12.75" customHeight="1"/>
    <row r="15932" ht="12.75" customHeight="1"/>
    <row r="15933" ht="12.75" customHeight="1"/>
    <row r="15934" ht="12.75" customHeight="1"/>
    <row r="15935" ht="12.75" customHeight="1"/>
    <row r="15936" ht="12.75" customHeight="1">
      <c r="R15936" s="74"/>
    </row>
    <row r="15937" ht="12.75" customHeight="1">
      <c r="R15937" s="74"/>
    </row>
    <row r="15938" ht="12.75" customHeight="1">
      <c r="R15938" s="74"/>
    </row>
    <row r="15939" ht="12.75" customHeight="1">
      <c r="R15939" s="74"/>
    </row>
    <row r="15940" ht="12.75" customHeight="1">
      <c r="R15940" s="74"/>
    </row>
    <row r="15941" ht="12.75" customHeight="1">
      <c r="R15941" s="74"/>
    </row>
    <row r="15942" ht="12.75" customHeight="1">
      <c r="R15942" s="74"/>
    </row>
    <row r="15943" ht="12.75" customHeight="1">
      <c r="R15943" s="74"/>
    </row>
    <row r="15944" ht="12.75" customHeight="1">
      <c r="R15944" s="74"/>
    </row>
    <row r="15945" ht="12.75" customHeight="1">
      <c r="R15945" s="74"/>
    </row>
    <row r="15946" ht="12.75" customHeight="1">
      <c r="R15946" s="74"/>
    </row>
    <row r="15947" ht="12.75" customHeight="1">
      <c r="R15947" s="74"/>
    </row>
    <row r="15948" ht="12.75" customHeight="1"/>
    <row r="15949" ht="12.75" customHeight="1"/>
    <row r="15950" ht="12.75" customHeight="1"/>
    <row r="15951" ht="12.75" customHeight="1"/>
    <row r="15952" ht="12.75" customHeight="1"/>
    <row r="15953" ht="12.75" customHeight="1"/>
    <row r="15954" ht="12.75" customHeight="1"/>
    <row r="15955" ht="12.75" customHeight="1"/>
    <row r="15956" ht="12.75" customHeight="1"/>
    <row r="15957" ht="12.75" customHeight="1"/>
    <row r="15958" ht="12.75" customHeight="1"/>
    <row r="15959" ht="12.75" customHeight="1"/>
    <row r="15960" ht="12.75" customHeight="1"/>
    <row r="15961" ht="12.75" customHeight="1"/>
    <row r="15962" ht="12.75" customHeight="1"/>
    <row r="15963" ht="12.75" customHeight="1"/>
    <row r="15964" ht="12.75" customHeight="1"/>
    <row r="15965" ht="12.75" customHeight="1"/>
    <row r="15966" ht="12.75" customHeight="1"/>
    <row r="15967" ht="12.75" customHeight="1"/>
    <row r="15968" ht="12.75" customHeight="1"/>
    <row r="15969" ht="12.75" customHeight="1"/>
    <row r="15970" ht="12.75" customHeight="1"/>
    <row r="15971" ht="12.75" customHeight="1"/>
    <row r="15972" ht="12.75" customHeight="1"/>
    <row r="15973" ht="12.75" customHeight="1"/>
    <row r="15974" ht="12.75" customHeight="1"/>
    <row r="15975" ht="12.75" customHeight="1"/>
    <row r="15976" ht="12.75" customHeight="1"/>
    <row r="15977" ht="12.75" customHeight="1"/>
    <row r="15978" ht="12.75" customHeight="1"/>
    <row r="15979" ht="12.75" customHeight="1"/>
    <row r="15980" ht="12.75" customHeight="1"/>
    <row r="15981" ht="12.75" customHeight="1"/>
    <row r="15982" ht="12.75" customHeight="1"/>
    <row r="15983" ht="12.75" customHeight="1"/>
    <row r="15984" ht="12.75" customHeight="1"/>
    <row r="15985" ht="12.75" customHeight="1"/>
    <row r="15986" ht="12.75" customHeight="1"/>
    <row r="15987" ht="12.75" customHeight="1"/>
    <row r="15988" ht="12.75" customHeight="1"/>
    <row r="15989" ht="12.75" customHeight="1"/>
    <row r="15990" ht="12.75" customHeight="1"/>
    <row r="15991" ht="12.75" customHeight="1"/>
    <row r="15992" ht="12.75" customHeight="1"/>
    <row r="15993" ht="12.75" customHeight="1"/>
    <row r="15994" ht="12.75" customHeight="1"/>
    <row r="15995" ht="12.75" customHeight="1"/>
    <row r="15996" ht="12.75" customHeight="1"/>
    <row r="15997" ht="12.75" customHeight="1"/>
    <row r="15998" ht="12.75" customHeight="1"/>
    <row r="15999" ht="12.75" customHeight="1"/>
    <row r="16000" ht="12.75" customHeight="1"/>
    <row r="16001" ht="12.75" customHeight="1"/>
    <row r="16002" ht="12.75" customHeight="1"/>
    <row r="16003" ht="12.75" customHeight="1"/>
    <row r="16004" ht="12.75" customHeight="1"/>
    <row r="16005" ht="12.75" customHeight="1"/>
    <row r="16006" ht="12.75" customHeight="1"/>
    <row r="16007" ht="12.75" customHeight="1"/>
    <row r="16008" ht="12.75" customHeight="1"/>
    <row r="16009" ht="12.75" customHeight="1"/>
    <row r="16010" ht="12.75" customHeight="1"/>
    <row r="16011" ht="12.75" customHeight="1"/>
    <row r="16012" ht="12.75" customHeight="1"/>
    <row r="16013" ht="12.75" customHeight="1"/>
    <row r="16014" ht="12.75" customHeight="1"/>
    <row r="16015" ht="12.75" customHeight="1"/>
    <row r="16016" ht="12.75" customHeight="1"/>
    <row r="16017" ht="12.75" customHeight="1"/>
    <row r="16018" ht="12.75" customHeight="1"/>
    <row r="16019" ht="12.75" customHeight="1"/>
    <row r="16020" ht="12.75" customHeight="1"/>
    <row r="16021" ht="12.75" customHeight="1"/>
    <row r="16022" ht="12.75" customHeight="1"/>
    <row r="16023" ht="12.75" customHeight="1"/>
    <row r="16024" ht="12.75" customHeight="1"/>
    <row r="16025" ht="12.75" customHeight="1"/>
    <row r="16026" ht="12.75" customHeight="1"/>
    <row r="16027" ht="12.75" customHeight="1"/>
    <row r="16028" ht="12.75" customHeight="1"/>
    <row r="16029" ht="12.75" customHeight="1"/>
    <row r="16030" ht="12.75" customHeight="1"/>
    <row r="16031" ht="12.75" customHeight="1"/>
    <row r="16032" ht="12.75" customHeight="1"/>
    <row r="16033" ht="12.75" customHeight="1"/>
    <row r="16034" ht="12.75" customHeight="1"/>
    <row r="16035" ht="12.75" customHeight="1"/>
    <row r="16036" ht="12.75" customHeight="1"/>
    <row r="16037" ht="12.75" customHeight="1"/>
    <row r="16038" ht="12.75" customHeight="1">
      <c r="R16038" s="74"/>
    </row>
    <row r="16039" ht="12.75" customHeight="1">
      <c r="R16039" s="74"/>
    </row>
    <row r="16040" ht="12.75" customHeight="1">
      <c r="R16040" s="74"/>
    </row>
    <row r="16041" ht="12.75" customHeight="1">
      <c r="R16041" s="74"/>
    </row>
    <row r="16042" ht="12.75" customHeight="1">
      <c r="R16042" s="74"/>
    </row>
    <row r="16043" ht="12.75" customHeight="1">
      <c r="R16043" s="74"/>
    </row>
    <row r="16044" ht="12.75" customHeight="1"/>
    <row r="16045" ht="12.75" customHeight="1"/>
    <row r="16046" ht="12.75" customHeight="1"/>
    <row r="16047" ht="12.75" customHeight="1"/>
    <row r="16048" ht="12.75" customHeight="1"/>
    <row r="16049" ht="12.75" customHeight="1"/>
    <row r="16050" ht="12.75" customHeight="1"/>
    <row r="16051" ht="12.75" customHeight="1"/>
    <row r="16052" ht="12.75" customHeight="1"/>
    <row r="16053" ht="12.75" customHeight="1"/>
    <row r="16054" ht="12.75" customHeight="1"/>
    <row r="16055" ht="12.75" customHeight="1"/>
    <row r="16056" ht="12.75" customHeight="1"/>
    <row r="16057" ht="12.75" customHeight="1"/>
    <row r="16058" ht="12.75" customHeight="1"/>
    <row r="16059" ht="12.75" customHeight="1"/>
    <row r="16060" ht="12.75" customHeight="1">
      <c r="R16060" s="74"/>
    </row>
    <row r="16061" ht="12.75" customHeight="1">
      <c r="R16061" s="74"/>
    </row>
    <row r="16062" ht="12.75" customHeight="1">
      <c r="R16062" s="74"/>
    </row>
    <row r="16063" ht="12.75" customHeight="1">
      <c r="R16063" s="74"/>
    </row>
    <row r="16064" ht="12.75" customHeight="1">
      <c r="R16064" s="74"/>
    </row>
    <row r="16065" ht="12.75" customHeight="1">
      <c r="R16065" s="74"/>
    </row>
    <row r="16066" ht="12.75" customHeight="1"/>
    <row r="16067" ht="12.75" customHeight="1"/>
    <row r="16068" ht="12.75" customHeight="1"/>
    <row r="16069" ht="12.75" customHeight="1"/>
    <row r="16070" ht="12.75" customHeight="1"/>
    <row r="16071" ht="12.75" customHeight="1"/>
    <row r="16072" ht="12.75" customHeight="1"/>
    <row r="16073" ht="12.75" customHeight="1"/>
    <row r="16074" ht="12.75" customHeight="1"/>
    <row r="16075" ht="12.75" customHeight="1"/>
    <row r="16076" ht="12.75" customHeight="1"/>
    <row r="16077" ht="12.75" customHeight="1"/>
    <row r="16078" ht="12.75" customHeight="1"/>
    <row r="16079" ht="12.75" customHeight="1"/>
    <row r="16080" ht="12.75" customHeight="1"/>
    <row r="16081" ht="12.75" customHeight="1"/>
    <row r="16082" ht="12.75" customHeight="1"/>
    <row r="16083" ht="12.75" customHeight="1"/>
    <row r="16084" ht="12.75" customHeight="1"/>
    <row r="16085" ht="12.75" customHeight="1"/>
    <row r="16086" ht="12.75" customHeight="1"/>
    <row r="16087" ht="12.75" customHeight="1"/>
    <row r="16088" ht="12.75" customHeight="1"/>
    <row r="16089" ht="12.75" customHeight="1"/>
    <row r="16090" ht="12.75" customHeight="1"/>
    <row r="16091" ht="12.75" customHeight="1"/>
    <row r="16092" ht="12.75" customHeight="1"/>
    <row r="16093" ht="12.75" customHeight="1"/>
    <row r="16094" ht="12.75" customHeight="1"/>
    <row r="16095" ht="12.75" customHeight="1"/>
    <row r="16096" ht="12.75" customHeight="1"/>
    <row r="16097" ht="12.75" customHeight="1"/>
    <row r="16098" ht="12.75" customHeight="1"/>
    <row r="16099" ht="12.75" customHeight="1"/>
    <row r="16100" ht="12.75" customHeight="1"/>
    <row r="16101" ht="12.75" customHeight="1"/>
    <row r="16102" ht="12.75" customHeight="1"/>
    <row r="16103" ht="12.75" customHeight="1"/>
    <row r="16104" ht="12.75" customHeight="1"/>
    <row r="16105" ht="12.75" customHeight="1"/>
    <row r="16106" ht="12.75" customHeight="1"/>
    <row r="16107" ht="12.75" customHeight="1"/>
    <row r="16108" ht="12.75" customHeight="1"/>
    <row r="16109" ht="12.75" customHeight="1"/>
    <row r="16110" ht="12.75" customHeight="1"/>
    <row r="16111" ht="12.75" customHeight="1"/>
    <row r="16112" ht="12.75" customHeight="1"/>
    <row r="16113" ht="12.75" customHeight="1"/>
    <row r="16114" ht="12.75" customHeight="1"/>
    <row r="16115" ht="12.75" customHeight="1"/>
    <row r="16116" ht="12.75" customHeight="1"/>
    <row r="16117" ht="12.75" customHeight="1"/>
    <row r="16118" ht="12.75" customHeight="1"/>
    <row r="16119" ht="12.75" customHeight="1"/>
    <row r="16120" ht="12.75" customHeight="1"/>
    <row r="16121" ht="12.75" customHeight="1"/>
    <row r="16122" ht="12.75" customHeight="1"/>
    <row r="16123" ht="12.75" customHeight="1"/>
    <row r="16124" ht="12.75" customHeight="1"/>
    <row r="16125" ht="12.75" customHeight="1"/>
    <row r="16126" ht="12.75" customHeight="1">
      <c r="R16126" s="74"/>
    </row>
    <row r="16127" ht="12.75" customHeight="1">
      <c r="R16127" s="74"/>
    </row>
    <row r="16128" ht="12.75" customHeight="1">
      <c r="R16128" s="74"/>
    </row>
    <row r="16129" ht="12.75" customHeight="1">
      <c r="R16129" s="74"/>
    </row>
    <row r="16130" ht="12.75" customHeight="1">
      <c r="R16130" s="74"/>
    </row>
    <row r="16131" ht="12.75" customHeight="1"/>
    <row r="16132" ht="12.75" customHeight="1">
      <c r="R16132" s="74"/>
    </row>
    <row r="16133" ht="12.75" customHeight="1"/>
    <row r="16134" ht="12.75" customHeight="1"/>
    <row r="16135" ht="12.75" customHeight="1"/>
    <row r="16136" ht="12.75" customHeight="1"/>
    <row r="16137" ht="12.75" customHeight="1"/>
    <row r="16138" ht="12.75" customHeight="1"/>
    <row r="16139" ht="12.75" customHeight="1">
      <c r="R16139" s="74"/>
    </row>
    <row r="16140" ht="12.75" customHeight="1">
      <c r="R16140" s="74"/>
    </row>
    <row r="16141" ht="12.75" customHeight="1">
      <c r="R16141" s="74"/>
    </row>
    <row r="16142" ht="12.75" customHeight="1">
      <c r="R16142" s="74"/>
    </row>
    <row r="16143" ht="12.75" customHeight="1">
      <c r="R16143" s="74"/>
    </row>
    <row r="16144" ht="12.75" customHeight="1">
      <c r="R16144" s="74"/>
    </row>
    <row r="16145" ht="12.75" customHeight="1"/>
    <row r="16146" ht="12.75" customHeight="1"/>
    <row r="16147" ht="12.75" customHeight="1"/>
    <row r="16148" ht="12.75" customHeight="1"/>
    <row r="16149" ht="12.75" customHeight="1"/>
    <row r="16150" ht="12.75" customHeight="1"/>
    <row r="16151" ht="12.75" customHeight="1"/>
    <row r="16152" ht="12.75" customHeight="1"/>
    <row r="16153" ht="12.75" customHeight="1">
      <c r="R16153" s="74"/>
    </row>
    <row r="16154" ht="12.75" customHeight="1">
      <c r="R16154" s="74"/>
    </row>
    <row r="16155" ht="12.75" customHeight="1">
      <c r="R16155" s="74"/>
    </row>
    <row r="16156" ht="12.75" customHeight="1">
      <c r="R16156" s="74"/>
    </row>
    <row r="16157" ht="12.75" customHeight="1">
      <c r="R16157" s="74"/>
    </row>
    <row r="16158" ht="12.75" customHeight="1">
      <c r="R16158" s="74"/>
    </row>
    <row r="16159" ht="12.75" customHeight="1"/>
    <row r="16160" ht="12.75" customHeight="1"/>
    <row r="16161" ht="12.75" customHeight="1"/>
    <row r="16162" ht="12.75" customHeight="1"/>
    <row r="16163" ht="12.75" customHeight="1"/>
    <row r="16164" ht="12.75" customHeight="1"/>
    <row r="16165" ht="12.75" customHeight="1"/>
    <row r="16166" ht="12.75" customHeight="1"/>
    <row r="16167" ht="12.75" customHeight="1"/>
    <row r="16168" ht="12.75" customHeight="1"/>
    <row r="16169" ht="12.75" customHeight="1"/>
    <row r="16170" ht="12.75" customHeight="1"/>
    <row r="16171" ht="12.75" customHeight="1">
      <c r="R16171" s="74"/>
    </row>
    <row r="16172" ht="12.75" customHeight="1">
      <c r="R16172" s="74"/>
    </row>
    <row r="16173" ht="12.75" customHeight="1">
      <c r="R16173" s="74"/>
    </row>
    <row r="16174" ht="12.75" customHeight="1">
      <c r="R16174" s="74"/>
    </row>
    <row r="16175" ht="12.75" customHeight="1">
      <c r="R16175" s="74"/>
    </row>
    <row r="16176" ht="12.75" customHeight="1">
      <c r="R16176" s="74"/>
    </row>
    <row r="16177" ht="12.75" customHeight="1"/>
    <row r="16178" ht="12.75" customHeight="1"/>
    <row r="16179" ht="12.75" customHeight="1"/>
    <row r="16180" ht="12.75" customHeight="1"/>
    <row r="16181" ht="12.75" customHeight="1"/>
    <row r="16182" ht="12.75" customHeight="1"/>
    <row r="16183" ht="12.75" customHeight="1">
      <c r="R16183" s="74"/>
    </row>
    <row r="16184" ht="12.75" customHeight="1">
      <c r="R16184" s="74"/>
    </row>
    <row r="16185" ht="12.75" customHeight="1">
      <c r="R16185" s="74"/>
    </row>
    <row r="16186" ht="12.75" customHeight="1">
      <c r="R16186" s="74"/>
    </row>
    <row r="16187" ht="12.75" customHeight="1">
      <c r="R16187" s="74"/>
    </row>
    <row r="16188" ht="12.75" customHeight="1">
      <c r="R16188" s="74"/>
    </row>
    <row r="16189" ht="12.75" customHeight="1">
      <c r="R16189" s="74"/>
    </row>
    <row r="16190" ht="12.75" customHeight="1">
      <c r="R16190" s="74"/>
    </row>
    <row r="16191" ht="12.75" customHeight="1">
      <c r="R16191" s="74"/>
    </row>
    <row r="16192" ht="12.75" customHeight="1">
      <c r="R16192" s="74"/>
    </row>
    <row r="16193" ht="12.75" customHeight="1">
      <c r="R16193" s="74"/>
    </row>
    <row r="16194" ht="12.75" customHeight="1">
      <c r="R16194" s="74"/>
    </row>
    <row r="16195" ht="12.75" customHeight="1">
      <c r="R16195" s="74"/>
    </row>
    <row r="16196" ht="12.75" customHeight="1">
      <c r="R16196" s="74"/>
    </row>
    <row r="16197" ht="12.75" customHeight="1">
      <c r="R16197" s="74"/>
    </row>
    <row r="16198" ht="12.75" customHeight="1">
      <c r="R16198" s="74"/>
    </row>
    <row r="16199" ht="12.75" customHeight="1">
      <c r="R16199" s="74"/>
    </row>
    <row r="16200" ht="12.75" customHeight="1">
      <c r="R16200" s="74"/>
    </row>
    <row r="16201" ht="12.75" customHeight="1"/>
    <row r="16202" ht="12.75" customHeight="1"/>
    <row r="16203" ht="12.75" customHeight="1"/>
    <row r="16204" ht="12.75" customHeight="1"/>
    <row r="16205" ht="12.75" customHeight="1"/>
    <row r="16206" ht="12.75" customHeight="1"/>
    <row r="16207" ht="12.75" customHeight="1">
      <c r="R16207" s="74"/>
    </row>
    <row r="16208" ht="12.75" customHeight="1">
      <c r="R16208" s="74"/>
    </row>
    <row r="16209" ht="12.75" customHeight="1">
      <c r="R16209" s="74"/>
    </row>
    <row r="16210" ht="12.75" customHeight="1">
      <c r="R16210" s="74"/>
    </row>
    <row r="16211" ht="12.75" customHeight="1">
      <c r="R16211" s="74"/>
    </row>
    <row r="16212" ht="12.75" customHeight="1">
      <c r="R16212" s="74"/>
    </row>
    <row r="16213" ht="12.75" customHeight="1"/>
    <row r="16214" ht="12.75" customHeight="1"/>
    <row r="16215" ht="12.75" customHeight="1"/>
    <row r="16216" ht="12.75" customHeight="1"/>
    <row r="16217" ht="12.75" customHeight="1"/>
    <row r="16218" ht="12.75" customHeight="1"/>
    <row r="16219" ht="12.75" customHeight="1"/>
    <row r="16220" ht="12.75" customHeight="1"/>
    <row r="16221" ht="12.75" customHeight="1"/>
    <row r="16222" ht="12.75" customHeight="1"/>
    <row r="16223" ht="12.75" customHeight="1"/>
    <row r="16224" ht="12.75" customHeight="1"/>
    <row r="16225" ht="12.75" customHeight="1">
      <c r="R16225" s="74"/>
    </row>
    <row r="16226" ht="12.75" customHeight="1">
      <c r="R16226" s="74"/>
    </row>
    <row r="16227" ht="12.75" customHeight="1">
      <c r="R16227" s="74"/>
    </row>
    <row r="16228" ht="12.75" customHeight="1">
      <c r="R16228" s="74"/>
    </row>
    <row r="16229" ht="12.75" customHeight="1">
      <c r="R16229" s="74"/>
    </row>
    <row r="16230" ht="12.75" customHeight="1">
      <c r="R16230" s="74"/>
    </row>
    <row r="16231" ht="12.75" customHeight="1">
      <c r="R16231" s="74"/>
    </row>
    <row r="16232" ht="12.75" customHeight="1">
      <c r="R16232" s="74"/>
    </row>
    <row r="16233" ht="12.75" customHeight="1">
      <c r="R16233" s="74"/>
    </row>
    <row r="16234" ht="12.75" customHeight="1">
      <c r="R16234" s="74"/>
    </row>
    <row r="16235" ht="12.75" customHeight="1">
      <c r="R16235" s="74"/>
    </row>
    <row r="16236" ht="12.75" customHeight="1">
      <c r="R16236" s="74"/>
    </row>
    <row r="16237" ht="12.75" customHeight="1"/>
    <row r="16238" ht="12.75" customHeight="1"/>
    <row r="16239" ht="12.75" customHeight="1"/>
    <row r="16240" ht="12.75" customHeight="1"/>
    <row r="16241" ht="12.75" customHeight="1"/>
    <row r="16242" ht="12.75" customHeight="1"/>
    <row r="16243" ht="12.75" customHeight="1"/>
    <row r="16244" ht="12.75" customHeight="1"/>
    <row r="16245" ht="12.75" customHeight="1"/>
    <row r="16246" ht="12.75" customHeight="1"/>
    <row r="16247" ht="12.75" customHeight="1"/>
    <row r="16248" ht="12.75" customHeight="1"/>
    <row r="16249" ht="12.75" customHeight="1"/>
    <row r="16250" ht="12.75" customHeight="1"/>
    <row r="16251" ht="12.75" customHeight="1"/>
    <row r="16252" ht="12.75" customHeight="1"/>
    <row r="16253" ht="12.75" customHeight="1"/>
    <row r="16254" ht="12.75" customHeight="1"/>
    <row r="16255" ht="12.75" customHeight="1"/>
    <row r="16256" ht="12.75" customHeight="1"/>
    <row r="16257" ht="12.75" customHeight="1"/>
    <row r="16258" ht="12.75" customHeight="1"/>
    <row r="16259" ht="12.75" customHeight="1"/>
    <row r="16260" ht="12.75" customHeight="1"/>
    <row r="16261" ht="12.75" customHeight="1"/>
    <row r="16262" ht="12.75" customHeight="1"/>
    <row r="16263" ht="12.75" customHeight="1"/>
    <row r="16264" ht="12.75" customHeight="1"/>
    <row r="16265" ht="12.75" customHeight="1"/>
    <row r="16266" ht="12.75" customHeight="1"/>
    <row r="16267" ht="12.75" customHeight="1"/>
    <row r="16268" ht="12.75" customHeight="1"/>
    <row r="16269" ht="12.75" customHeight="1"/>
    <row r="16270" ht="12.75" customHeight="1"/>
    <row r="16271" ht="12.75" customHeight="1"/>
    <row r="16272" ht="12.75" customHeight="1"/>
    <row r="16273" ht="12.75" customHeight="1"/>
    <row r="16274" ht="12.75" customHeight="1"/>
    <row r="16275" ht="12.75" customHeight="1">
      <c r="R16275" s="74"/>
    </row>
    <row r="16276" ht="12.75" customHeight="1">
      <c r="R16276" s="74"/>
    </row>
    <row r="16277" ht="12.75" customHeight="1">
      <c r="R16277" s="74"/>
    </row>
    <row r="16278" ht="12.75" customHeight="1">
      <c r="R16278" s="74"/>
    </row>
    <row r="16279" ht="12.75" customHeight="1">
      <c r="R16279" s="74"/>
    </row>
    <row r="16280" ht="12.75" customHeight="1">
      <c r="R16280" s="74"/>
    </row>
    <row r="16281" ht="12.75" customHeight="1">
      <c r="R16281" s="74"/>
    </row>
    <row r="16282" ht="12.75" customHeight="1">
      <c r="R16282" s="74"/>
    </row>
    <row r="16283" ht="12.75" customHeight="1">
      <c r="R16283" s="74"/>
    </row>
    <row r="16284" ht="12.75" customHeight="1">
      <c r="R16284" s="74"/>
    </row>
    <row r="16285" ht="12.75" customHeight="1">
      <c r="R16285" s="74"/>
    </row>
    <row r="16286" ht="12.75" customHeight="1">
      <c r="R16286" s="74"/>
    </row>
    <row r="16287" ht="12.75" customHeight="1">
      <c r="R16287" s="74"/>
    </row>
    <row r="16288" ht="12.75" customHeight="1"/>
    <row r="16289" ht="12.75" customHeight="1"/>
    <row r="16290" ht="12.75" customHeight="1"/>
    <row r="16291" ht="12.75" customHeight="1"/>
    <row r="16292" ht="12.75" customHeight="1"/>
    <row r="16293" ht="12.75" customHeight="1"/>
    <row r="16294" ht="12.75" customHeight="1"/>
    <row r="16295" ht="12.75" customHeight="1"/>
    <row r="16296" ht="12.75" customHeight="1"/>
    <row r="16297" ht="12.75" customHeight="1"/>
    <row r="16298" ht="12.75" customHeight="1"/>
    <row r="16299" ht="12.75" customHeight="1"/>
    <row r="16300" ht="12.75" customHeight="1"/>
    <row r="16301" ht="12.75" customHeight="1"/>
    <row r="16302" ht="12.75" customHeight="1"/>
    <row r="16303" ht="12.75" customHeight="1"/>
    <row r="16304" ht="12.75" customHeight="1"/>
    <row r="16305" ht="12.75" customHeight="1">
      <c r="R16305" s="74"/>
    </row>
    <row r="16306" ht="12.75" customHeight="1">
      <c r="R16306" s="74"/>
    </row>
    <row r="16307" ht="12.75" customHeight="1">
      <c r="R16307" s="74"/>
    </row>
    <row r="16308" ht="12.75" customHeight="1">
      <c r="R16308" s="74"/>
    </row>
    <row r="16309" ht="12.75" customHeight="1">
      <c r="R16309" s="74"/>
    </row>
    <row r="16310" ht="12.75" customHeight="1">
      <c r="R16310" s="74"/>
    </row>
    <row r="16311" ht="12.75" customHeight="1">
      <c r="R16311" s="74"/>
    </row>
    <row r="16312" ht="12.75" customHeight="1">
      <c r="R16312" s="74"/>
    </row>
    <row r="16313" ht="12.75" customHeight="1">
      <c r="R16313" s="74"/>
    </row>
    <row r="16314" ht="12.75" customHeight="1">
      <c r="R16314" s="74"/>
    </row>
    <row r="16315" ht="12.75" customHeight="1">
      <c r="R16315" s="74"/>
    </row>
    <row r="16316" ht="12.75" customHeight="1">
      <c r="R16316" s="74"/>
    </row>
    <row r="16317" ht="12.75" customHeight="1"/>
    <row r="16318" ht="12.75" customHeight="1"/>
    <row r="16319" ht="12.75" customHeight="1"/>
    <row r="16320" ht="12.75" customHeight="1"/>
    <row r="16321" ht="12.75" customHeight="1"/>
    <row r="16322" ht="12.75" customHeight="1"/>
    <row r="16323" ht="12.75" customHeight="1"/>
    <row r="16324" ht="12.75" customHeight="1"/>
    <row r="16325" ht="12.75" customHeight="1"/>
    <row r="16326" ht="12.75" customHeight="1"/>
    <row r="16327" ht="12.75" customHeight="1">
      <c r="R16327" s="74"/>
    </row>
    <row r="16328" ht="12.75" customHeight="1">
      <c r="R16328" s="74"/>
    </row>
    <row r="16329" ht="12.75" customHeight="1"/>
    <row r="16330" ht="12.75" customHeight="1">
      <c r="R16330" s="74"/>
    </row>
    <row r="16331" ht="12.75" customHeight="1"/>
    <row r="16332" ht="12.75" customHeight="1"/>
    <row r="16333" ht="12.75" customHeight="1"/>
    <row r="16334" ht="12.75" customHeight="1"/>
    <row r="16335" ht="12.75" customHeight="1"/>
    <row r="16336" ht="12.75" customHeight="1"/>
    <row r="16337" ht="12.75" customHeight="1"/>
    <row r="16338" ht="12.75" customHeight="1"/>
    <row r="16339" ht="12.75" customHeight="1"/>
    <row r="16340" ht="12.75" customHeight="1"/>
    <row r="16341" ht="12.75" customHeight="1"/>
    <row r="16342" ht="12.75" customHeight="1"/>
    <row r="16343" ht="12.75" customHeight="1"/>
    <row r="16344" ht="12.75" customHeight="1"/>
    <row r="16345" ht="12.75" customHeight="1"/>
    <row r="16346" ht="12.75" customHeight="1">
      <c r="R16346" s="74"/>
    </row>
    <row r="16347" ht="12.75" customHeight="1">
      <c r="R16347" s="74"/>
    </row>
    <row r="16348" ht="12.75" customHeight="1"/>
    <row r="16349" ht="12.75" customHeight="1"/>
    <row r="16350" ht="12.75" customHeight="1">
      <c r="R16350" s="74"/>
    </row>
    <row r="16351" ht="12.75" customHeight="1">
      <c r="R16351" s="74"/>
    </row>
    <row r="16352" ht="12.75" customHeight="1"/>
    <row r="16353" ht="12.75" customHeight="1"/>
    <row r="16354" ht="12.75" customHeight="1">
      <c r="R16354" s="74"/>
    </row>
    <row r="16355" ht="12.75" customHeight="1">
      <c r="R16355" s="74"/>
    </row>
    <row r="16356" ht="12.75" customHeight="1"/>
    <row r="16357" ht="12.75" customHeight="1"/>
    <row r="16358" ht="12.75" customHeight="1">
      <c r="R16358" s="74"/>
    </row>
    <row r="16359" ht="12.75" customHeight="1">
      <c r="R16359" s="74"/>
    </row>
    <row r="16360" ht="12.75" customHeight="1">
      <c r="R16360" s="74"/>
    </row>
    <row r="16361" ht="12.75" customHeight="1">
      <c r="R16361" s="74"/>
    </row>
    <row r="16362" ht="12.75" customHeight="1">
      <c r="R16362" s="74"/>
    </row>
    <row r="16363" ht="12.75" customHeight="1">
      <c r="R16363" s="74"/>
    </row>
    <row r="16364" ht="12.75" customHeight="1"/>
    <row r="16365" ht="12.75" customHeight="1"/>
    <row r="16366" ht="12.75" customHeight="1"/>
    <row r="16367" ht="12.75" customHeight="1"/>
    <row r="16368" ht="12.75" customHeight="1"/>
    <row r="16369" ht="12.75" customHeight="1"/>
    <row r="16370" ht="12.75" customHeight="1"/>
    <row r="16371" ht="12.75" customHeight="1"/>
    <row r="16372" ht="12.75" customHeight="1"/>
    <row r="16373" ht="12.75" customHeight="1"/>
    <row r="16374" ht="12.75" customHeight="1"/>
    <row r="16375" ht="12.75" customHeight="1"/>
    <row r="16376" ht="12.75" customHeight="1">
      <c r="R16376" s="74"/>
    </row>
    <row r="16377" ht="12.75" customHeight="1">
      <c r="R16377" s="74"/>
    </row>
    <row r="16378" ht="12.75" customHeight="1"/>
    <row r="16379" ht="12.75" customHeight="1"/>
    <row r="16380" ht="12.75" customHeight="1"/>
    <row r="16381" ht="12.75" customHeight="1"/>
    <row r="16382" ht="12.75" customHeight="1"/>
    <row r="16383" ht="12.75" customHeight="1"/>
    <row r="16384" ht="12.75" customHeight="1"/>
    <row r="16385" ht="12.75" customHeight="1"/>
    <row r="16386" ht="12.75" customHeight="1"/>
    <row r="16387" ht="12.75" customHeight="1"/>
    <row r="16388" ht="12.75" customHeight="1">
      <c r="R16388" s="74"/>
    </row>
    <row r="16389" ht="12.75" customHeight="1">
      <c r="R16389" s="74"/>
    </row>
    <row r="16390" ht="12.75" customHeight="1">
      <c r="R16390" s="74"/>
    </row>
    <row r="16391" ht="12.75" customHeight="1">
      <c r="R16391" s="74"/>
    </row>
    <row r="16392" ht="12.75" customHeight="1"/>
    <row r="16393" ht="12.75" customHeight="1"/>
    <row r="16394" ht="12.75" customHeight="1"/>
    <row r="16395" ht="12.75" customHeight="1"/>
    <row r="16396" ht="12.75" customHeight="1"/>
    <row r="16397" ht="12.75" customHeight="1"/>
    <row r="16398" ht="12.75" customHeight="1">
      <c r="R16398" s="74"/>
    </row>
    <row r="16399" ht="12.75" customHeight="1">
      <c r="R16399" s="74"/>
    </row>
    <row r="16400" ht="12.75" customHeight="1">
      <c r="R16400" s="74"/>
    </row>
    <row r="16401" ht="12.75" customHeight="1">
      <c r="R16401" s="74"/>
    </row>
    <row r="16402" ht="12.75" customHeight="1"/>
    <row r="16403" ht="12.75" customHeight="1"/>
    <row r="16404" ht="12.75" customHeight="1">
      <c r="R16404" s="74"/>
    </row>
    <row r="16405" ht="12.75" customHeight="1">
      <c r="R16405" s="74"/>
    </row>
    <row r="16406" ht="12.75" customHeight="1">
      <c r="R16406" s="74"/>
    </row>
    <row r="16407" ht="12.75" customHeight="1">
      <c r="R16407" s="74"/>
    </row>
    <row r="16408" ht="12.75" customHeight="1"/>
    <row r="16409" ht="12.75" customHeight="1"/>
    <row r="16410" ht="12.75" customHeight="1"/>
    <row r="16411" ht="12.75" customHeight="1"/>
    <row r="16412" ht="12.75" customHeight="1"/>
    <row r="16413" ht="12.75" customHeight="1"/>
    <row r="16414" ht="12.75" customHeight="1">
      <c r="R16414" s="74"/>
    </row>
    <row r="16415" ht="12.75" customHeight="1">
      <c r="R16415" s="74"/>
    </row>
    <row r="16416" ht="12.75" customHeight="1">
      <c r="R16416" s="74"/>
    </row>
    <row r="16417" ht="12.75" customHeight="1">
      <c r="R16417" s="74"/>
    </row>
    <row r="16418" ht="12.75" customHeight="1"/>
    <row r="16419" ht="12.75" customHeight="1"/>
    <row r="16420" ht="12.75" customHeight="1"/>
    <row r="16421" ht="12.75" customHeight="1"/>
    <row r="16422" ht="12.75" customHeight="1"/>
    <row r="16423" ht="12.75" customHeight="1"/>
    <row r="16424" ht="12.75" customHeight="1"/>
    <row r="16425" ht="12.75" customHeight="1"/>
    <row r="16426" ht="12.75" customHeight="1">
      <c r="R16426" s="74"/>
    </row>
    <row r="16427" ht="12.75" customHeight="1">
      <c r="R16427" s="74"/>
    </row>
    <row r="16428" ht="12.75" customHeight="1"/>
    <row r="16429" ht="12.75" customHeight="1"/>
    <row r="16430" ht="12.75" customHeight="1"/>
    <row r="16431" ht="12.75" customHeight="1"/>
    <row r="16432" ht="12.75" customHeight="1"/>
    <row r="16433" ht="12.75" customHeight="1"/>
    <row r="16434" ht="12.75" customHeight="1"/>
    <row r="16435" ht="12.75" customHeight="1"/>
    <row r="16436" ht="12.75" customHeight="1">
      <c r="R16436" s="74"/>
    </row>
    <row r="16437" ht="12.75" customHeight="1">
      <c r="R16437" s="74"/>
    </row>
    <row r="16438" ht="12.75" customHeight="1"/>
    <row r="16439" ht="12.75" customHeight="1"/>
    <row r="16440" ht="12.75" customHeight="1"/>
    <row r="16441" ht="12.75" customHeight="1"/>
    <row r="16442" ht="12.75" customHeight="1"/>
    <row r="16443" ht="12.75" customHeight="1"/>
    <row r="16444" ht="12.75" customHeight="1"/>
    <row r="16445" ht="12.75" customHeight="1"/>
    <row r="16446" ht="12.75" customHeight="1"/>
    <row r="16447" ht="12.75" customHeight="1"/>
    <row r="16448" ht="12.75" customHeight="1"/>
    <row r="16449" ht="12.75" customHeight="1"/>
    <row r="16450" ht="12.75" customHeight="1"/>
    <row r="16451" ht="12.75" customHeight="1"/>
    <row r="16452" ht="12.75" customHeight="1"/>
    <row r="16453" ht="12.75" customHeight="1"/>
    <row r="16454" ht="12.75" customHeight="1"/>
    <row r="16455" ht="12.75" customHeight="1"/>
    <row r="16456" ht="12.75" customHeight="1"/>
    <row r="16457" ht="12.75" customHeight="1"/>
    <row r="16458" ht="12.75" customHeight="1"/>
    <row r="16459" ht="12.75" customHeight="1"/>
    <row r="16460" ht="12.75" customHeight="1"/>
    <row r="16461" ht="12.75" customHeight="1"/>
    <row r="16462" ht="12.75" customHeight="1"/>
    <row r="16463" ht="12.75" customHeight="1"/>
    <row r="16464" ht="12.75" customHeight="1"/>
    <row r="16465" ht="12.75" customHeight="1"/>
    <row r="16466" ht="12.75" customHeight="1">
      <c r="R16466" s="74"/>
    </row>
    <row r="16467" ht="12.75" customHeight="1">
      <c r="R16467" s="74"/>
    </row>
    <row r="16468" ht="12.75" customHeight="1"/>
    <row r="16469" ht="12.75" customHeight="1"/>
    <row r="16470" ht="12.75" customHeight="1"/>
    <row r="16471" ht="12.75" customHeight="1"/>
    <row r="16472" ht="12.75" customHeight="1"/>
    <row r="16473" ht="12.75" customHeight="1"/>
    <row r="16474" ht="12.75" customHeight="1">
      <c r="R16474" s="74"/>
    </row>
    <row r="16475" ht="12.75" customHeight="1">
      <c r="R16475" s="74"/>
    </row>
    <row r="16476" ht="12.75" customHeight="1"/>
    <row r="16477" ht="12.75" customHeight="1"/>
    <row r="16478" ht="12.75" customHeight="1"/>
    <row r="16479" ht="12.75" customHeight="1"/>
    <row r="16480" ht="12.75" customHeight="1"/>
    <row r="16481" ht="12.75" customHeight="1"/>
    <row r="16482" ht="12.75" customHeight="1">
      <c r="R16482" s="74"/>
    </row>
    <row r="16483" ht="12.75" customHeight="1">
      <c r="R16483" s="74"/>
    </row>
    <row r="16484" ht="12.75" customHeight="1"/>
    <row r="16485" ht="12.75" customHeight="1"/>
    <row r="16486" ht="12.75" customHeight="1"/>
    <row r="16487" ht="12.75" customHeight="1"/>
    <row r="16488" ht="12.75" customHeight="1"/>
    <row r="16489" ht="12.75" customHeight="1"/>
    <row r="16490" ht="12.75" customHeight="1"/>
    <row r="16491" ht="12.75" customHeight="1"/>
    <row r="16492" ht="12.75" customHeight="1"/>
    <row r="16493" ht="12.75" customHeight="1"/>
    <row r="16494" ht="12.75" customHeight="1"/>
    <row r="16495" ht="12.75" customHeight="1"/>
    <row r="16496" ht="12.75" customHeight="1"/>
    <row r="16497" ht="12.75" customHeight="1"/>
    <row r="16498" ht="12.75" customHeight="1"/>
    <row r="16499" ht="12.75" customHeight="1"/>
    <row r="16500" ht="12.75" customHeight="1"/>
    <row r="16501" ht="12.75" customHeight="1"/>
    <row r="16502" ht="12.75" customHeight="1"/>
    <row r="16503" ht="12.75" customHeight="1"/>
    <row r="16504" ht="12.75" customHeight="1"/>
    <row r="16505" ht="12.75" customHeight="1"/>
    <row r="16506" ht="12.75" customHeight="1"/>
    <row r="16507" ht="12.75" customHeight="1"/>
    <row r="16508" ht="12.75" customHeight="1"/>
    <row r="16509" ht="12.75" customHeight="1"/>
    <row r="16510" ht="12.75" customHeight="1"/>
    <row r="16511" ht="12.75" customHeight="1"/>
    <row r="16512" ht="12.75" customHeight="1">
      <c r="R16512" s="74"/>
    </row>
    <row r="16513" ht="12.75" customHeight="1">
      <c r="R16513" s="74"/>
    </row>
    <row r="16514" ht="12.75" customHeight="1"/>
    <row r="16515" ht="12.75" customHeight="1"/>
    <row r="16516" ht="12.75" customHeight="1"/>
    <row r="16517" ht="12.75" customHeight="1"/>
    <row r="16518" ht="12.75" customHeight="1"/>
    <row r="16519" ht="12.75" customHeight="1"/>
    <row r="16520" ht="12.75" customHeight="1"/>
    <row r="16521" ht="12.75" customHeight="1"/>
    <row r="16522" ht="12.75" customHeight="1">
      <c r="R16522" s="74"/>
    </row>
    <row r="16523" ht="12.75" customHeight="1">
      <c r="R16523" s="74"/>
    </row>
    <row r="16524" ht="12.75" customHeight="1">
      <c r="R16524" s="74"/>
    </row>
    <row r="16525" ht="12.75" customHeight="1">
      <c r="R16525" s="74"/>
    </row>
    <row r="16526" ht="12.75" customHeight="1">
      <c r="R16526" s="74"/>
    </row>
    <row r="16527" ht="12.75" customHeight="1">
      <c r="R16527" s="74"/>
    </row>
    <row r="16528" ht="12.75" customHeight="1"/>
    <row r="16529" ht="12.75" customHeight="1"/>
    <row r="16530" ht="12.75" customHeight="1">
      <c r="R16530" s="74"/>
    </row>
    <row r="16531" ht="12.75" customHeight="1">
      <c r="R16531" s="74"/>
    </row>
    <row r="16532" ht="12.75" customHeight="1"/>
    <row r="16533" ht="12.75" customHeight="1"/>
    <row r="16534" ht="12.75" customHeight="1">
      <c r="R16534" s="74"/>
    </row>
    <row r="16535" ht="12.75" customHeight="1">
      <c r="R16535" s="74"/>
    </row>
    <row r="16536" ht="12.75" customHeight="1"/>
    <row r="16537" ht="12.75" customHeight="1"/>
    <row r="16538" ht="12.75" customHeight="1">
      <c r="R16538" s="74"/>
    </row>
    <row r="16539" ht="12.75" customHeight="1">
      <c r="R16539" s="74"/>
    </row>
    <row r="16540" ht="12.75" customHeight="1">
      <c r="R16540" s="74"/>
    </row>
    <row r="16541" ht="12.75" customHeight="1">
      <c r="R16541" s="74"/>
    </row>
    <row r="16542" ht="12.75" customHeight="1"/>
    <row r="16543" ht="12.75" customHeight="1"/>
    <row r="16544" ht="12.75" customHeight="1">
      <c r="R16544" s="74"/>
    </row>
    <row r="16545" ht="12.75" customHeight="1">
      <c r="R16545" s="74"/>
    </row>
    <row r="16546" ht="12.75" customHeight="1">
      <c r="R16546" s="74"/>
    </row>
    <row r="16547" ht="12.75" customHeight="1">
      <c r="R16547" s="74"/>
    </row>
    <row r="16548" ht="12.75" customHeight="1"/>
    <row r="16549" ht="12.75" customHeight="1"/>
    <row r="16550" ht="12.75" customHeight="1"/>
    <row r="16551" ht="12.75" customHeight="1"/>
    <row r="16552" ht="12.75" customHeight="1"/>
    <row r="16553" ht="12.75" customHeight="1"/>
    <row r="16554" ht="12.75" customHeight="1"/>
    <row r="16555" ht="12.75" customHeight="1"/>
    <row r="16556" ht="12.75" customHeight="1">
      <c r="R16556" s="74"/>
    </row>
    <row r="16557" ht="12.75" customHeight="1">
      <c r="R16557" s="74"/>
    </row>
    <row r="16558" ht="12.75" customHeight="1"/>
    <row r="16559" ht="12.75" customHeight="1"/>
    <row r="16560" ht="12.75" customHeight="1"/>
    <row r="16561" ht="12.75" customHeight="1"/>
    <row r="16562" ht="12.75" customHeight="1"/>
    <row r="16563" ht="12.75" customHeight="1"/>
    <row r="16564" ht="12.75" customHeight="1"/>
    <row r="16565" ht="12.75" customHeight="1"/>
    <row r="16566" ht="12.75" customHeight="1"/>
    <row r="16567" ht="12.75" customHeight="1"/>
    <row r="16568" ht="12.75" customHeight="1"/>
    <row r="16569" ht="12.75" customHeight="1"/>
    <row r="16570" ht="12.75" customHeight="1">
      <c r="R16570" s="74"/>
    </row>
    <row r="16571" ht="12.75" customHeight="1">
      <c r="R16571" s="74"/>
    </row>
    <row r="16572" ht="12.75" customHeight="1"/>
    <row r="16573" ht="12.75" customHeight="1"/>
    <row r="16574" ht="12.75" customHeight="1"/>
    <row r="16575" ht="12.75" customHeight="1"/>
    <row r="16576" ht="12.75" customHeight="1"/>
    <row r="16577" ht="12.75" customHeight="1"/>
    <row r="16578" ht="12.75" customHeight="1"/>
    <row r="16579" ht="12.75" customHeight="1"/>
    <row r="16580" ht="12.75" customHeight="1"/>
    <row r="16581" ht="12.75" customHeight="1"/>
    <row r="16582" ht="12.75" customHeight="1">
      <c r="R16582" s="74"/>
    </row>
    <row r="16583" ht="12.75" customHeight="1">
      <c r="R16583" s="74"/>
    </row>
    <row r="16584" ht="12.75" customHeight="1"/>
    <row r="16585" ht="12.75" customHeight="1"/>
    <row r="16586" ht="12.75" customHeight="1"/>
    <row r="16587" ht="12.75" customHeight="1"/>
    <row r="16588" ht="12.75" customHeight="1"/>
    <row r="16589" ht="12.75" customHeight="1"/>
    <row r="16590" ht="12.75" customHeight="1"/>
    <row r="16591" ht="12.75" customHeight="1"/>
    <row r="16592" ht="12.75" customHeight="1"/>
    <row r="16593" ht="12.75" customHeight="1"/>
    <row r="16594" ht="12.75" customHeight="1"/>
    <row r="16595" ht="12.75" customHeight="1"/>
    <row r="16596" ht="12.75" customHeight="1">
      <c r="R16596" s="74"/>
    </row>
    <row r="16597" ht="12.75" customHeight="1">
      <c r="R16597" s="74"/>
    </row>
    <row r="16598" ht="12.75" customHeight="1"/>
    <row r="16599" ht="12.75" customHeight="1"/>
    <row r="16600" ht="12.75" customHeight="1"/>
    <row r="16601" ht="12.75" customHeight="1"/>
    <row r="16602" ht="12.75" customHeight="1"/>
    <row r="16603" ht="12.75" customHeight="1"/>
    <row r="16604" ht="12.75" customHeight="1"/>
    <row r="16605" ht="12.75" customHeight="1"/>
    <row r="16606" ht="12.75" customHeight="1"/>
    <row r="16607" ht="12.75" customHeight="1"/>
    <row r="16608" ht="12.75" customHeight="1">
      <c r="R16608" s="74"/>
    </row>
    <row r="16609" ht="12.75" customHeight="1">
      <c r="R16609" s="74"/>
    </row>
    <row r="16610" ht="12.75" customHeight="1"/>
    <row r="16611" ht="12.75" customHeight="1"/>
    <row r="16612" ht="12.75" customHeight="1"/>
    <row r="16613" ht="12.75" customHeight="1"/>
    <row r="16614" ht="12.75" customHeight="1"/>
    <row r="16615" ht="12.75" customHeight="1"/>
    <row r="16616" ht="12.75" customHeight="1"/>
    <row r="16617" ht="12.75" customHeight="1"/>
    <row r="16618" ht="12.75" customHeight="1"/>
    <row r="16619" ht="12.75" customHeight="1"/>
    <row r="16620" ht="12.75" customHeight="1"/>
    <row r="16621" ht="12.75" customHeight="1"/>
    <row r="16622" ht="12.75" customHeight="1"/>
    <row r="16623" ht="12.75" customHeight="1"/>
    <row r="16624" ht="12.75" customHeight="1"/>
    <row r="16625" ht="12.75" customHeight="1"/>
    <row r="16626" ht="12.75" customHeight="1"/>
    <row r="16627" ht="12.75" customHeight="1"/>
    <row r="16628" ht="12.75" customHeight="1"/>
    <row r="16629" ht="12.75" customHeight="1"/>
    <row r="16630" ht="12.75" customHeight="1">
      <c r="R16630" s="74"/>
    </row>
    <row r="16631" ht="12.75" customHeight="1">
      <c r="R16631" s="74"/>
    </row>
    <row r="16632" ht="12.75" customHeight="1"/>
    <row r="16633" ht="12.75" customHeight="1"/>
    <row r="16634" ht="12.75" customHeight="1"/>
    <row r="16635" ht="12.75" customHeight="1"/>
    <row r="16636" ht="12.75" customHeight="1"/>
    <row r="16637" ht="12.75" customHeight="1"/>
    <row r="16638" ht="12.75" customHeight="1"/>
    <row r="16639" ht="12.75" customHeight="1"/>
    <row r="16640" ht="12.75" customHeight="1"/>
    <row r="16641" ht="12.75" customHeight="1"/>
    <row r="16642" ht="12.75" customHeight="1">
      <c r="R16642" s="74"/>
    </row>
    <row r="16643" ht="12.75" customHeight="1">
      <c r="R16643" s="74"/>
    </row>
    <row r="16644" ht="12.75" customHeight="1"/>
    <row r="16645" ht="12.75" customHeight="1"/>
    <row r="16646" ht="12.75" customHeight="1"/>
    <row r="16647" ht="12.75" customHeight="1"/>
    <row r="16648" ht="12.75" customHeight="1"/>
    <row r="16649" ht="12.75" customHeight="1"/>
    <row r="16650" ht="12.75" customHeight="1"/>
    <row r="16651" ht="12.75" customHeight="1"/>
    <row r="16652" ht="12.75" customHeight="1"/>
    <row r="16653" ht="12.75" customHeight="1"/>
    <row r="16654" ht="12.75" customHeight="1"/>
    <row r="16655" ht="12.75" customHeight="1"/>
    <row r="16656" ht="12.75" customHeight="1"/>
    <row r="16657" ht="12.75" customHeight="1"/>
    <row r="16658" ht="12.75" customHeight="1"/>
    <row r="16659" ht="12.75" customHeight="1"/>
    <row r="16660" ht="12.75" customHeight="1"/>
    <row r="16661" ht="12.75" customHeight="1"/>
    <row r="16662" ht="12.75" customHeight="1"/>
    <row r="16663" ht="12.75" customHeight="1"/>
    <row r="16664" ht="12.75" customHeight="1">
      <c r="R16664" s="74"/>
    </row>
    <row r="16665" ht="12.75" customHeight="1">
      <c r="R16665" s="74"/>
    </row>
    <row r="16666" ht="12.75" customHeight="1"/>
    <row r="16667" ht="12.75" customHeight="1"/>
    <row r="16668" ht="12.75" customHeight="1"/>
    <row r="16669" ht="12.75" customHeight="1"/>
    <row r="16670" ht="12.75" customHeight="1">
      <c r="R16670" s="74"/>
    </row>
    <row r="16671" ht="12.75" customHeight="1">
      <c r="R16671" s="74"/>
    </row>
    <row r="16672" ht="12.75" customHeight="1"/>
    <row r="16673" ht="12.75" customHeight="1"/>
    <row r="16674" ht="12.75" customHeight="1"/>
    <row r="16675" ht="12.75" customHeight="1"/>
    <row r="16676" ht="12.75" customHeight="1"/>
    <row r="16677" ht="12.75" customHeight="1"/>
    <row r="16678" ht="12.75" customHeight="1"/>
    <row r="16679" ht="12.75" customHeight="1"/>
    <row r="16680" ht="12.75" customHeight="1"/>
    <row r="16681" ht="12.75" customHeight="1"/>
    <row r="16682" ht="12.75" customHeight="1"/>
    <row r="16683" ht="12.75" customHeight="1"/>
    <row r="16684" ht="12.75" customHeight="1">
      <c r="R16684" s="74"/>
    </row>
    <row r="16685" ht="12.75" customHeight="1">
      <c r="R16685" s="74"/>
    </row>
    <row r="16686" ht="12.75" customHeight="1"/>
    <row r="16687" ht="12.75" customHeight="1"/>
    <row r="16688" ht="12.75" customHeight="1"/>
    <row r="16689" ht="12.75" customHeight="1"/>
    <row r="16690" ht="12.75" customHeight="1"/>
    <row r="16691" ht="12.75" customHeight="1"/>
    <row r="16692" ht="12.75" customHeight="1">
      <c r="R16692" s="74"/>
    </row>
    <row r="16693" ht="12.75" customHeight="1">
      <c r="R16693" s="74"/>
    </row>
    <row r="16694" ht="12.75" customHeight="1"/>
    <row r="16695" ht="12.75" customHeight="1"/>
    <row r="16696" ht="12.75" customHeight="1">
      <c r="R16696" s="74"/>
    </row>
    <row r="16697" ht="12.75" customHeight="1">
      <c r="R16697" s="74"/>
    </row>
    <row r="16698" ht="12.75" customHeight="1">
      <c r="R16698" s="74"/>
    </row>
    <row r="16699" ht="12.75" customHeight="1">
      <c r="R16699" s="74"/>
    </row>
    <row r="16700" ht="12.75" customHeight="1">
      <c r="R16700" s="74"/>
    </row>
    <row r="16701" ht="12.75" customHeight="1">
      <c r="R16701" s="74"/>
    </row>
    <row r="16702" ht="12.75" customHeight="1"/>
    <row r="16703" ht="12.75" customHeight="1"/>
    <row r="16704" ht="12.75" customHeight="1">
      <c r="R16704" s="74"/>
    </row>
    <row r="16705" ht="12.75" customHeight="1">
      <c r="R16705" s="74"/>
    </row>
    <row r="16706" ht="12.75" customHeight="1"/>
    <row r="16707" ht="12.75" customHeight="1"/>
    <row r="16708" ht="12.75" customHeight="1">
      <c r="R16708" s="74"/>
    </row>
    <row r="16709" ht="12.75" customHeight="1">
      <c r="R16709" s="74"/>
    </row>
    <row r="16710" ht="12.75" customHeight="1">
      <c r="R16710" s="74"/>
    </row>
    <row r="16711" ht="12.75" customHeight="1">
      <c r="R16711" s="74"/>
    </row>
    <row r="16712" ht="12.75" customHeight="1"/>
    <row r="16713" ht="12.75" customHeight="1"/>
    <row r="16714" ht="12.75" customHeight="1"/>
    <row r="16715" ht="12.75" customHeight="1"/>
    <row r="16716" ht="12.75" customHeight="1"/>
    <row r="16717" ht="12.75" customHeight="1"/>
    <row r="16718" ht="12.75" customHeight="1"/>
    <row r="16719" ht="12.75" customHeight="1"/>
    <row r="16720" ht="12.75" customHeight="1"/>
    <row r="16721" ht="12.75" customHeight="1"/>
    <row r="16722" ht="12.75" customHeight="1"/>
    <row r="16723" ht="12.75" customHeight="1"/>
    <row r="16724" ht="12.75" customHeight="1">
      <c r="R16724" s="74"/>
    </row>
    <row r="16725" ht="12.75" customHeight="1">
      <c r="R16725" s="74"/>
    </row>
    <row r="16726" ht="12.75" customHeight="1">
      <c r="R16726" s="74"/>
    </row>
    <row r="16727" ht="12.75" customHeight="1">
      <c r="R16727" s="74"/>
    </row>
    <row r="16728" ht="12.75" customHeight="1"/>
    <row r="16729" ht="12.75" customHeight="1"/>
    <row r="16730" ht="12.75" customHeight="1"/>
    <row r="16731" ht="12.75" customHeight="1"/>
    <row r="16732" ht="12.75" customHeight="1"/>
    <row r="16733" ht="12.75" customHeight="1"/>
    <row r="16734" ht="12.75" customHeight="1"/>
    <row r="16735" ht="12.75" customHeight="1"/>
    <row r="16736" ht="12.75" customHeight="1">
      <c r="R16736" s="74"/>
    </row>
    <row r="16737" ht="12.75" customHeight="1">
      <c r="R16737" s="74"/>
    </row>
    <row r="16738" ht="12.75" customHeight="1"/>
    <row r="16739" ht="12.75" customHeight="1"/>
    <row r="16740" ht="12.75" customHeight="1"/>
    <row r="16741" ht="12.75" customHeight="1"/>
    <row r="16742" ht="12.75" customHeight="1">
      <c r="R16742" s="74"/>
    </row>
    <row r="16743" ht="12.75" customHeight="1">
      <c r="R16743" s="74"/>
    </row>
    <row r="16744" ht="12.75" customHeight="1"/>
    <row r="16745" ht="12.75" customHeight="1"/>
    <row r="16746" ht="12.75" customHeight="1"/>
    <row r="16747" ht="12.75" customHeight="1"/>
    <row r="16748" ht="12.75" customHeight="1">
      <c r="R16748" s="74"/>
    </row>
    <row r="16749" ht="12.75" customHeight="1">
      <c r="R16749" s="74"/>
    </row>
    <row r="16750" ht="12.75" customHeight="1"/>
    <row r="16751" ht="12.75" customHeight="1"/>
    <row r="16752" ht="12.75" customHeight="1"/>
    <row r="16753" ht="12.75" customHeight="1"/>
    <row r="16754" ht="12.75" customHeight="1">
      <c r="R16754" s="74"/>
    </row>
    <row r="16755" ht="12.75" customHeight="1">
      <c r="R16755" s="74"/>
    </row>
    <row r="16756" ht="12.75" customHeight="1"/>
    <row r="16757" ht="12.75" customHeight="1"/>
    <row r="16758" ht="12.75" customHeight="1">
      <c r="R16758" s="74"/>
    </row>
    <row r="16759" ht="12.75" customHeight="1">
      <c r="R16759" s="74"/>
    </row>
    <row r="16760" ht="12.75" customHeight="1"/>
    <row r="16761" ht="12.75" customHeight="1"/>
    <row r="16762" ht="12.75" customHeight="1"/>
    <row r="16763" ht="12.75" customHeight="1"/>
    <row r="16764" ht="12.75" customHeight="1"/>
    <row r="16765" ht="12.75" customHeight="1"/>
    <row r="16766" ht="12.75" customHeight="1">
      <c r="R16766" s="74"/>
    </row>
    <row r="16767" ht="12.75" customHeight="1">
      <c r="R16767" s="74"/>
    </row>
    <row r="16768" ht="12.75" customHeight="1"/>
    <row r="16769" ht="12.75" customHeight="1"/>
    <row r="16770" ht="12.75" customHeight="1"/>
    <row r="16771" ht="12.75" customHeight="1"/>
    <row r="16772" ht="12.75" customHeight="1"/>
    <row r="16773" ht="12.75" customHeight="1"/>
    <row r="16774" ht="12.75" customHeight="1"/>
    <row r="16775" ht="12.75" customHeight="1"/>
    <row r="16776" ht="12.75" customHeight="1"/>
    <row r="16777" ht="12.75" customHeight="1"/>
    <row r="16778" ht="12.75" customHeight="1"/>
    <row r="16779" ht="12.75" customHeight="1"/>
    <row r="16780" ht="12.75" customHeight="1"/>
    <row r="16781" ht="12.75" customHeight="1"/>
    <row r="16782" ht="12.75" customHeight="1">
      <c r="R16782" s="74"/>
    </row>
    <row r="16783" ht="12.75" customHeight="1">
      <c r="R16783" s="74"/>
    </row>
    <row r="16784" ht="12.75" customHeight="1"/>
    <row r="16785" ht="12.75" customHeight="1"/>
    <row r="16786" ht="12.75" customHeight="1">
      <c r="R16786" s="74"/>
    </row>
    <row r="16787" ht="12.75" customHeight="1">
      <c r="R16787" s="74"/>
    </row>
    <row r="16788" ht="12.75" customHeight="1"/>
    <row r="16789" ht="12.75" customHeight="1"/>
    <row r="16790" ht="12.75" customHeight="1"/>
    <row r="16791" ht="12.75" customHeight="1"/>
    <row r="16792" ht="12.75" customHeight="1">
      <c r="R16792" s="74"/>
    </row>
    <row r="16793" ht="12.75" customHeight="1">
      <c r="R16793" s="74"/>
    </row>
    <row r="16794" ht="12.75" customHeight="1"/>
    <row r="16795" ht="12.75" customHeight="1"/>
    <row r="16796" ht="12.75" customHeight="1"/>
    <row r="16797" ht="12.75" customHeight="1"/>
    <row r="16798" ht="12.75" customHeight="1"/>
    <row r="16799" ht="12.75" customHeight="1"/>
    <row r="16800" ht="12.75" customHeight="1"/>
    <row r="16801" ht="12.75" customHeight="1"/>
    <row r="16802" ht="12.75" customHeight="1">
      <c r="R16802" s="74"/>
    </row>
    <row r="16803" ht="12.75" customHeight="1">
      <c r="R16803" s="74"/>
    </row>
    <row r="16804" ht="12.75" customHeight="1"/>
    <row r="16805" ht="12.75" customHeight="1"/>
    <row r="16806" ht="12.75" customHeight="1"/>
    <row r="16807" ht="12.75" customHeight="1"/>
    <row r="16808" ht="12.75" customHeight="1"/>
    <row r="16809" ht="12.75" customHeight="1"/>
    <row r="16810" ht="12.75" customHeight="1"/>
    <row r="16811" ht="12.75" customHeight="1"/>
    <row r="16812" ht="12.75" customHeight="1">
      <c r="R16812" s="74"/>
    </row>
    <row r="16813" ht="12.75" customHeight="1">
      <c r="R16813" s="74"/>
    </row>
    <row r="16814" ht="12.75" customHeight="1"/>
    <row r="16815" ht="12.75" customHeight="1"/>
    <row r="16816" ht="12.75" customHeight="1"/>
    <row r="16817" ht="12.75" customHeight="1"/>
    <row r="16818" ht="12.75" customHeight="1"/>
    <row r="16819" ht="12.75" customHeight="1"/>
    <row r="16820" ht="12.75" customHeight="1">
      <c r="R16820" s="74"/>
    </row>
    <row r="16821" ht="12.75" customHeight="1">
      <c r="R16821" s="74"/>
    </row>
    <row r="16822" ht="12.75" customHeight="1"/>
    <row r="16823" ht="12.75" customHeight="1"/>
    <row r="16824" ht="12.75" customHeight="1">
      <c r="R16824" s="74"/>
    </row>
    <row r="16825" ht="12.75" customHeight="1">
      <c r="R16825" s="74"/>
    </row>
    <row r="16826" ht="12.75" customHeight="1">
      <c r="R16826" s="74"/>
    </row>
    <row r="16827" ht="12.75" customHeight="1">
      <c r="R16827" s="74"/>
    </row>
    <row r="16828" ht="12.75" customHeight="1">
      <c r="R16828" s="74"/>
    </row>
    <row r="16829" ht="12.75" customHeight="1">
      <c r="R16829" s="74"/>
    </row>
    <row r="16830" ht="12.75" customHeight="1"/>
    <row r="16831" ht="12.75" customHeight="1"/>
    <row r="16832" ht="12.75" customHeight="1">
      <c r="R16832" s="74"/>
    </row>
    <row r="16833" ht="12.75" customHeight="1">
      <c r="R16833" s="74"/>
    </row>
    <row r="16834" ht="12.75" customHeight="1">
      <c r="R16834" s="74"/>
    </row>
    <row r="16835" ht="12.75" customHeight="1">
      <c r="R16835" s="74"/>
    </row>
    <row r="16836" ht="12.75" customHeight="1"/>
    <row r="16837" ht="12.75" customHeight="1"/>
    <row r="16838" ht="12.75" customHeight="1"/>
    <row r="16839" ht="12.75" customHeight="1"/>
    <row r="16840" ht="12.75" customHeight="1"/>
    <row r="16841" ht="12.75" customHeight="1"/>
    <row r="16842" ht="12.75" customHeight="1"/>
    <row r="16843" ht="12.75" customHeight="1"/>
    <row r="16844" ht="12.75" customHeight="1"/>
    <row r="16845" ht="12.75" customHeight="1"/>
    <row r="16846" ht="12.75" customHeight="1"/>
    <row r="16847" ht="12.75" customHeight="1"/>
    <row r="16848" ht="12.75" customHeight="1"/>
    <row r="16849" ht="12.75" customHeight="1"/>
    <row r="16850" ht="12.75" customHeight="1"/>
    <row r="16851" ht="12.75" customHeight="1">
      <c r="R16851" s="74"/>
    </row>
    <row r="16852" ht="12.75" customHeight="1">
      <c r="R16852" s="74"/>
    </row>
    <row r="16853" ht="12.75" customHeight="1"/>
    <row r="16854" ht="12.75" customHeight="1">
      <c r="R16854" s="74"/>
    </row>
    <row r="16855" ht="12.75" customHeight="1"/>
    <row r="16856" ht="12.75" customHeight="1"/>
    <row r="16857" ht="12.75" customHeight="1"/>
    <row r="16858" ht="12.75" customHeight="1">
      <c r="R16858" s="74"/>
    </row>
    <row r="16859" ht="12.75" customHeight="1">
      <c r="R16859" s="74"/>
    </row>
    <row r="16860" ht="12.75" customHeight="1"/>
    <row r="16861" ht="12.75" customHeight="1"/>
    <row r="16862" ht="12.75" customHeight="1"/>
    <row r="16863" ht="12.75" customHeight="1"/>
    <row r="16864" ht="12.75" customHeight="1"/>
    <row r="16865" ht="12.75" customHeight="1">
      <c r="R16865" s="74"/>
    </row>
    <row r="16866" ht="12.75" customHeight="1"/>
    <row r="16867" ht="12.75" customHeight="1"/>
    <row r="16868" ht="12.75" customHeight="1"/>
    <row r="16869" ht="12.75" customHeight="1"/>
    <row r="16870" ht="12.75" customHeight="1"/>
    <row r="16871" ht="12.75" customHeight="1"/>
    <row r="16872" ht="12.75" customHeight="1"/>
    <row r="16873" ht="12.75" customHeight="1"/>
    <row r="16874" ht="12.75" customHeight="1"/>
    <row r="16875" ht="12.75" customHeight="1"/>
    <row r="16876" ht="12.75" customHeight="1"/>
    <row r="16877" ht="12.75" customHeight="1"/>
    <row r="16878" ht="12.75" customHeight="1"/>
    <row r="16879" ht="12.75" customHeight="1"/>
    <row r="16880" ht="12.75" customHeight="1"/>
    <row r="16881" ht="12.75" customHeight="1"/>
    <row r="16882" ht="12.75" customHeight="1"/>
    <row r="16883" ht="12.75" customHeight="1"/>
    <row r="16884" ht="12.75" customHeight="1"/>
    <row r="16885" ht="12.75" customHeight="1"/>
    <row r="16886" ht="12.75" customHeight="1"/>
    <row r="16887" ht="12.75" customHeight="1"/>
    <row r="16888" ht="12.75" customHeight="1"/>
    <row r="16889" ht="12.75" customHeight="1"/>
    <row r="16890" ht="12.75" customHeight="1"/>
    <row r="16891" ht="12.75" customHeight="1"/>
    <row r="16892" ht="12.75" customHeight="1"/>
    <row r="16893" ht="12.75" customHeight="1"/>
    <row r="16894" ht="12.75" customHeight="1"/>
    <row r="16895" ht="12.75" customHeight="1"/>
    <row r="16896" ht="12.75" customHeight="1"/>
    <row r="16897" ht="12.75" customHeight="1"/>
    <row r="16898" ht="12.75" customHeight="1"/>
    <row r="16899" ht="12.75" customHeight="1"/>
    <row r="16900" ht="12.75" customHeight="1"/>
    <row r="16901" ht="12.75" customHeight="1"/>
    <row r="16902" ht="12.75" customHeight="1"/>
    <row r="16903" ht="12.75" customHeight="1"/>
    <row r="16904" ht="12.75" customHeight="1"/>
    <row r="16905" ht="12.75" customHeight="1"/>
    <row r="16906" ht="12.75" customHeight="1"/>
    <row r="16907" ht="12.75" customHeight="1"/>
    <row r="16908" ht="12.75" customHeight="1"/>
    <row r="16909" ht="12.75" customHeight="1"/>
    <row r="16910" ht="12.75" customHeight="1"/>
    <row r="16911" ht="12.75" customHeight="1"/>
    <row r="16912" ht="12.75" customHeight="1"/>
    <row r="16913" ht="12.75" customHeight="1"/>
    <row r="16914" ht="12.75" customHeight="1"/>
    <row r="16915" ht="12.75" customHeight="1"/>
    <row r="16916" ht="12.75" customHeight="1"/>
    <row r="16917" ht="12.75" customHeight="1"/>
    <row r="16918" ht="12.75" customHeight="1"/>
    <row r="16919" ht="12.75" customHeight="1"/>
    <row r="16920" ht="12.75" customHeight="1"/>
    <row r="16921" ht="12.75" customHeight="1"/>
    <row r="16922" ht="12.75" customHeight="1"/>
    <row r="16923" ht="12.75" customHeight="1"/>
    <row r="16924" ht="12.75" customHeight="1"/>
    <row r="16925" ht="12.75" customHeight="1"/>
    <row r="16926" ht="12.75" customHeight="1"/>
    <row r="16927" ht="12.75" customHeight="1"/>
    <row r="16928" ht="12.75" customHeight="1"/>
    <row r="16929" ht="12.75" customHeight="1"/>
    <row r="16930" ht="12.75" customHeight="1"/>
    <row r="16931" ht="12.75" customHeight="1"/>
    <row r="16932" ht="12.75" customHeight="1"/>
    <row r="16933" ht="12.75" customHeight="1"/>
    <row r="16934" ht="12.75" customHeight="1"/>
    <row r="16935" ht="12.75" customHeight="1"/>
    <row r="16936" ht="12.75" customHeight="1"/>
    <row r="16937" ht="12.75" customHeight="1"/>
    <row r="16938" ht="12.75" customHeight="1"/>
    <row r="16939" ht="12.75" customHeight="1"/>
    <row r="16940" ht="12.75" customHeight="1"/>
    <row r="16941" ht="12.75" customHeight="1"/>
    <row r="16942" ht="12.75" customHeight="1"/>
    <row r="16943" ht="12.75" customHeight="1"/>
    <row r="16944" ht="12.75" customHeight="1"/>
    <row r="16945" ht="12.75" customHeight="1"/>
    <row r="16946" ht="12.75" customHeight="1"/>
    <row r="16947" ht="12.75" customHeight="1"/>
    <row r="16948" ht="12.75" customHeight="1"/>
    <row r="16949" ht="12.75" customHeight="1"/>
    <row r="16950" ht="12.75" customHeight="1"/>
    <row r="16951" ht="12.75" customHeight="1"/>
    <row r="16952" ht="12.75" customHeight="1"/>
    <row r="16953" ht="12.75" customHeight="1"/>
    <row r="16954" ht="12.75" customHeight="1"/>
    <row r="16955" ht="12.75" customHeight="1"/>
    <row r="16956" ht="12.75" customHeight="1"/>
    <row r="16957" ht="12.75" customHeight="1"/>
    <row r="16958" ht="12.75" customHeight="1"/>
    <row r="16959" ht="12.75" customHeight="1"/>
    <row r="16960" ht="12.75" customHeight="1"/>
    <row r="16961" ht="12.75" customHeight="1"/>
    <row r="16962" ht="12.75" customHeight="1"/>
    <row r="16963" ht="12.75" customHeight="1"/>
    <row r="16964" ht="12.75" customHeight="1"/>
    <row r="16965" ht="12.75" customHeight="1"/>
    <row r="16966" ht="12.75" customHeight="1"/>
    <row r="16967" ht="12.75" customHeight="1"/>
    <row r="16968" ht="12.75" customHeight="1"/>
    <row r="16969" ht="12.75" customHeight="1"/>
    <row r="16970" ht="12.75" customHeight="1"/>
    <row r="16971" ht="12.75" customHeight="1"/>
    <row r="16972" ht="12.75" customHeight="1"/>
    <row r="16973" ht="12.75" customHeight="1"/>
    <row r="16974" ht="12.75" customHeight="1"/>
    <row r="16975" ht="12.75" customHeight="1"/>
    <row r="16976" ht="12.75" customHeight="1"/>
    <row r="16977" ht="12.75" customHeight="1"/>
    <row r="16978" ht="12.75" customHeight="1"/>
    <row r="16979" ht="12.75" customHeight="1"/>
    <row r="16980" ht="12.75" customHeight="1"/>
    <row r="16981" ht="12.75" customHeight="1"/>
    <row r="16982" ht="12.75" customHeight="1"/>
    <row r="16983" ht="12.75" customHeight="1"/>
    <row r="16984" ht="12.75" customHeight="1"/>
    <row r="16985" ht="12.75" customHeight="1"/>
    <row r="16986" ht="12.75" customHeight="1"/>
    <row r="16987" ht="12.75" customHeight="1"/>
    <row r="16988" ht="12.75" customHeight="1"/>
    <row r="16989" ht="12.75" customHeight="1"/>
    <row r="16990" ht="12.75" customHeight="1"/>
    <row r="16991" ht="12.75" customHeight="1"/>
    <row r="16992" ht="12.75" customHeight="1"/>
    <row r="16993" ht="12.75" customHeight="1"/>
    <row r="16994" ht="12.75" customHeight="1"/>
    <row r="16995" ht="12.75" customHeight="1"/>
    <row r="16996" ht="12.75" customHeight="1"/>
    <row r="16997" ht="12.75" customHeight="1"/>
    <row r="16998" ht="12.75" customHeight="1"/>
    <row r="16999" ht="12.75" customHeight="1"/>
    <row r="17000" ht="12.75" customHeight="1"/>
    <row r="17001" ht="12.75" customHeight="1"/>
    <row r="17002" ht="12.75" customHeight="1"/>
    <row r="17003" ht="12.75" customHeight="1"/>
    <row r="17004" ht="12.75" customHeight="1"/>
    <row r="17005" ht="12.75" customHeight="1"/>
    <row r="17006" ht="12.75" customHeight="1"/>
    <row r="17007" ht="12.75" customHeight="1"/>
    <row r="17008" ht="12.75" customHeight="1"/>
    <row r="17009" ht="12.75" customHeight="1"/>
    <row r="17010" ht="12.75" customHeight="1"/>
    <row r="17011" ht="12.75" customHeight="1"/>
    <row r="17012" ht="12.75" customHeight="1"/>
  </sheetData>
  <autoFilter ref="$A$1:$D$70">
    <filterColumn colId="2">
      <filters>
        <filter val="66"/>
        <filter val="26"/>
        <filter val="27"/>
        <filter val="211"/>
        <filter val="497"/>
        <filter val="117"/>
        <filter val="118"/>
        <filter val="217"/>
        <filter val="10"/>
        <filter val="719"/>
        <filter val="55"/>
        <filter val="34"/>
        <filter val="36"/>
        <filter val="14"/>
        <filter val="38"/>
        <filter val="1"/>
        <filter val="145"/>
        <filter val="3"/>
        <filter val="224"/>
        <filter val="6"/>
        <filter val="206"/>
        <filter val="61"/>
        <filter val="62"/>
        <filter val="43"/>
        <filter val="65"/>
      </filters>
    </filterColumn>
    <filterColumn colId="3">
      <filters blank="1">
        <filter val="ok"/>
        <filter val="-"/>
      </filters>
    </filterColumn>
  </autoFilter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1095</v>
      </c>
    </row>
    <row r="2">
      <c r="A2" s="71">
        <v>45839.0</v>
      </c>
    </row>
    <row r="3">
      <c r="A3" s="71">
        <v>45840.0</v>
      </c>
    </row>
    <row r="4">
      <c r="A4" s="71">
        <v>45841.0</v>
      </c>
    </row>
    <row r="5">
      <c r="A5" s="71">
        <v>45842.0</v>
      </c>
    </row>
    <row r="6">
      <c r="A6" s="71">
        <v>45843.0</v>
      </c>
    </row>
    <row r="7">
      <c r="A7" s="71">
        <v>45844.0</v>
      </c>
    </row>
    <row r="8">
      <c r="A8" s="71">
        <v>45845.0</v>
      </c>
    </row>
    <row r="9">
      <c r="A9" s="71">
        <v>45846.0</v>
      </c>
    </row>
    <row r="10">
      <c r="A10" s="71">
        <v>45847.0</v>
      </c>
    </row>
    <row r="11">
      <c r="A11" s="71">
        <v>45848.0</v>
      </c>
    </row>
    <row r="12">
      <c r="A12" s="71">
        <v>45849.0</v>
      </c>
    </row>
    <row r="13">
      <c r="A13" s="71">
        <v>45850.0</v>
      </c>
    </row>
    <row r="14">
      <c r="A14" s="71">
        <v>45851.0</v>
      </c>
    </row>
    <row r="15">
      <c r="A15" s="71">
        <v>45852.0</v>
      </c>
    </row>
    <row r="16">
      <c r="A16" s="71">
        <v>45853.0</v>
      </c>
    </row>
    <row r="17">
      <c r="A17" s="71">
        <v>45854.0</v>
      </c>
    </row>
    <row r="18">
      <c r="A18" s="71">
        <v>45855.0</v>
      </c>
    </row>
    <row r="19">
      <c r="A19" s="71">
        <v>45856.0</v>
      </c>
    </row>
    <row r="20">
      <c r="A20" s="71">
        <v>45857.0</v>
      </c>
    </row>
    <row r="21">
      <c r="A21" s="71">
        <v>45858.0</v>
      </c>
    </row>
    <row r="22">
      <c r="A22" s="71">
        <v>45859.0</v>
      </c>
    </row>
    <row r="23">
      <c r="A23" s="71">
        <v>45860.0</v>
      </c>
    </row>
    <row r="24">
      <c r="A24" s="71">
        <v>45861.0</v>
      </c>
    </row>
    <row r="25">
      <c r="A25" s="71">
        <v>45862.0</v>
      </c>
    </row>
    <row r="26">
      <c r="A26" s="71">
        <v>45863.0</v>
      </c>
    </row>
    <row r="27">
      <c r="A27" s="71">
        <v>45864.0</v>
      </c>
    </row>
    <row r="28">
      <c r="A28" s="71">
        <v>45865.0</v>
      </c>
    </row>
    <row r="29">
      <c r="A29" s="71">
        <v>45866.0</v>
      </c>
    </row>
    <row r="30">
      <c r="A30" s="71">
        <v>45867.0</v>
      </c>
    </row>
    <row r="31">
      <c r="A31" s="71">
        <v>45868.0</v>
      </c>
    </row>
    <row r="32">
      <c r="A32" s="71">
        <v>45869.0</v>
      </c>
    </row>
    <row r="33">
      <c r="A33" s="71">
        <v>45870.0</v>
      </c>
    </row>
    <row r="34">
      <c r="A34" s="71">
        <v>45871.0</v>
      </c>
    </row>
    <row r="35">
      <c r="A35" s="71">
        <v>45872.0</v>
      </c>
    </row>
    <row r="36">
      <c r="A36" s="71">
        <v>45873.0</v>
      </c>
    </row>
    <row r="37">
      <c r="A37" s="71">
        <v>45874.0</v>
      </c>
    </row>
    <row r="38">
      <c r="A38" s="71">
        <v>45875.0</v>
      </c>
    </row>
    <row r="39">
      <c r="A39" s="71">
        <v>45876.0</v>
      </c>
    </row>
    <row r="40">
      <c r="A40" s="71">
        <v>45877.0</v>
      </c>
    </row>
    <row r="41">
      <c r="A41" s="71">
        <v>45878.0</v>
      </c>
    </row>
    <row r="42">
      <c r="A42" s="71">
        <v>45879.0</v>
      </c>
    </row>
    <row r="43">
      <c r="A43" s="71">
        <v>45880.0</v>
      </c>
    </row>
    <row r="44">
      <c r="A44" s="71">
        <v>45881.0</v>
      </c>
    </row>
    <row r="45">
      <c r="A45" s="71">
        <v>45882.0</v>
      </c>
    </row>
    <row r="46">
      <c r="A46" s="71">
        <v>45883.0</v>
      </c>
    </row>
    <row r="47">
      <c r="A47" s="71">
        <v>45884.0</v>
      </c>
    </row>
    <row r="48">
      <c r="A48" s="71">
        <v>45885.0</v>
      </c>
    </row>
    <row r="49">
      <c r="A49" s="71">
        <v>45886.0</v>
      </c>
    </row>
    <row r="50">
      <c r="A50" s="71">
        <v>45887.0</v>
      </c>
    </row>
    <row r="51">
      <c r="A51" s="71">
        <v>45888.0</v>
      </c>
    </row>
    <row r="52">
      <c r="A52" s="71">
        <v>45889.0</v>
      </c>
    </row>
    <row r="53">
      <c r="A53" s="71">
        <v>45890.0</v>
      </c>
    </row>
    <row r="54">
      <c r="A54" s="71">
        <v>45891.0</v>
      </c>
    </row>
    <row r="55">
      <c r="A55" s="71">
        <v>45892.0</v>
      </c>
    </row>
    <row r="56">
      <c r="A56" s="71">
        <v>45893.0</v>
      </c>
    </row>
    <row r="57">
      <c r="A57" s="71">
        <v>45894.0</v>
      </c>
    </row>
    <row r="58">
      <c r="A58" s="71">
        <v>45895.0</v>
      </c>
    </row>
    <row r="59">
      <c r="A59" s="71">
        <v>45896.0</v>
      </c>
    </row>
    <row r="60">
      <c r="A60" s="71">
        <v>45897.0</v>
      </c>
    </row>
    <row r="61">
      <c r="A61" s="71">
        <v>45898.0</v>
      </c>
    </row>
    <row r="62">
      <c r="A62" s="71">
        <v>45899.0</v>
      </c>
    </row>
    <row r="63">
      <c r="A63" s="71">
        <v>45900.0</v>
      </c>
    </row>
    <row r="64">
      <c r="A64" s="71">
        <v>45901.0</v>
      </c>
    </row>
    <row r="65">
      <c r="A65" s="71">
        <v>45902.0</v>
      </c>
    </row>
    <row r="66">
      <c r="A66" s="71">
        <v>45903.0</v>
      </c>
    </row>
    <row r="67">
      <c r="A67" s="71">
        <v>45904.0</v>
      </c>
    </row>
    <row r="68">
      <c r="A68" s="71">
        <v>45905.0</v>
      </c>
    </row>
    <row r="69">
      <c r="A69" s="71">
        <v>45906.0</v>
      </c>
    </row>
    <row r="70">
      <c r="A70" s="71">
        <v>45907.0</v>
      </c>
    </row>
    <row r="71">
      <c r="A71" s="71">
        <v>45908.0</v>
      </c>
    </row>
    <row r="72">
      <c r="A72" s="71">
        <v>45909.0</v>
      </c>
    </row>
    <row r="73">
      <c r="A73" s="71">
        <v>45910.0</v>
      </c>
    </row>
    <row r="74">
      <c r="A74" s="71">
        <v>45911.0</v>
      </c>
    </row>
    <row r="75">
      <c r="A75" s="71">
        <v>45912.0</v>
      </c>
    </row>
    <row r="76">
      <c r="A76" s="71">
        <v>45913.0</v>
      </c>
    </row>
    <row r="77">
      <c r="A77" s="71">
        <v>45914.0</v>
      </c>
    </row>
    <row r="78">
      <c r="A78" s="71">
        <v>45915.0</v>
      </c>
    </row>
    <row r="79">
      <c r="A79" s="71">
        <v>45916.0</v>
      </c>
    </row>
    <row r="80">
      <c r="A80" s="71">
        <v>45917.0</v>
      </c>
    </row>
    <row r="81">
      <c r="A81" s="71">
        <v>45918.0</v>
      </c>
    </row>
    <row r="82">
      <c r="A82" s="71">
        <v>45919.0</v>
      </c>
    </row>
    <row r="83">
      <c r="A83" s="71">
        <v>45920.0</v>
      </c>
    </row>
    <row r="84">
      <c r="A84" s="71">
        <v>45921.0</v>
      </c>
    </row>
    <row r="85">
      <c r="A85" s="71">
        <v>45922.0</v>
      </c>
    </row>
    <row r="86">
      <c r="A86" s="71">
        <v>45923.0</v>
      </c>
    </row>
    <row r="87">
      <c r="A87" s="71">
        <v>45924.0</v>
      </c>
    </row>
    <row r="88">
      <c r="A88" s="71">
        <v>45925.0</v>
      </c>
    </row>
    <row r="89">
      <c r="A89" s="71">
        <v>45926.0</v>
      </c>
    </row>
    <row r="90">
      <c r="A90" s="71">
        <v>45927.0</v>
      </c>
    </row>
    <row r="91">
      <c r="A91" s="71">
        <v>45928.0</v>
      </c>
    </row>
    <row r="92">
      <c r="A92" s="71">
        <v>45929.0</v>
      </c>
    </row>
    <row r="93">
      <c r="A93" s="71">
        <v>45930.0</v>
      </c>
    </row>
    <row r="94">
      <c r="A94" s="71">
        <v>45931.0</v>
      </c>
    </row>
    <row r="95">
      <c r="A95" s="71">
        <v>45932.0</v>
      </c>
    </row>
    <row r="96">
      <c r="A96" s="71">
        <v>45933.0</v>
      </c>
    </row>
    <row r="97">
      <c r="A97" s="71">
        <v>45934.0</v>
      </c>
    </row>
    <row r="98">
      <c r="A98" s="71">
        <v>45935.0</v>
      </c>
    </row>
    <row r="99">
      <c r="A99" s="71">
        <v>45936.0</v>
      </c>
    </row>
    <row r="100">
      <c r="A100" s="71">
        <v>45937.0</v>
      </c>
    </row>
    <row r="101">
      <c r="A101" s="71">
        <v>45938.0</v>
      </c>
    </row>
    <row r="102">
      <c r="A102" s="71">
        <v>45939.0</v>
      </c>
    </row>
    <row r="103">
      <c r="A103" s="71">
        <v>45940.0</v>
      </c>
    </row>
    <row r="104">
      <c r="A104" s="71">
        <v>45941.0</v>
      </c>
    </row>
    <row r="105">
      <c r="A105" s="71">
        <v>45942.0</v>
      </c>
    </row>
    <row r="106">
      <c r="A106" s="71">
        <v>45943.0</v>
      </c>
    </row>
    <row r="107">
      <c r="A107" s="71">
        <v>45944.0</v>
      </c>
    </row>
    <row r="108">
      <c r="A108" s="71">
        <v>45945.0</v>
      </c>
    </row>
    <row r="109">
      <c r="A109" s="71">
        <v>45946.0</v>
      </c>
    </row>
    <row r="110">
      <c r="A110" s="71">
        <v>45947.0</v>
      </c>
    </row>
    <row r="111">
      <c r="A111" s="71">
        <v>45948.0</v>
      </c>
    </row>
    <row r="112">
      <c r="A112" s="71">
        <v>45949.0</v>
      </c>
    </row>
    <row r="113">
      <c r="A113" s="71">
        <v>45950.0</v>
      </c>
    </row>
    <row r="114">
      <c r="A114" s="71">
        <v>45951.0</v>
      </c>
    </row>
    <row r="115">
      <c r="A115" s="71">
        <v>45952.0</v>
      </c>
    </row>
    <row r="116">
      <c r="A116" s="71">
        <v>45953.0</v>
      </c>
    </row>
    <row r="117">
      <c r="A117" s="71">
        <v>45954.0</v>
      </c>
    </row>
    <row r="118">
      <c r="A118" s="71">
        <v>45955.0</v>
      </c>
    </row>
    <row r="119">
      <c r="A119" s="71">
        <v>45956.0</v>
      </c>
    </row>
    <row r="120">
      <c r="A120" s="71">
        <v>45957.0</v>
      </c>
    </row>
    <row r="121">
      <c r="A121" s="71">
        <v>45958.0</v>
      </c>
    </row>
    <row r="122">
      <c r="A122" s="71">
        <v>45959.0</v>
      </c>
    </row>
    <row r="123">
      <c r="A123" s="71">
        <v>45960.0</v>
      </c>
    </row>
    <row r="124">
      <c r="A124" s="71">
        <v>45961.0</v>
      </c>
    </row>
    <row r="125">
      <c r="A125" s="71">
        <v>45962.0</v>
      </c>
    </row>
    <row r="126">
      <c r="A126" s="71">
        <v>45963.0</v>
      </c>
    </row>
    <row r="127">
      <c r="A127" s="71">
        <v>45964.0</v>
      </c>
    </row>
    <row r="128">
      <c r="A128" s="71">
        <v>45965.0</v>
      </c>
    </row>
    <row r="129">
      <c r="A129" s="71">
        <v>45966.0</v>
      </c>
    </row>
    <row r="130">
      <c r="A130" s="71">
        <v>45967.0</v>
      </c>
    </row>
    <row r="131">
      <c r="A131" s="71">
        <v>45968.0</v>
      </c>
    </row>
    <row r="132">
      <c r="A132" s="71">
        <v>45969.0</v>
      </c>
    </row>
    <row r="133">
      <c r="A133" s="71">
        <v>45970.0</v>
      </c>
    </row>
    <row r="134">
      <c r="A134" s="71">
        <v>45971.0</v>
      </c>
    </row>
    <row r="135">
      <c r="A135" s="71">
        <v>45972.0</v>
      </c>
    </row>
    <row r="136">
      <c r="A136" s="71">
        <v>45973.0</v>
      </c>
    </row>
    <row r="137">
      <c r="A137" s="71">
        <v>45974.0</v>
      </c>
    </row>
    <row r="138">
      <c r="A138" s="71">
        <v>45975.0</v>
      </c>
    </row>
    <row r="139">
      <c r="A139" s="71">
        <v>45976.0</v>
      </c>
    </row>
    <row r="140">
      <c r="A140" s="71">
        <v>45977.0</v>
      </c>
    </row>
    <row r="141">
      <c r="A141" s="71">
        <v>45978.0</v>
      </c>
    </row>
    <row r="142">
      <c r="A142" s="71">
        <v>45979.0</v>
      </c>
    </row>
    <row r="143">
      <c r="A143" s="71">
        <v>45980.0</v>
      </c>
    </row>
    <row r="144">
      <c r="A144" s="71">
        <v>45981.0</v>
      </c>
    </row>
    <row r="145">
      <c r="A145" s="71">
        <v>45982.0</v>
      </c>
    </row>
    <row r="146">
      <c r="A146" s="71">
        <v>45983.0</v>
      </c>
    </row>
    <row r="147">
      <c r="A147" s="71">
        <v>45984.0</v>
      </c>
    </row>
    <row r="148">
      <c r="A148" s="71">
        <v>45985.0</v>
      </c>
    </row>
    <row r="149">
      <c r="A149" s="71">
        <v>45986.0</v>
      </c>
    </row>
    <row r="150">
      <c r="A150" s="71">
        <v>45987.0</v>
      </c>
    </row>
    <row r="151">
      <c r="A151" s="71">
        <v>45988.0</v>
      </c>
    </row>
    <row r="152">
      <c r="A152" s="71">
        <v>45989.0</v>
      </c>
    </row>
    <row r="153">
      <c r="A153" s="71">
        <v>45990.0</v>
      </c>
    </row>
    <row r="154">
      <c r="A154" s="71">
        <v>45991.0</v>
      </c>
    </row>
    <row r="155">
      <c r="A155" s="71">
        <v>45992.0</v>
      </c>
    </row>
    <row r="156">
      <c r="A156" s="71">
        <v>45993.0</v>
      </c>
    </row>
    <row r="157">
      <c r="A157" s="71">
        <v>45994.0</v>
      </c>
    </row>
    <row r="158">
      <c r="A158" s="71">
        <v>45995.0</v>
      </c>
    </row>
    <row r="159">
      <c r="A159" s="71">
        <v>45996.0</v>
      </c>
    </row>
    <row r="160">
      <c r="A160" s="71">
        <v>45997.0</v>
      </c>
    </row>
    <row r="161">
      <c r="A161" s="71">
        <v>45998.0</v>
      </c>
    </row>
    <row r="162">
      <c r="A162" s="71">
        <v>45999.0</v>
      </c>
    </row>
    <row r="163">
      <c r="A163" s="71">
        <v>46000.0</v>
      </c>
    </row>
    <row r="164">
      <c r="A164" s="71">
        <v>46001.0</v>
      </c>
    </row>
    <row r="165">
      <c r="A165" s="71">
        <v>46002.0</v>
      </c>
    </row>
    <row r="166">
      <c r="A166" s="71">
        <v>46003.0</v>
      </c>
    </row>
    <row r="167">
      <c r="A167" s="71">
        <v>46004.0</v>
      </c>
    </row>
    <row r="168">
      <c r="A168" s="71">
        <v>46005.0</v>
      </c>
    </row>
    <row r="169">
      <c r="A169" s="71">
        <v>46006.0</v>
      </c>
    </row>
    <row r="170">
      <c r="A170" s="71">
        <v>46007.0</v>
      </c>
    </row>
    <row r="171">
      <c r="A171" s="71">
        <v>46008.0</v>
      </c>
    </row>
    <row r="172">
      <c r="A172" s="71">
        <v>46009.0</v>
      </c>
    </row>
    <row r="173">
      <c r="A173" s="71">
        <v>46010.0</v>
      </c>
    </row>
    <row r="174">
      <c r="A174" s="71">
        <v>46011.0</v>
      </c>
    </row>
    <row r="175">
      <c r="A175" s="71">
        <v>46012.0</v>
      </c>
    </row>
    <row r="176">
      <c r="A176" s="71">
        <v>46013.0</v>
      </c>
    </row>
    <row r="177">
      <c r="A177" s="71">
        <v>46014.0</v>
      </c>
    </row>
    <row r="178">
      <c r="A178" s="71">
        <v>46015.0</v>
      </c>
    </row>
    <row r="179">
      <c r="A179" s="71">
        <v>46016.0</v>
      </c>
    </row>
    <row r="180">
      <c r="A180" s="71">
        <v>46017.0</v>
      </c>
    </row>
    <row r="181">
      <c r="A181" s="71">
        <v>46018.0</v>
      </c>
    </row>
    <row r="182">
      <c r="A182" s="71">
        <v>46019.0</v>
      </c>
    </row>
    <row r="183">
      <c r="A183" s="71">
        <v>46020.0</v>
      </c>
    </row>
    <row r="184">
      <c r="A184" s="71">
        <v>46021.0</v>
      </c>
    </row>
    <row r="185">
      <c r="A185" s="71">
        <v>46022.0</v>
      </c>
    </row>
    <row r="186">
      <c r="A186" s="71">
        <v>46023.0</v>
      </c>
    </row>
    <row r="187">
      <c r="A187" s="71">
        <v>46024.0</v>
      </c>
    </row>
    <row r="188">
      <c r="A188" s="71">
        <v>46025.0</v>
      </c>
    </row>
    <row r="189">
      <c r="A189" s="71">
        <v>46026.0</v>
      </c>
    </row>
    <row r="190">
      <c r="A190" s="71">
        <v>46027.0</v>
      </c>
    </row>
    <row r="191">
      <c r="A191" s="71">
        <v>46028.0</v>
      </c>
    </row>
    <row r="192">
      <c r="A192" s="71">
        <v>46029.0</v>
      </c>
    </row>
    <row r="193">
      <c r="A193" s="71">
        <v>46030.0</v>
      </c>
    </row>
    <row r="194">
      <c r="A194" s="71">
        <v>46031.0</v>
      </c>
    </row>
    <row r="195">
      <c r="A195" s="71">
        <v>46032.0</v>
      </c>
    </row>
    <row r="196">
      <c r="A196" s="71">
        <v>46033.0</v>
      </c>
    </row>
    <row r="197">
      <c r="A197" s="71">
        <v>46034.0</v>
      </c>
    </row>
    <row r="198">
      <c r="A198" s="71">
        <v>46035.0</v>
      </c>
    </row>
    <row r="199">
      <c r="A199" s="71">
        <v>46036.0</v>
      </c>
    </row>
    <row r="200">
      <c r="A200" s="71">
        <v>46037.0</v>
      </c>
    </row>
    <row r="201">
      <c r="A201" s="71">
        <v>46038.0</v>
      </c>
    </row>
    <row r="202">
      <c r="A202" s="71">
        <v>46039.0</v>
      </c>
    </row>
    <row r="203">
      <c r="A203" s="71">
        <v>46040.0</v>
      </c>
    </row>
    <row r="204">
      <c r="A204" s="71">
        <v>46041.0</v>
      </c>
    </row>
    <row r="205">
      <c r="A205" s="71">
        <v>46042.0</v>
      </c>
    </row>
    <row r="206">
      <c r="A206" s="71">
        <v>46043.0</v>
      </c>
    </row>
    <row r="207">
      <c r="A207" s="71">
        <v>46044.0</v>
      </c>
    </row>
    <row r="208">
      <c r="A208" s="71">
        <v>46045.0</v>
      </c>
    </row>
    <row r="209">
      <c r="A209" s="71">
        <v>46046.0</v>
      </c>
    </row>
    <row r="210">
      <c r="A210" s="71">
        <v>46047.0</v>
      </c>
    </row>
    <row r="211">
      <c r="A211" s="71">
        <v>46048.0</v>
      </c>
    </row>
    <row r="212">
      <c r="A212" s="71">
        <v>46049.0</v>
      </c>
    </row>
    <row r="213">
      <c r="A213" s="71">
        <v>46050.0</v>
      </c>
    </row>
    <row r="214">
      <c r="A214" s="71">
        <v>46051.0</v>
      </c>
    </row>
    <row r="215">
      <c r="A215" s="71">
        <v>46052.0</v>
      </c>
    </row>
    <row r="216">
      <c r="A216" s="71">
        <v>46053.0</v>
      </c>
    </row>
    <row r="217">
      <c r="A217" s="71">
        <v>46054.0</v>
      </c>
    </row>
    <row r="218">
      <c r="A218" s="71">
        <v>46055.0</v>
      </c>
    </row>
    <row r="219">
      <c r="A219" s="71">
        <v>46056.0</v>
      </c>
    </row>
    <row r="220">
      <c r="A220" s="71">
        <v>46057.0</v>
      </c>
    </row>
    <row r="221">
      <c r="A221" s="71">
        <v>46058.0</v>
      </c>
    </row>
    <row r="222">
      <c r="A222" s="71">
        <v>46059.0</v>
      </c>
    </row>
    <row r="223">
      <c r="A223" s="71">
        <v>46060.0</v>
      </c>
    </row>
    <row r="224">
      <c r="A224" s="71">
        <v>46061.0</v>
      </c>
    </row>
    <row r="225">
      <c r="A225" s="71">
        <v>46062.0</v>
      </c>
    </row>
    <row r="226">
      <c r="A226" s="71">
        <v>46063.0</v>
      </c>
    </row>
    <row r="227">
      <c r="A227" s="71">
        <v>46064.0</v>
      </c>
    </row>
    <row r="228">
      <c r="A228" s="71">
        <v>46065.0</v>
      </c>
    </row>
    <row r="229">
      <c r="A229" s="71">
        <v>46066.0</v>
      </c>
    </row>
    <row r="230">
      <c r="A230" s="71">
        <v>46067.0</v>
      </c>
    </row>
    <row r="231">
      <c r="A231" s="71">
        <v>46068.0</v>
      </c>
    </row>
    <row r="232">
      <c r="A232" s="71">
        <v>46069.0</v>
      </c>
    </row>
    <row r="233">
      <c r="A233" s="71">
        <v>46070.0</v>
      </c>
    </row>
    <row r="234">
      <c r="A234" s="71">
        <v>46071.0</v>
      </c>
    </row>
    <row r="235">
      <c r="A235" s="71">
        <v>46072.0</v>
      </c>
    </row>
    <row r="236">
      <c r="A236" s="71">
        <v>46073.0</v>
      </c>
    </row>
    <row r="237">
      <c r="A237" s="71">
        <v>46074.0</v>
      </c>
    </row>
    <row r="238">
      <c r="A238" s="71">
        <v>46075.0</v>
      </c>
    </row>
    <row r="239">
      <c r="A239" s="71">
        <v>46076.0</v>
      </c>
    </row>
    <row r="240">
      <c r="A240" s="71">
        <v>46077.0</v>
      </c>
    </row>
    <row r="241">
      <c r="A241" s="71">
        <v>46078.0</v>
      </c>
    </row>
    <row r="242">
      <c r="A242" s="71">
        <v>46079.0</v>
      </c>
    </row>
    <row r="243">
      <c r="A243" s="71">
        <v>46080.0</v>
      </c>
    </row>
    <row r="244">
      <c r="A244" s="71">
        <v>46081.0</v>
      </c>
    </row>
    <row r="245">
      <c r="A245" s="71">
        <v>46082.0</v>
      </c>
    </row>
    <row r="246">
      <c r="A246" s="71">
        <v>46083.0</v>
      </c>
    </row>
    <row r="247">
      <c r="A247" s="71">
        <v>46084.0</v>
      </c>
    </row>
    <row r="248">
      <c r="A248" s="71">
        <v>46085.0</v>
      </c>
    </row>
    <row r="249">
      <c r="A249" s="71">
        <v>46086.0</v>
      </c>
    </row>
    <row r="250">
      <c r="A250" s="71">
        <v>46087.0</v>
      </c>
    </row>
    <row r="251">
      <c r="A251" s="71">
        <v>46088.0</v>
      </c>
    </row>
    <row r="252">
      <c r="A252" s="71">
        <v>46089.0</v>
      </c>
    </row>
    <row r="253">
      <c r="A253" s="71">
        <v>46090.0</v>
      </c>
    </row>
    <row r="254">
      <c r="A254" s="71">
        <v>46091.0</v>
      </c>
    </row>
    <row r="255">
      <c r="A255" s="71">
        <v>46092.0</v>
      </c>
    </row>
    <row r="256">
      <c r="A256" s="71">
        <v>46093.0</v>
      </c>
    </row>
    <row r="257">
      <c r="A257" s="71">
        <v>46094.0</v>
      </c>
    </row>
    <row r="258">
      <c r="A258" s="71">
        <v>46095.0</v>
      </c>
    </row>
    <row r="259">
      <c r="A259" s="71">
        <v>46096.0</v>
      </c>
    </row>
    <row r="260">
      <c r="A260" s="71">
        <v>46097.0</v>
      </c>
    </row>
    <row r="261">
      <c r="A261" s="71">
        <v>46098.0</v>
      </c>
    </row>
    <row r="262">
      <c r="A262" s="71">
        <v>46099.0</v>
      </c>
    </row>
    <row r="263">
      <c r="A263" s="71">
        <v>46100.0</v>
      </c>
    </row>
    <row r="264">
      <c r="A264" s="71">
        <v>46101.0</v>
      </c>
    </row>
    <row r="265">
      <c r="A265" s="71">
        <v>46102.0</v>
      </c>
    </row>
    <row r="266">
      <c r="A266" s="71">
        <v>46103.0</v>
      </c>
    </row>
    <row r="267">
      <c r="A267" s="71">
        <v>46104.0</v>
      </c>
    </row>
    <row r="268">
      <c r="A268" s="71">
        <v>46105.0</v>
      </c>
    </row>
    <row r="269">
      <c r="A269" s="71">
        <v>46106.0</v>
      </c>
    </row>
    <row r="270">
      <c r="A270" s="71">
        <v>46107.0</v>
      </c>
    </row>
    <row r="271">
      <c r="A271" s="71">
        <v>46108.0</v>
      </c>
    </row>
    <row r="272">
      <c r="A272" s="71">
        <v>46109.0</v>
      </c>
    </row>
    <row r="273">
      <c r="A273" s="71">
        <v>46110.0</v>
      </c>
    </row>
    <row r="274">
      <c r="A274" s="71">
        <v>46111.0</v>
      </c>
    </row>
    <row r="275">
      <c r="A275" s="71">
        <v>46112.0</v>
      </c>
    </row>
    <row r="276">
      <c r="A276" s="71">
        <v>46113.0</v>
      </c>
    </row>
    <row r="277">
      <c r="A277" s="71">
        <v>46114.0</v>
      </c>
    </row>
    <row r="278">
      <c r="A278" s="71">
        <v>46115.0</v>
      </c>
    </row>
    <row r="279">
      <c r="A279" s="71">
        <v>46116.0</v>
      </c>
    </row>
    <row r="280">
      <c r="A280" s="71">
        <v>46117.0</v>
      </c>
    </row>
    <row r="281">
      <c r="A281" s="71">
        <v>46118.0</v>
      </c>
    </row>
    <row r="282">
      <c r="A282" s="71">
        <v>46119.0</v>
      </c>
    </row>
    <row r="283">
      <c r="A283" s="71">
        <v>46120.0</v>
      </c>
    </row>
    <row r="284">
      <c r="A284" s="71">
        <v>46121.0</v>
      </c>
    </row>
    <row r="285">
      <c r="A285" s="71">
        <v>46122.0</v>
      </c>
    </row>
    <row r="286">
      <c r="A286" s="71">
        <v>46123.0</v>
      </c>
    </row>
    <row r="287">
      <c r="A287" s="71">
        <v>46124.0</v>
      </c>
    </row>
    <row r="288">
      <c r="A288" s="71">
        <v>46125.0</v>
      </c>
    </row>
    <row r="289">
      <c r="A289" s="71">
        <v>46126.0</v>
      </c>
    </row>
    <row r="290">
      <c r="A290" s="71">
        <v>46127.0</v>
      </c>
    </row>
    <row r="291">
      <c r="A291" s="71">
        <v>46128.0</v>
      </c>
    </row>
    <row r="292">
      <c r="A292" s="71">
        <v>46129.0</v>
      </c>
    </row>
    <row r="293">
      <c r="A293" s="71">
        <v>46130.0</v>
      </c>
    </row>
    <row r="294">
      <c r="A294" s="71">
        <v>46131.0</v>
      </c>
    </row>
    <row r="295">
      <c r="A295" s="71">
        <v>46132.0</v>
      </c>
    </row>
    <row r="296">
      <c r="A296" s="71">
        <v>46133.0</v>
      </c>
    </row>
    <row r="297">
      <c r="A297" s="71">
        <v>46134.0</v>
      </c>
    </row>
    <row r="298">
      <c r="A298" s="71">
        <v>46135.0</v>
      </c>
    </row>
    <row r="299">
      <c r="A299" s="71">
        <v>46136.0</v>
      </c>
    </row>
    <row r="300">
      <c r="A300" s="71">
        <v>46137.0</v>
      </c>
    </row>
    <row r="301">
      <c r="A301" s="71">
        <v>46138.0</v>
      </c>
    </row>
    <row r="302">
      <c r="A302" s="71">
        <v>46139.0</v>
      </c>
    </row>
    <row r="303">
      <c r="A303" s="71">
        <v>46140.0</v>
      </c>
    </row>
    <row r="304">
      <c r="A304" s="71">
        <v>46141.0</v>
      </c>
    </row>
    <row r="305">
      <c r="A305" s="71">
        <v>46142.0</v>
      </c>
    </row>
    <row r="306">
      <c r="A306" s="71">
        <v>46143.0</v>
      </c>
    </row>
    <row r="307">
      <c r="A307" s="71">
        <v>46144.0</v>
      </c>
    </row>
    <row r="308">
      <c r="A308" s="71">
        <v>46145.0</v>
      </c>
    </row>
    <row r="309">
      <c r="A309" s="71">
        <v>46146.0</v>
      </c>
    </row>
    <row r="310">
      <c r="A310" s="71">
        <v>46147.0</v>
      </c>
    </row>
    <row r="311">
      <c r="A311" s="71">
        <v>46148.0</v>
      </c>
    </row>
    <row r="312">
      <c r="A312" s="71">
        <v>46149.0</v>
      </c>
    </row>
    <row r="313">
      <c r="A313" s="71">
        <v>46150.0</v>
      </c>
    </row>
    <row r="314">
      <c r="A314" s="71">
        <v>46151.0</v>
      </c>
    </row>
    <row r="315">
      <c r="A315" s="71">
        <v>46152.0</v>
      </c>
    </row>
    <row r="316">
      <c r="A316" s="71">
        <v>46153.0</v>
      </c>
    </row>
    <row r="317">
      <c r="A317" s="71">
        <v>46154.0</v>
      </c>
    </row>
    <row r="318">
      <c r="A318" s="71">
        <v>46155.0</v>
      </c>
    </row>
    <row r="319">
      <c r="A319" s="71">
        <v>46156.0</v>
      </c>
    </row>
    <row r="320">
      <c r="A320" s="71">
        <v>46157.0</v>
      </c>
    </row>
    <row r="321">
      <c r="A321" s="71">
        <v>46158.0</v>
      </c>
    </row>
    <row r="322">
      <c r="A322" s="71">
        <v>46159.0</v>
      </c>
    </row>
    <row r="323">
      <c r="A323" s="71">
        <v>46160.0</v>
      </c>
    </row>
    <row r="324">
      <c r="A324" s="71">
        <v>46161.0</v>
      </c>
    </row>
    <row r="325">
      <c r="A325" s="71">
        <v>46162.0</v>
      </c>
    </row>
    <row r="326">
      <c r="A326" s="71">
        <v>46163.0</v>
      </c>
    </row>
    <row r="327">
      <c r="A327" s="71">
        <v>46164.0</v>
      </c>
    </row>
    <row r="328">
      <c r="A328" s="71">
        <v>46165.0</v>
      </c>
    </row>
    <row r="329">
      <c r="A329" s="71">
        <v>46166.0</v>
      </c>
    </row>
    <row r="330">
      <c r="A330" s="71">
        <v>46167.0</v>
      </c>
    </row>
    <row r="331">
      <c r="A331" s="71">
        <v>46168.0</v>
      </c>
    </row>
    <row r="332">
      <c r="A332" s="71">
        <v>46169.0</v>
      </c>
    </row>
    <row r="333">
      <c r="A333" s="71">
        <v>46170.0</v>
      </c>
    </row>
    <row r="334">
      <c r="A334" s="71">
        <v>46171.0</v>
      </c>
    </row>
    <row r="335">
      <c r="A335" s="71">
        <v>46172.0</v>
      </c>
    </row>
    <row r="336">
      <c r="A336" s="71">
        <v>46173.0</v>
      </c>
    </row>
    <row r="337">
      <c r="A337" s="71">
        <v>46174.0</v>
      </c>
    </row>
    <row r="338">
      <c r="A338" s="71">
        <v>46175.0</v>
      </c>
    </row>
    <row r="339">
      <c r="A339" s="71">
        <v>46176.0</v>
      </c>
    </row>
    <row r="340">
      <c r="A340" s="71">
        <v>46177.0</v>
      </c>
    </row>
    <row r="341">
      <c r="A341" s="71">
        <v>46178.0</v>
      </c>
    </row>
    <row r="342">
      <c r="A342" s="71">
        <v>46179.0</v>
      </c>
    </row>
    <row r="343">
      <c r="A343" s="71">
        <v>46180.0</v>
      </c>
    </row>
    <row r="344">
      <c r="A344" s="71">
        <v>46181.0</v>
      </c>
    </row>
    <row r="345">
      <c r="A345" s="71">
        <v>46182.0</v>
      </c>
    </row>
    <row r="346">
      <c r="A346" s="71">
        <v>46183.0</v>
      </c>
    </row>
    <row r="347">
      <c r="A347" s="71">
        <v>46184.0</v>
      </c>
    </row>
    <row r="348">
      <c r="A348" s="71">
        <v>46185.0</v>
      </c>
    </row>
    <row r="349">
      <c r="A349" s="71">
        <v>46186.0</v>
      </c>
    </row>
    <row r="350">
      <c r="A350" s="71">
        <v>46187.0</v>
      </c>
    </row>
    <row r="351">
      <c r="A351" s="71">
        <v>46188.0</v>
      </c>
    </row>
    <row r="352">
      <c r="A352" s="71">
        <v>46189.0</v>
      </c>
    </row>
    <row r="353">
      <c r="A353" s="71">
        <v>46190.0</v>
      </c>
    </row>
    <row r="354">
      <c r="A354" s="71">
        <v>46191.0</v>
      </c>
    </row>
    <row r="355">
      <c r="A355" s="71">
        <v>46192.0</v>
      </c>
    </row>
    <row r="356">
      <c r="A356" s="71">
        <v>46193.0</v>
      </c>
    </row>
    <row r="357">
      <c r="A357" s="71">
        <v>46194.0</v>
      </c>
    </row>
    <row r="358">
      <c r="A358" s="71">
        <v>46195.0</v>
      </c>
    </row>
    <row r="359">
      <c r="A359" s="71">
        <v>46196.0</v>
      </c>
    </row>
    <row r="360">
      <c r="A360" s="71">
        <v>46197.0</v>
      </c>
    </row>
    <row r="361">
      <c r="A361" s="71">
        <v>46198.0</v>
      </c>
    </row>
    <row r="362">
      <c r="A362" s="71">
        <v>46199.0</v>
      </c>
    </row>
    <row r="363">
      <c r="A363" s="71">
        <v>46200.0</v>
      </c>
    </row>
    <row r="364">
      <c r="A364" s="71">
        <v>46201.0</v>
      </c>
    </row>
    <row r="365">
      <c r="A365" s="71">
        <v>46202.0</v>
      </c>
    </row>
    <row r="366">
      <c r="A366" s="71">
        <v>46203.0</v>
      </c>
    </row>
    <row r="367">
      <c r="A367" s="71">
        <v>46204.0</v>
      </c>
    </row>
    <row r="368">
      <c r="A368" s="71">
        <v>46205.0</v>
      </c>
    </row>
    <row r="369">
      <c r="A369" s="71">
        <v>46206.0</v>
      </c>
    </row>
    <row r="370">
      <c r="A370" s="71">
        <v>46207.0</v>
      </c>
    </row>
    <row r="371">
      <c r="A371" s="71">
        <v>46208.0</v>
      </c>
    </row>
    <row r="372">
      <c r="A372" s="71">
        <v>46209.0</v>
      </c>
    </row>
    <row r="373">
      <c r="A373" s="71">
        <v>46210.0</v>
      </c>
    </row>
    <row r="374">
      <c r="A374" s="71">
        <v>46211.0</v>
      </c>
    </row>
    <row r="375">
      <c r="A375" s="71">
        <v>46212.0</v>
      </c>
    </row>
    <row r="376">
      <c r="A376" s="71">
        <v>46213.0</v>
      </c>
    </row>
    <row r="377">
      <c r="A377" s="71">
        <v>46214.0</v>
      </c>
    </row>
    <row r="378">
      <c r="A378" s="71">
        <v>46215.0</v>
      </c>
    </row>
    <row r="379">
      <c r="A379" s="71">
        <v>46216.0</v>
      </c>
    </row>
    <row r="380">
      <c r="A380" s="71">
        <v>46217.0</v>
      </c>
    </row>
    <row r="381">
      <c r="A381" s="71">
        <v>46218.0</v>
      </c>
    </row>
    <row r="382">
      <c r="A382" s="71">
        <v>46219.0</v>
      </c>
    </row>
    <row r="383">
      <c r="A383" s="71">
        <v>46220.0</v>
      </c>
    </row>
    <row r="384">
      <c r="A384" s="71">
        <v>46221.0</v>
      </c>
    </row>
    <row r="385">
      <c r="A385" s="71">
        <v>46222.0</v>
      </c>
    </row>
    <row r="386">
      <c r="A386" s="71">
        <v>46223.0</v>
      </c>
    </row>
    <row r="387">
      <c r="A387" s="71">
        <v>46224.0</v>
      </c>
    </row>
    <row r="388">
      <c r="A388" s="71">
        <v>46225.0</v>
      </c>
    </row>
    <row r="389">
      <c r="A389" s="71">
        <v>46226.0</v>
      </c>
    </row>
    <row r="390">
      <c r="A390" s="71">
        <v>46227.0</v>
      </c>
    </row>
    <row r="391">
      <c r="A391" s="71">
        <v>46228.0</v>
      </c>
    </row>
    <row r="392">
      <c r="A392" s="71">
        <v>46229.0</v>
      </c>
    </row>
    <row r="393">
      <c r="A393" s="71">
        <v>46230.0</v>
      </c>
    </row>
    <row r="394">
      <c r="A394" s="71">
        <v>46231.0</v>
      </c>
    </row>
    <row r="395">
      <c r="A395" s="71">
        <v>46232.0</v>
      </c>
    </row>
    <row r="396">
      <c r="A396" s="71">
        <v>46233.0</v>
      </c>
    </row>
    <row r="397">
      <c r="A397" s="71">
        <v>46234.0</v>
      </c>
    </row>
    <row r="398">
      <c r="A398" s="71">
        <v>46235.0</v>
      </c>
    </row>
    <row r="399">
      <c r="A399" s="71">
        <v>46236.0</v>
      </c>
    </row>
    <row r="400">
      <c r="A400" s="71">
        <v>46237.0</v>
      </c>
    </row>
    <row r="401">
      <c r="A401" s="71">
        <v>46238.0</v>
      </c>
    </row>
    <row r="402">
      <c r="A402" s="71">
        <v>46239.0</v>
      </c>
    </row>
    <row r="403">
      <c r="A403" s="71">
        <v>46240.0</v>
      </c>
    </row>
    <row r="404">
      <c r="A404" s="71">
        <v>46241.0</v>
      </c>
    </row>
    <row r="405">
      <c r="A405" s="71">
        <v>46242.0</v>
      </c>
    </row>
    <row r="406">
      <c r="A406" s="71">
        <v>46243.0</v>
      </c>
    </row>
    <row r="407">
      <c r="A407" s="71">
        <v>46244.0</v>
      </c>
    </row>
    <row r="408">
      <c r="A408" s="71">
        <v>46245.0</v>
      </c>
    </row>
    <row r="409">
      <c r="A409" s="71">
        <v>46246.0</v>
      </c>
    </row>
    <row r="410">
      <c r="A410" s="71">
        <v>46247.0</v>
      </c>
    </row>
    <row r="411">
      <c r="A411" s="71">
        <v>46248.0</v>
      </c>
    </row>
    <row r="412">
      <c r="A412" s="71">
        <v>46249.0</v>
      </c>
    </row>
    <row r="413">
      <c r="A413" s="71">
        <v>46250.0</v>
      </c>
    </row>
    <row r="414">
      <c r="A414" s="71">
        <v>46251.0</v>
      </c>
    </row>
    <row r="415">
      <c r="A415" s="71">
        <v>46252.0</v>
      </c>
    </row>
    <row r="416">
      <c r="A416" s="71">
        <v>46253.0</v>
      </c>
    </row>
    <row r="417">
      <c r="A417" s="71">
        <v>46254.0</v>
      </c>
    </row>
    <row r="418">
      <c r="A418" s="71">
        <v>46255.0</v>
      </c>
    </row>
    <row r="419">
      <c r="A419" s="71">
        <v>46256.0</v>
      </c>
    </row>
    <row r="420">
      <c r="A420" s="71">
        <v>46257.0</v>
      </c>
    </row>
    <row r="421">
      <c r="A421" s="71">
        <v>46258.0</v>
      </c>
    </row>
    <row r="422">
      <c r="A422" s="71">
        <v>46259.0</v>
      </c>
    </row>
    <row r="423">
      <c r="A423" s="71">
        <v>46260.0</v>
      </c>
    </row>
    <row r="424">
      <c r="A424" s="71">
        <v>46261.0</v>
      </c>
    </row>
    <row r="425">
      <c r="A425" s="71">
        <v>46262.0</v>
      </c>
    </row>
    <row r="426">
      <c r="A426" s="71">
        <v>46263.0</v>
      </c>
    </row>
    <row r="427">
      <c r="A427" s="71">
        <v>46264.0</v>
      </c>
    </row>
    <row r="428">
      <c r="A428" s="71">
        <v>46265.0</v>
      </c>
    </row>
    <row r="429">
      <c r="A429" s="71">
        <v>46266.0</v>
      </c>
    </row>
    <row r="430">
      <c r="A430" s="71">
        <v>46267.0</v>
      </c>
    </row>
    <row r="431">
      <c r="A431" s="71">
        <v>46268.0</v>
      </c>
    </row>
    <row r="432">
      <c r="A432" s="71">
        <v>46269.0</v>
      </c>
    </row>
    <row r="433">
      <c r="A433" s="71">
        <v>46270.0</v>
      </c>
    </row>
    <row r="434">
      <c r="A434" s="71">
        <v>46271.0</v>
      </c>
    </row>
    <row r="435">
      <c r="A435" s="71">
        <v>46272.0</v>
      </c>
    </row>
    <row r="436">
      <c r="A436" s="71">
        <v>46273.0</v>
      </c>
    </row>
    <row r="437">
      <c r="A437" s="71">
        <v>46274.0</v>
      </c>
    </row>
    <row r="438">
      <c r="A438" s="71">
        <v>46275.0</v>
      </c>
    </row>
    <row r="439">
      <c r="A439" s="71">
        <v>46276.0</v>
      </c>
    </row>
    <row r="440">
      <c r="A440" s="71">
        <v>46277.0</v>
      </c>
    </row>
    <row r="441">
      <c r="A441" s="71">
        <v>46278.0</v>
      </c>
    </row>
    <row r="442">
      <c r="A442" s="71">
        <v>46279.0</v>
      </c>
    </row>
    <row r="443">
      <c r="A443" s="71">
        <v>46280.0</v>
      </c>
    </row>
    <row r="444">
      <c r="A444" s="71">
        <v>46281.0</v>
      </c>
    </row>
    <row r="445">
      <c r="A445" s="71">
        <v>46282.0</v>
      </c>
    </row>
    <row r="446">
      <c r="A446" s="71">
        <v>46283.0</v>
      </c>
    </row>
    <row r="447">
      <c r="A447" s="71">
        <v>46284.0</v>
      </c>
    </row>
    <row r="448">
      <c r="A448" s="71">
        <v>46285.0</v>
      </c>
    </row>
    <row r="449">
      <c r="A449" s="71">
        <v>46286.0</v>
      </c>
    </row>
    <row r="450">
      <c r="A450" s="71">
        <v>46287.0</v>
      </c>
    </row>
    <row r="451">
      <c r="A451" s="71">
        <v>46288.0</v>
      </c>
    </row>
    <row r="452">
      <c r="A452" s="71">
        <v>46289.0</v>
      </c>
    </row>
    <row r="453">
      <c r="A453" s="71">
        <v>46290.0</v>
      </c>
    </row>
    <row r="454">
      <c r="A454" s="71">
        <v>46291.0</v>
      </c>
    </row>
    <row r="455">
      <c r="A455" s="71">
        <v>46292.0</v>
      </c>
    </row>
    <row r="456">
      <c r="A456" s="71">
        <v>46293.0</v>
      </c>
    </row>
    <row r="457">
      <c r="A457" s="71">
        <v>46294.0</v>
      </c>
    </row>
    <row r="458">
      <c r="A458" s="71">
        <v>46295.0</v>
      </c>
    </row>
    <row r="459">
      <c r="A459" s="71">
        <v>46296.0</v>
      </c>
    </row>
    <row r="460">
      <c r="A460" s="71">
        <v>46297.0</v>
      </c>
    </row>
    <row r="461">
      <c r="A461" s="71">
        <v>46298.0</v>
      </c>
    </row>
    <row r="462">
      <c r="A462" s="71">
        <v>46299.0</v>
      </c>
    </row>
    <row r="463">
      <c r="A463" s="71">
        <v>46300.0</v>
      </c>
    </row>
    <row r="464">
      <c r="A464" s="71">
        <v>46301.0</v>
      </c>
    </row>
    <row r="465">
      <c r="A465" s="71">
        <v>46302.0</v>
      </c>
    </row>
    <row r="466">
      <c r="A466" s="71">
        <v>46303.0</v>
      </c>
    </row>
    <row r="467">
      <c r="A467" s="71">
        <v>46304.0</v>
      </c>
    </row>
    <row r="468">
      <c r="A468" s="71">
        <v>46305.0</v>
      </c>
    </row>
    <row r="469">
      <c r="A469" s="71">
        <v>46306.0</v>
      </c>
    </row>
    <row r="470">
      <c r="A470" s="71">
        <v>46307.0</v>
      </c>
    </row>
    <row r="471">
      <c r="A471" s="71">
        <v>46308.0</v>
      </c>
    </row>
    <row r="472">
      <c r="A472" s="71">
        <v>46309.0</v>
      </c>
    </row>
    <row r="473">
      <c r="A473" s="71">
        <v>46310.0</v>
      </c>
    </row>
    <row r="474">
      <c r="A474" s="71">
        <v>46311.0</v>
      </c>
    </row>
    <row r="475">
      <c r="A475" s="71">
        <v>46312.0</v>
      </c>
    </row>
    <row r="476">
      <c r="A476" s="71">
        <v>46313.0</v>
      </c>
    </row>
    <row r="477">
      <c r="A477" s="71">
        <v>46314.0</v>
      </c>
    </row>
    <row r="478">
      <c r="A478" s="71">
        <v>46315.0</v>
      </c>
    </row>
    <row r="479">
      <c r="A479" s="71">
        <v>46316.0</v>
      </c>
    </row>
    <row r="480">
      <c r="A480" s="71">
        <v>46317.0</v>
      </c>
    </row>
    <row r="481">
      <c r="A481" s="71">
        <v>46318.0</v>
      </c>
    </row>
    <row r="482">
      <c r="A482" s="71">
        <v>46319.0</v>
      </c>
    </row>
    <row r="483">
      <c r="A483" s="71">
        <v>46320.0</v>
      </c>
    </row>
    <row r="484">
      <c r="A484" s="71">
        <v>46321.0</v>
      </c>
    </row>
    <row r="485">
      <c r="A485" s="71">
        <v>46322.0</v>
      </c>
    </row>
    <row r="486">
      <c r="A486" s="71">
        <v>46323.0</v>
      </c>
    </row>
    <row r="487">
      <c r="A487" s="71">
        <v>46324.0</v>
      </c>
    </row>
    <row r="488">
      <c r="A488" s="71">
        <v>46325.0</v>
      </c>
    </row>
    <row r="489">
      <c r="A489" s="71">
        <v>46326.0</v>
      </c>
    </row>
    <row r="490">
      <c r="A490" s="71">
        <v>46327.0</v>
      </c>
    </row>
    <row r="491">
      <c r="A491" s="71">
        <v>46328.0</v>
      </c>
    </row>
    <row r="492">
      <c r="A492" s="71">
        <v>46329.0</v>
      </c>
    </row>
    <row r="493">
      <c r="A493" s="71">
        <v>46330.0</v>
      </c>
    </row>
    <row r="494">
      <c r="A494" s="71">
        <v>46331.0</v>
      </c>
    </row>
    <row r="495">
      <c r="A495" s="71">
        <v>46332.0</v>
      </c>
    </row>
    <row r="496">
      <c r="A496" s="71">
        <v>46333.0</v>
      </c>
    </row>
    <row r="497">
      <c r="A497" s="71">
        <v>46334.0</v>
      </c>
    </row>
    <row r="498">
      <c r="A498" s="71">
        <v>46335.0</v>
      </c>
    </row>
    <row r="499">
      <c r="A499" s="71">
        <v>46336.0</v>
      </c>
    </row>
    <row r="500">
      <c r="A500" s="71">
        <v>46337.0</v>
      </c>
    </row>
    <row r="501">
      <c r="A501" s="71">
        <v>46338.0</v>
      </c>
    </row>
    <row r="502">
      <c r="A502" s="71">
        <v>46339.0</v>
      </c>
    </row>
    <row r="503">
      <c r="A503" s="71">
        <v>46340.0</v>
      </c>
    </row>
    <row r="504">
      <c r="A504" s="71">
        <v>46341.0</v>
      </c>
    </row>
    <row r="505">
      <c r="A505" s="71">
        <v>46342.0</v>
      </c>
    </row>
    <row r="506">
      <c r="A506" s="71">
        <v>46343.0</v>
      </c>
    </row>
    <row r="507">
      <c r="A507" s="71">
        <v>46344.0</v>
      </c>
    </row>
    <row r="508">
      <c r="A508" s="71">
        <v>46345.0</v>
      </c>
    </row>
    <row r="509">
      <c r="A509" s="71">
        <v>46346.0</v>
      </c>
    </row>
    <row r="510">
      <c r="A510" s="71">
        <v>46347.0</v>
      </c>
    </row>
    <row r="511">
      <c r="A511" s="71">
        <v>46348.0</v>
      </c>
    </row>
    <row r="512">
      <c r="A512" s="71">
        <v>46349.0</v>
      </c>
    </row>
    <row r="513">
      <c r="A513" s="71">
        <v>46350.0</v>
      </c>
    </row>
    <row r="514">
      <c r="A514" s="71">
        <v>46351.0</v>
      </c>
    </row>
    <row r="515">
      <c r="A515" s="71">
        <v>46352.0</v>
      </c>
    </row>
    <row r="516">
      <c r="A516" s="71">
        <v>46353.0</v>
      </c>
    </row>
    <row r="517">
      <c r="A517" s="71">
        <v>46354.0</v>
      </c>
    </row>
    <row r="518">
      <c r="A518" s="71">
        <v>46355.0</v>
      </c>
    </row>
    <row r="519">
      <c r="A519" s="71">
        <v>46356.0</v>
      </c>
    </row>
    <row r="520">
      <c r="A520" s="71">
        <v>46357.0</v>
      </c>
    </row>
    <row r="521">
      <c r="A521" s="71">
        <v>46358.0</v>
      </c>
    </row>
    <row r="522">
      <c r="A522" s="71">
        <v>46359.0</v>
      </c>
    </row>
    <row r="523">
      <c r="A523" s="71">
        <v>46360.0</v>
      </c>
    </row>
    <row r="524">
      <c r="A524" s="71">
        <v>46361.0</v>
      </c>
    </row>
    <row r="525">
      <c r="A525" s="71">
        <v>46362.0</v>
      </c>
    </row>
    <row r="526">
      <c r="A526" s="71">
        <v>46363.0</v>
      </c>
    </row>
    <row r="527">
      <c r="A527" s="71">
        <v>46364.0</v>
      </c>
    </row>
    <row r="528">
      <c r="A528" s="71">
        <v>46365.0</v>
      </c>
    </row>
    <row r="529">
      <c r="A529" s="71">
        <v>46366.0</v>
      </c>
    </row>
    <row r="530">
      <c r="A530" s="71">
        <v>46367.0</v>
      </c>
    </row>
    <row r="531">
      <c r="A531" s="71">
        <v>46368.0</v>
      </c>
    </row>
    <row r="532">
      <c r="A532" s="71">
        <v>46369.0</v>
      </c>
    </row>
    <row r="533">
      <c r="A533" s="71">
        <v>46370.0</v>
      </c>
    </row>
    <row r="534">
      <c r="A534" s="71">
        <v>46371.0</v>
      </c>
    </row>
    <row r="535">
      <c r="A535" s="71">
        <v>46372.0</v>
      </c>
    </row>
    <row r="536">
      <c r="A536" s="71">
        <v>46373.0</v>
      </c>
    </row>
    <row r="537">
      <c r="A537" s="71">
        <v>46374.0</v>
      </c>
    </row>
    <row r="538">
      <c r="A538" s="71">
        <v>46375.0</v>
      </c>
    </row>
    <row r="539">
      <c r="A539" s="71">
        <v>46376.0</v>
      </c>
    </row>
    <row r="540">
      <c r="A540" s="71">
        <v>46377.0</v>
      </c>
    </row>
    <row r="541">
      <c r="A541" s="71">
        <v>46378.0</v>
      </c>
    </row>
    <row r="542">
      <c r="A542" s="71">
        <v>46379.0</v>
      </c>
    </row>
    <row r="543">
      <c r="A543" s="71">
        <v>46380.0</v>
      </c>
    </row>
    <row r="544">
      <c r="A544" s="71">
        <v>46381.0</v>
      </c>
    </row>
    <row r="545">
      <c r="A545" s="71">
        <v>46382.0</v>
      </c>
    </row>
    <row r="546">
      <c r="A546" s="71">
        <v>46383.0</v>
      </c>
    </row>
    <row r="547">
      <c r="A547" s="71">
        <v>46384.0</v>
      </c>
    </row>
    <row r="548">
      <c r="A548" s="71">
        <v>46385.0</v>
      </c>
    </row>
    <row r="549">
      <c r="A549" s="71">
        <v>46386.0</v>
      </c>
    </row>
    <row r="550">
      <c r="A550" s="71">
        <v>46387.0</v>
      </c>
    </row>
  </sheetData>
  <drawing r:id="rId1"/>
</worksheet>
</file>